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Ex4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tables/table3.xml" ContentType="application/vnd.openxmlformats-officedocument.spreadsheetml.table+xml"/>
  <Override PartName="/xl/charts/chartEx5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tables/table4.xml" ContentType="application/vnd.openxmlformats-officedocument.spreadsheetml.table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Аналитика ZERO\1 Excel\"/>
    </mc:Choice>
  </mc:AlternateContent>
  <xr:revisionPtr revIDLastSave="0" documentId="8_{9BE9809C-31D9-46C1-9965-5017B8BAC746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интро" sheetId="5" r:id="rId1"/>
    <sheet name="Гафики" sheetId="30" r:id="rId2"/>
    <sheet name="Динамика продаж" sheetId="6" r:id="rId3"/>
    <sheet name="Выгода клиента" sheetId="7" r:id="rId4"/>
    <sheet name="GMV Продажи по магазинам" sheetId="9" r:id="rId5"/>
    <sheet name="Подробности2" sheetId="12" state="hidden" r:id="rId6"/>
    <sheet name="Средн. стоим в кат по поставщ. " sheetId="17" r:id="rId7"/>
    <sheet name="Выгода для клиента внутри поста" sheetId="10" r:id="rId8"/>
    <sheet name="Суммарные продажи по поставщика" sheetId="13" r:id="rId9"/>
    <sheet name="Подробности3" sheetId="15" state="hidden" r:id="rId10"/>
    <sheet name="Средн_кол-во_штук_в_чеке_по_кат" sheetId="14" r:id="rId11"/>
    <sheet name="продажи по категориям" sheetId="16" r:id="rId12"/>
    <sheet name="Платежеспособность по странам" sheetId="25" r:id="rId13"/>
    <sheet name="Кол-во дней с момента регистр" sheetId="31" r:id="rId14"/>
    <sheet name="Лайфтайм клиента" sheetId="32" r:id="rId15"/>
    <sheet name="продажи" sheetId="1" r:id="rId16"/>
    <sheet name="товар" sheetId="2" r:id="rId17"/>
    <sheet name="География клиентов" sheetId="20" r:id="rId18"/>
    <sheet name="Программа лояльности" sheetId="29" r:id="rId19"/>
    <sheet name="Имена" sheetId="33" r:id="rId20"/>
    <sheet name="клиенты" sheetId="4" r:id="rId21"/>
    <sheet name="коды стран" sheetId="3" r:id="rId22"/>
  </sheets>
  <definedNames>
    <definedName name="_xlchart.v1.0" hidden="1">продажи!$R$1</definedName>
    <definedName name="_xlchart.v1.1" hidden="1">продажи!$R$2:$R$1001</definedName>
    <definedName name="_xlchart.v1.2" hidden="1">продажи!$P$1</definedName>
    <definedName name="_xlchart.v1.3" hidden="1">продажи!$P$2:$P$1001</definedName>
    <definedName name="_xlchart.v1.4" hidden="1">продажи!$P$1</definedName>
    <definedName name="_xlchart.v1.5" hidden="1">продажи!$P$2:$P$1001</definedName>
    <definedName name="_xlchart.v1.6" hidden="1">продажи!$R$1</definedName>
    <definedName name="_xlchart.v1.7" hidden="1">продажи!$R$2:$R$1001</definedName>
    <definedName name="_xlchart.v1.8" hidden="1">продажи!$R$1</definedName>
    <definedName name="_xlchart.v1.9" hidden="1">продажи!$R$2:$R$1001</definedName>
  </definedNames>
  <calcPr calcId="191029"/>
  <pivotCaches>
    <pivotCache cacheId="0" r:id="rId23"/>
    <pivotCache cacheId="1" r:id="rId24"/>
    <pivotCache cacheId="2" r:id="rId25"/>
    <pivotCache cacheId="3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4" l="1"/>
  <c r="I2" i="4" s="1"/>
  <c r="O2" i="4"/>
  <c r="I3" i="4"/>
  <c r="M3" i="4"/>
  <c r="J3" i="4" s="1"/>
  <c r="N3" i="4"/>
  <c r="K3" i="4" s="1"/>
  <c r="O3" i="4"/>
  <c r="M4" i="4"/>
  <c r="O4" i="4"/>
  <c r="I5" i="4"/>
  <c r="K5" i="4"/>
  <c r="M5" i="4"/>
  <c r="J5" i="4" s="1"/>
  <c r="N5" i="4"/>
  <c r="O5" i="4"/>
  <c r="Q5" i="4"/>
  <c r="M6" i="4"/>
  <c r="I6" i="4" s="1"/>
  <c r="O6" i="4"/>
  <c r="I7" i="4"/>
  <c r="M7" i="4"/>
  <c r="J7" i="4" s="1"/>
  <c r="N7" i="4"/>
  <c r="K7" i="4" s="1"/>
  <c r="O7" i="4"/>
  <c r="M8" i="4"/>
  <c r="O8" i="4"/>
  <c r="I9" i="4"/>
  <c r="K9" i="4"/>
  <c r="M9" i="4"/>
  <c r="J9" i="4" s="1"/>
  <c r="N9" i="4"/>
  <c r="O9" i="4"/>
  <c r="Q9" i="4"/>
  <c r="M10" i="4"/>
  <c r="I10" i="4" s="1"/>
  <c r="O10" i="4"/>
  <c r="I11" i="4"/>
  <c r="M11" i="4"/>
  <c r="J11" i="4" s="1"/>
  <c r="N11" i="4"/>
  <c r="K11" i="4" s="1"/>
  <c r="O11" i="4"/>
  <c r="Q11" i="4"/>
  <c r="M12" i="4"/>
  <c r="Q12" i="4" s="1"/>
  <c r="O12" i="4"/>
  <c r="I13" i="4"/>
  <c r="K13" i="4"/>
  <c r="M13" i="4"/>
  <c r="J13" i="4" s="1"/>
  <c r="N13" i="4"/>
  <c r="O13" i="4"/>
  <c r="Q13" i="4"/>
  <c r="M14" i="4"/>
  <c r="I14" i="4" s="1"/>
  <c r="O14" i="4"/>
  <c r="I15" i="4"/>
  <c r="M15" i="4"/>
  <c r="J15" i="4" s="1"/>
  <c r="N15" i="4"/>
  <c r="K15" i="4" s="1"/>
  <c r="O15" i="4"/>
  <c r="Q15" i="4"/>
  <c r="M16" i="4"/>
  <c r="Q16" i="4" s="1"/>
  <c r="O16" i="4"/>
  <c r="I17" i="4"/>
  <c r="K17" i="4"/>
  <c r="M17" i="4"/>
  <c r="J17" i="4" s="1"/>
  <c r="N17" i="4"/>
  <c r="O17" i="4"/>
  <c r="Q17" i="4"/>
  <c r="M18" i="4"/>
  <c r="I18" i="4" s="1"/>
  <c r="O18" i="4"/>
  <c r="I19" i="4"/>
  <c r="M19" i="4"/>
  <c r="N19" i="4"/>
  <c r="K19" i="4" s="1"/>
  <c r="O19" i="4"/>
  <c r="Q19" i="4"/>
  <c r="M20" i="4"/>
  <c r="Q20" i="4" s="1"/>
  <c r="O20" i="4"/>
  <c r="I21" i="4"/>
  <c r="K21" i="4"/>
  <c r="M21" i="4"/>
  <c r="J21" i="4" s="1"/>
  <c r="N21" i="4"/>
  <c r="O21" i="4"/>
  <c r="Q21" i="4"/>
  <c r="M22" i="4"/>
  <c r="O22" i="4"/>
  <c r="I23" i="4"/>
  <c r="M23" i="4"/>
  <c r="N23" i="4"/>
  <c r="K23" i="4" s="1"/>
  <c r="O23" i="4"/>
  <c r="Q23" i="4"/>
  <c r="M24" i="4"/>
  <c r="Q24" i="4" s="1"/>
  <c r="O24" i="4"/>
  <c r="I25" i="4"/>
  <c r="M25" i="4"/>
  <c r="J25" i="4" s="1"/>
  <c r="N25" i="4"/>
  <c r="K25" i="4" s="1"/>
  <c r="O25" i="4"/>
  <c r="Q25" i="4"/>
  <c r="M26" i="4"/>
  <c r="O26" i="4"/>
  <c r="I27" i="4"/>
  <c r="K27" i="4"/>
  <c r="M27" i="4"/>
  <c r="J27" i="4" s="1"/>
  <c r="N27" i="4"/>
  <c r="O27" i="4"/>
  <c r="Q27" i="4"/>
  <c r="M28" i="4"/>
  <c r="O28" i="4"/>
  <c r="I29" i="4"/>
  <c r="K29" i="4"/>
  <c r="M29" i="4"/>
  <c r="J29" i="4" s="1"/>
  <c r="N29" i="4"/>
  <c r="O29" i="4"/>
  <c r="Q29" i="4"/>
  <c r="M30" i="4"/>
  <c r="O30" i="4"/>
  <c r="I31" i="4"/>
  <c r="M31" i="4"/>
  <c r="N31" i="4"/>
  <c r="K31" i="4" s="1"/>
  <c r="O31" i="4"/>
  <c r="Q31" i="4"/>
  <c r="M32" i="4"/>
  <c r="O32" i="4"/>
  <c r="I33" i="4"/>
  <c r="M33" i="4"/>
  <c r="J33" i="4" s="1"/>
  <c r="N33" i="4"/>
  <c r="K33" i="4" s="1"/>
  <c r="O33" i="4"/>
  <c r="Q33" i="4"/>
  <c r="M34" i="4"/>
  <c r="O34" i="4"/>
  <c r="I35" i="4"/>
  <c r="K35" i="4"/>
  <c r="M35" i="4"/>
  <c r="J35" i="4" s="1"/>
  <c r="N35" i="4"/>
  <c r="O35" i="4"/>
  <c r="Q35" i="4"/>
  <c r="M36" i="4"/>
  <c r="O36" i="4"/>
  <c r="I37" i="4"/>
  <c r="K37" i="4"/>
  <c r="M37" i="4"/>
  <c r="J37" i="4" s="1"/>
  <c r="N37" i="4"/>
  <c r="O37" i="4"/>
  <c r="Q37" i="4"/>
  <c r="M38" i="4"/>
  <c r="O38" i="4"/>
  <c r="I39" i="4"/>
  <c r="M39" i="4"/>
  <c r="N39" i="4"/>
  <c r="K39" i="4" s="1"/>
  <c r="O39" i="4"/>
  <c r="Q39" i="4"/>
  <c r="M40" i="4"/>
  <c r="O40" i="4"/>
  <c r="I41" i="4"/>
  <c r="M41" i="4"/>
  <c r="J41" i="4" s="1"/>
  <c r="N41" i="4"/>
  <c r="K41" i="4" s="1"/>
  <c r="O41" i="4"/>
  <c r="Q41" i="4"/>
  <c r="M42" i="4"/>
  <c r="O42" i="4"/>
  <c r="I43" i="4"/>
  <c r="K43" i="4"/>
  <c r="M43" i="4"/>
  <c r="J43" i="4" s="1"/>
  <c r="N43" i="4"/>
  <c r="O43" i="4"/>
  <c r="Q43" i="4"/>
  <c r="M44" i="4"/>
  <c r="O44" i="4"/>
  <c r="I45" i="4"/>
  <c r="K45" i="4"/>
  <c r="M45" i="4"/>
  <c r="J45" i="4" s="1"/>
  <c r="N45" i="4"/>
  <c r="O45" i="4"/>
  <c r="Q45" i="4"/>
  <c r="M46" i="4"/>
  <c r="O46" i="4"/>
  <c r="I47" i="4"/>
  <c r="M47" i="4"/>
  <c r="N47" i="4"/>
  <c r="K47" i="4" s="1"/>
  <c r="O47" i="4"/>
  <c r="M48" i="4"/>
  <c r="O48" i="4"/>
  <c r="I49" i="4"/>
  <c r="M49" i="4"/>
  <c r="J49" i="4" s="1"/>
  <c r="N49" i="4"/>
  <c r="K49" i="4" s="1"/>
  <c r="O49" i="4"/>
  <c r="M50" i="4"/>
  <c r="O50" i="4"/>
  <c r="I51" i="4"/>
  <c r="K51" i="4"/>
  <c r="M51" i="4"/>
  <c r="J51" i="4" s="1"/>
  <c r="N51" i="4"/>
  <c r="O51" i="4"/>
  <c r="Q51" i="4"/>
  <c r="M52" i="4"/>
  <c r="O52" i="4"/>
  <c r="I53" i="4"/>
  <c r="K53" i="4"/>
  <c r="M53" i="4"/>
  <c r="J53" i="4" s="1"/>
  <c r="N53" i="4"/>
  <c r="O53" i="4"/>
  <c r="Q53" i="4"/>
  <c r="M54" i="4"/>
  <c r="O54" i="4"/>
  <c r="I55" i="4"/>
  <c r="M55" i="4"/>
  <c r="N55" i="4"/>
  <c r="K55" i="4" s="1"/>
  <c r="O55" i="4"/>
  <c r="M56" i="4"/>
  <c r="O56" i="4"/>
  <c r="I57" i="4"/>
  <c r="M57" i="4"/>
  <c r="J57" i="4" s="1"/>
  <c r="N57" i="4"/>
  <c r="K57" i="4" s="1"/>
  <c r="O57" i="4"/>
  <c r="M58" i="4"/>
  <c r="O58" i="4"/>
  <c r="I59" i="4"/>
  <c r="K59" i="4"/>
  <c r="M59" i="4"/>
  <c r="J59" i="4" s="1"/>
  <c r="N59" i="4"/>
  <c r="O59" i="4"/>
  <c r="Q59" i="4"/>
  <c r="M60" i="4"/>
  <c r="O60" i="4"/>
  <c r="I61" i="4"/>
  <c r="K61" i="4"/>
  <c r="M61" i="4"/>
  <c r="J61" i="4" s="1"/>
  <c r="N61" i="4"/>
  <c r="O61" i="4"/>
  <c r="Q61" i="4"/>
  <c r="M62" i="4"/>
  <c r="O62" i="4"/>
  <c r="I63" i="4"/>
  <c r="M63" i="4"/>
  <c r="N63" i="4"/>
  <c r="K63" i="4" s="1"/>
  <c r="O63" i="4"/>
  <c r="Q63" i="4"/>
  <c r="M64" i="4"/>
  <c r="O64" i="4"/>
  <c r="I65" i="4"/>
  <c r="M65" i="4"/>
  <c r="J65" i="4" s="1"/>
  <c r="N65" i="4"/>
  <c r="K65" i="4" s="1"/>
  <c r="O65" i="4"/>
  <c r="Q65" i="4"/>
  <c r="M66" i="4"/>
  <c r="O66" i="4"/>
  <c r="I67" i="4"/>
  <c r="K67" i="4"/>
  <c r="M67" i="4"/>
  <c r="J67" i="4" s="1"/>
  <c r="N67" i="4"/>
  <c r="O67" i="4"/>
  <c r="Q67" i="4"/>
  <c r="M68" i="4"/>
  <c r="O68" i="4"/>
  <c r="Q68" i="4"/>
  <c r="I69" i="4"/>
  <c r="M69" i="4"/>
  <c r="N69" i="4"/>
  <c r="K69" i="4" s="1"/>
  <c r="O69" i="4"/>
  <c r="M70" i="4"/>
  <c r="I70" i="4" s="1"/>
  <c r="O70" i="4"/>
  <c r="M71" i="4"/>
  <c r="I71" i="4" s="1"/>
  <c r="O71" i="4"/>
  <c r="Q71" i="4"/>
  <c r="M72" i="4"/>
  <c r="O72" i="4"/>
  <c r="I73" i="4"/>
  <c r="M73" i="4"/>
  <c r="N73" i="4"/>
  <c r="J73" i="4" s="1"/>
  <c r="O73" i="4"/>
  <c r="K73" i="4" s="1"/>
  <c r="Q73" i="4"/>
  <c r="M74" i="4"/>
  <c r="I74" i="4" s="1"/>
  <c r="O74" i="4"/>
  <c r="Q74" i="4"/>
  <c r="M75" i="4"/>
  <c r="I75" i="4" s="1"/>
  <c r="O75" i="4"/>
  <c r="Q75" i="4"/>
  <c r="M76" i="4"/>
  <c r="O76" i="4"/>
  <c r="I77" i="4"/>
  <c r="M77" i="4"/>
  <c r="N77" i="4"/>
  <c r="J77" i="4" s="1"/>
  <c r="O77" i="4"/>
  <c r="K77" i="4" s="1"/>
  <c r="Q77" i="4"/>
  <c r="I47" i="1"/>
  <c r="J47" i="1"/>
  <c r="O47" i="1"/>
  <c r="R47" i="1" s="1"/>
  <c r="Q47" i="1"/>
  <c r="I50" i="1"/>
  <c r="J50" i="1"/>
  <c r="O50" i="1"/>
  <c r="P50" i="1" s="1"/>
  <c r="Q50" i="1"/>
  <c r="R50" i="1"/>
  <c r="I61" i="1"/>
  <c r="J61" i="1"/>
  <c r="O61" i="1"/>
  <c r="Q61" i="1"/>
  <c r="I74" i="1"/>
  <c r="J74" i="1"/>
  <c r="O74" i="1"/>
  <c r="R74" i="1" s="1"/>
  <c r="Q74" i="1"/>
  <c r="I82" i="1"/>
  <c r="J82" i="1"/>
  <c r="O82" i="1"/>
  <c r="P82" i="1" s="1"/>
  <c r="Q82" i="1"/>
  <c r="R82" i="1"/>
  <c r="I83" i="1"/>
  <c r="J83" i="1"/>
  <c r="O83" i="1"/>
  <c r="Q83" i="1"/>
  <c r="I84" i="1"/>
  <c r="J84" i="1"/>
  <c r="O84" i="1"/>
  <c r="R84" i="1" s="1"/>
  <c r="P84" i="1"/>
  <c r="Q84" i="1"/>
  <c r="I96" i="1"/>
  <c r="J96" i="1"/>
  <c r="O96" i="1"/>
  <c r="R96" i="1" s="1"/>
  <c r="Q96" i="1"/>
  <c r="I99" i="1"/>
  <c r="J99" i="1"/>
  <c r="O99" i="1"/>
  <c r="Q99" i="1"/>
  <c r="I111" i="1"/>
  <c r="J111" i="1"/>
  <c r="O111" i="1"/>
  <c r="R111" i="1" s="1"/>
  <c r="P111" i="1"/>
  <c r="Q111" i="1"/>
  <c r="I123" i="1"/>
  <c r="J123" i="1"/>
  <c r="O123" i="1"/>
  <c r="R123" i="1" s="1"/>
  <c r="P123" i="1"/>
  <c r="Q123" i="1"/>
  <c r="I124" i="1"/>
  <c r="J124" i="1"/>
  <c r="O124" i="1"/>
  <c r="Q124" i="1"/>
  <c r="I126" i="1"/>
  <c r="J126" i="1"/>
  <c r="O126" i="1"/>
  <c r="R126" i="1" s="1"/>
  <c r="Q126" i="1"/>
  <c r="I145" i="1"/>
  <c r="J145" i="1"/>
  <c r="O145" i="1"/>
  <c r="P145" i="1"/>
  <c r="Q145" i="1"/>
  <c r="R145" i="1"/>
  <c r="I146" i="1"/>
  <c r="J146" i="1"/>
  <c r="O146" i="1"/>
  <c r="Q146" i="1"/>
  <c r="I147" i="1"/>
  <c r="J147" i="1"/>
  <c r="O147" i="1"/>
  <c r="R147" i="1" s="1"/>
  <c r="Q147" i="1"/>
  <c r="I148" i="1"/>
  <c r="J148" i="1"/>
  <c r="O148" i="1"/>
  <c r="P148" i="1" s="1"/>
  <c r="Q148" i="1"/>
  <c r="R148" i="1"/>
  <c r="I156" i="1"/>
  <c r="J156" i="1"/>
  <c r="O156" i="1"/>
  <c r="Q156" i="1"/>
  <c r="I157" i="1"/>
  <c r="J157" i="1"/>
  <c r="O157" i="1"/>
  <c r="R157" i="1" s="1"/>
  <c r="Q157" i="1"/>
  <c r="I159" i="1"/>
  <c r="J159" i="1"/>
  <c r="O159" i="1"/>
  <c r="P159" i="1" s="1"/>
  <c r="Q159" i="1"/>
  <c r="R159" i="1"/>
  <c r="I162" i="1"/>
  <c r="J162" i="1"/>
  <c r="O162" i="1"/>
  <c r="Q162" i="1"/>
  <c r="I165" i="1"/>
  <c r="J165" i="1"/>
  <c r="O165" i="1"/>
  <c r="R165" i="1" s="1"/>
  <c r="Q165" i="1"/>
  <c r="I167" i="1"/>
  <c r="J167" i="1"/>
  <c r="O167" i="1"/>
  <c r="P167" i="1" s="1"/>
  <c r="Q167" i="1"/>
  <c r="I180" i="1"/>
  <c r="J180" i="1"/>
  <c r="O180" i="1"/>
  <c r="Q180" i="1"/>
  <c r="I181" i="1"/>
  <c r="J181" i="1"/>
  <c r="O181" i="1"/>
  <c r="Q181" i="1"/>
  <c r="I184" i="1"/>
  <c r="J184" i="1"/>
  <c r="O184" i="1"/>
  <c r="P184" i="1" s="1"/>
  <c r="Q184" i="1"/>
  <c r="I187" i="1"/>
  <c r="J187" i="1"/>
  <c r="O187" i="1"/>
  <c r="Q187" i="1"/>
  <c r="I188" i="1"/>
  <c r="J188" i="1"/>
  <c r="O188" i="1"/>
  <c r="R188" i="1" s="1"/>
  <c r="Q188" i="1"/>
  <c r="I191" i="1"/>
  <c r="J191" i="1"/>
  <c r="O191" i="1"/>
  <c r="P191" i="1" s="1"/>
  <c r="Q191" i="1"/>
  <c r="R191" i="1"/>
  <c r="I194" i="1"/>
  <c r="J194" i="1"/>
  <c r="O194" i="1"/>
  <c r="Q194" i="1"/>
  <c r="I195" i="1"/>
  <c r="J195" i="1"/>
  <c r="O195" i="1"/>
  <c r="Q195" i="1"/>
  <c r="I199" i="1"/>
  <c r="J199" i="1"/>
  <c r="O199" i="1"/>
  <c r="P199" i="1" s="1"/>
  <c r="Q199" i="1"/>
  <c r="I200" i="1"/>
  <c r="J200" i="1"/>
  <c r="O200" i="1"/>
  <c r="Q200" i="1"/>
  <c r="I202" i="1"/>
  <c r="J202" i="1"/>
  <c r="O202" i="1"/>
  <c r="Q202" i="1"/>
  <c r="I203" i="1"/>
  <c r="J203" i="1"/>
  <c r="O203" i="1"/>
  <c r="P203" i="1" s="1"/>
  <c r="Q203" i="1"/>
  <c r="I207" i="1"/>
  <c r="J207" i="1"/>
  <c r="O207" i="1"/>
  <c r="Q207" i="1"/>
  <c r="I208" i="1"/>
  <c r="J208" i="1"/>
  <c r="O208" i="1"/>
  <c r="Q208" i="1"/>
  <c r="I215" i="1"/>
  <c r="J215" i="1"/>
  <c r="O215" i="1"/>
  <c r="P215" i="1" s="1"/>
  <c r="Q215" i="1"/>
  <c r="I216" i="1"/>
  <c r="J216" i="1"/>
  <c r="O216" i="1"/>
  <c r="Q216" i="1"/>
  <c r="I217" i="1"/>
  <c r="J217" i="1"/>
  <c r="O217" i="1"/>
  <c r="Q217" i="1"/>
  <c r="I221" i="1"/>
  <c r="J221" i="1"/>
  <c r="O221" i="1"/>
  <c r="Q221" i="1"/>
  <c r="I222" i="1"/>
  <c r="J222" i="1"/>
  <c r="O222" i="1"/>
  <c r="P222" i="1" s="1"/>
  <c r="Q222" i="1"/>
  <c r="I223" i="1"/>
  <c r="J223" i="1"/>
  <c r="O223" i="1"/>
  <c r="Q223" i="1"/>
  <c r="I224" i="1"/>
  <c r="J224" i="1"/>
  <c r="O224" i="1"/>
  <c r="Q224" i="1"/>
  <c r="I229" i="1"/>
  <c r="J229" i="1"/>
  <c r="O229" i="1"/>
  <c r="P229" i="1" s="1"/>
  <c r="Q229" i="1"/>
  <c r="I231" i="1"/>
  <c r="J231" i="1"/>
  <c r="O231" i="1"/>
  <c r="Q231" i="1"/>
  <c r="I233" i="1"/>
  <c r="J233" i="1"/>
  <c r="O233" i="1"/>
  <c r="Q233" i="1"/>
  <c r="I236" i="1"/>
  <c r="J236" i="1"/>
  <c r="O236" i="1"/>
  <c r="P236" i="1" s="1"/>
  <c r="Q236" i="1"/>
  <c r="I238" i="1"/>
  <c r="J238" i="1"/>
  <c r="O238" i="1"/>
  <c r="Q238" i="1"/>
  <c r="I240" i="1"/>
  <c r="J240" i="1"/>
  <c r="O240" i="1"/>
  <c r="Q240" i="1"/>
  <c r="I241" i="1"/>
  <c r="J241" i="1"/>
  <c r="O241" i="1"/>
  <c r="Q241" i="1"/>
  <c r="I245" i="1"/>
  <c r="J245" i="1"/>
  <c r="O245" i="1"/>
  <c r="Q245" i="1"/>
  <c r="I246" i="1"/>
  <c r="J246" i="1"/>
  <c r="O246" i="1"/>
  <c r="Q246" i="1"/>
  <c r="I248" i="1"/>
  <c r="J248" i="1"/>
  <c r="O248" i="1"/>
  <c r="P248" i="1" s="1"/>
  <c r="Q248" i="1"/>
  <c r="R248" i="1"/>
  <c r="I249" i="1"/>
  <c r="J249" i="1"/>
  <c r="O249" i="1"/>
  <c r="Q249" i="1"/>
  <c r="I250" i="1"/>
  <c r="J250" i="1"/>
  <c r="O250" i="1"/>
  <c r="Q250" i="1"/>
  <c r="I254" i="1"/>
  <c r="J254" i="1"/>
  <c r="O254" i="1"/>
  <c r="P254" i="1" s="1"/>
  <c r="Q254" i="1"/>
  <c r="R254" i="1"/>
  <c r="I255" i="1"/>
  <c r="J255" i="1"/>
  <c r="O255" i="1"/>
  <c r="Q255" i="1"/>
  <c r="I262" i="1"/>
  <c r="J262" i="1"/>
  <c r="O262" i="1"/>
  <c r="Q262" i="1"/>
  <c r="I263" i="1"/>
  <c r="J263" i="1"/>
  <c r="O263" i="1"/>
  <c r="P263" i="1" s="1"/>
  <c r="Q263" i="1"/>
  <c r="I264" i="1"/>
  <c r="J264" i="1"/>
  <c r="O264" i="1"/>
  <c r="Q264" i="1"/>
  <c r="I265" i="1"/>
  <c r="J265" i="1"/>
  <c r="O265" i="1"/>
  <c r="Q265" i="1"/>
  <c r="I269" i="1"/>
  <c r="J269" i="1"/>
  <c r="O269" i="1"/>
  <c r="P269" i="1" s="1"/>
  <c r="Q269" i="1"/>
  <c r="I272" i="1"/>
  <c r="J272" i="1"/>
  <c r="O272" i="1"/>
  <c r="Q272" i="1"/>
  <c r="I275" i="1"/>
  <c r="J275" i="1"/>
  <c r="O275" i="1"/>
  <c r="Q275" i="1"/>
  <c r="I277" i="1"/>
  <c r="J277" i="1"/>
  <c r="O277" i="1"/>
  <c r="Q277" i="1"/>
  <c r="I278" i="1"/>
  <c r="J278" i="1"/>
  <c r="O278" i="1"/>
  <c r="Q278" i="1"/>
  <c r="I280" i="1"/>
  <c r="J280" i="1"/>
  <c r="O280" i="1"/>
  <c r="Q280" i="1"/>
  <c r="I282" i="1"/>
  <c r="J282" i="1"/>
  <c r="O282" i="1"/>
  <c r="Q282" i="1"/>
  <c r="I283" i="1"/>
  <c r="J283" i="1"/>
  <c r="O283" i="1"/>
  <c r="Q283" i="1"/>
  <c r="I284" i="1"/>
  <c r="J284" i="1"/>
  <c r="O284" i="1"/>
  <c r="R284" i="1" s="1"/>
  <c r="Q284" i="1"/>
  <c r="I285" i="1"/>
  <c r="J285" i="1"/>
  <c r="O285" i="1"/>
  <c r="P285" i="1" s="1"/>
  <c r="Q285" i="1"/>
  <c r="R285" i="1"/>
  <c r="I286" i="1"/>
  <c r="J286" i="1"/>
  <c r="O286" i="1"/>
  <c r="Q286" i="1"/>
  <c r="I289" i="1"/>
  <c r="J289" i="1"/>
  <c r="O289" i="1"/>
  <c r="Q289" i="1"/>
  <c r="I290" i="1"/>
  <c r="J290" i="1"/>
  <c r="O290" i="1"/>
  <c r="P290" i="1" s="1"/>
  <c r="Q290" i="1"/>
  <c r="R290" i="1"/>
  <c r="I294" i="1"/>
  <c r="J294" i="1"/>
  <c r="O294" i="1"/>
  <c r="Q294" i="1"/>
  <c r="I298" i="1"/>
  <c r="J298" i="1"/>
  <c r="O298" i="1"/>
  <c r="R298" i="1" s="1"/>
  <c r="Q298" i="1"/>
  <c r="I300" i="1"/>
  <c r="J300" i="1"/>
  <c r="O300" i="1"/>
  <c r="Q300" i="1"/>
  <c r="I302" i="1"/>
  <c r="J302" i="1"/>
  <c r="O302" i="1"/>
  <c r="Q302" i="1"/>
  <c r="I303" i="1"/>
  <c r="J303" i="1"/>
  <c r="O303" i="1"/>
  <c r="R303" i="1" s="1"/>
  <c r="Q303" i="1"/>
  <c r="I304" i="1"/>
  <c r="J304" i="1"/>
  <c r="O304" i="1"/>
  <c r="P304" i="1" s="1"/>
  <c r="Q304" i="1"/>
  <c r="I305" i="1"/>
  <c r="J305" i="1"/>
  <c r="O305" i="1"/>
  <c r="Q305" i="1"/>
  <c r="I307" i="1"/>
  <c r="J307" i="1"/>
  <c r="O307" i="1"/>
  <c r="R307" i="1" s="1"/>
  <c r="Q307" i="1"/>
  <c r="I308" i="1"/>
  <c r="J308" i="1"/>
  <c r="O308" i="1"/>
  <c r="P308" i="1" s="1"/>
  <c r="Q308" i="1"/>
  <c r="R308" i="1"/>
  <c r="I309" i="1"/>
  <c r="J309" i="1"/>
  <c r="O309" i="1"/>
  <c r="P309" i="1" s="1"/>
  <c r="Q309" i="1"/>
  <c r="R309" i="1"/>
  <c r="I310" i="1"/>
  <c r="J310" i="1"/>
  <c r="O310" i="1"/>
  <c r="R310" i="1" s="1"/>
  <c r="Q310" i="1"/>
  <c r="I312" i="1"/>
  <c r="J312" i="1"/>
  <c r="O312" i="1"/>
  <c r="R312" i="1" s="1"/>
  <c r="Q312" i="1"/>
  <c r="I313" i="1"/>
  <c r="J313" i="1"/>
  <c r="O313" i="1"/>
  <c r="P313" i="1" s="1"/>
  <c r="Q313" i="1"/>
  <c r="I315" i="1"/>
  <c r="J315" i="1"/>
  <c r="O315" i="1"/>
  <c r="R315" i="1" s="1"/>
  <c r="Q315" i="1"/>
  <c r="I317" i="1"/>
  <c r="J317" i="1"/>
  <c r="O317" i="1"/>
  <c r="R317" i="1" s="1"/>
  <c r="Q317" i="1"/>
  <c r="I319" i="1"/>
  <c r="J319" i="1"/>
  <c r="O319" i="1"/>
  <c r="P319" i="1"/>
  <c r="Q319" i="1"/>
  <c r="R319" i="1"/>
  <c r="I320" i="1"/>
  <c r="J320" i="1"/>
  <c r="O320" i="1"/>
  <c r="P320" i="1" s="1"/>
  <c r="Q320" i="1"/>
  <c r="I321" i="1"/>
  <c r="J321" i="1"/>
  <c r="O321" i="1"/>
  <c r="R321" i="1" s="1"/>
  <c r="Q321" i="1"/>
  <c r="I326" i="1"/>
  <c r="J326" i="1"/>
  <c r="O326" i="1"/>
  <c r="P326" i="1" s="1"/>
  <c r="Q326" i="1"/>
  <c r="I330" i="1"/>
  <c r="J330" i="1"/>
  <c r="O330" i="1"/>
  <c r="Q330" i="1"/>
  <c r="I331" i="1"/>
  <c r="J331" i="1"/>
  <c r="O331" i="1"/>
  <c r="R331" i="1" s="1"/>
  <c r="Q331" i="1"/>
  <c r="I332" i="1"/>
  <c r="J332" i="1"/>
  <c r="O332" i="1"/>
  <c r="R332" i="1" s="1"/>
  <c r="Q332" i="1"/>
  <c r="I334" i="1"/>
  <c r="J334" i="1"/>
  <c r="O334" i="1"/>
  <c r="Q334" i="1"/>
  <c r="I336" i="1"/>
  <c r="J336" i="1"/>
  <c r="O336" i="1"/>
  <c r="Q336" i="1"/>
  <c r="I337" i="1"/>
  <c r="J337" i="1"/>
  <c r="O337" i="1"/>
  <c r="R337" i="1" s="1"/>
  <c r="Q337" i="1"/>
  <c r="I341" i="1"/>
  <c r="J341" i="1"/>
  <c r="O341" i="1"/>
  <c r="P341" i="1" s="1"/>
  <c r="Q341" i="1"/>
  <c r="I346" i="1"/>
  <c r="J346" i="1"/>
  <c r="O346" i="1"/>
  <c r="Q346" i="1"/>
  <c r="I347" i="1"/>
  <c r="J347" i="1"/>
  <c r="O347" i="1"/>
  <c r="R347" i="1" s="1"/>
  <c r="P347" i="1"/>
  <c r="Q347" i="1"/>
  <c r="I351" i="1"/>
  <c r="J351" i="1"/>
  <c r="O351" i="1"/>
  <c r="P351" i="1" s="1"/>
  <c r="Q351" i="1"/>
  <c r="I358" i="1"/>
  <c r="J358" i="1"/>
  <c r="O358" i="1"/>
  <c r="Q358" i="1"/>
  <c r="I361" i="1"/>
  <c r="J361" i="1"/>
  <c r="O361" i="1"/>
  <c r="R361" i="1" s="1"/>
  <c r="P361" i="1"/>
  <c r="Q361" i="1"/>
  <c r="I365" i="1"/>
  <c r="J365" i="1"/>
  <c r="O365" i="1"/>
  <c r="Q365" i="1"/>
  <c r="I367" i="1"/>
  <c r="J367" i="1"/>
  <c r="O367" i="1"/>
  <c r="Q367" i="1"/>
  <c r="I368" i="1"/>
  <c r="J368" i="1"/>
  <c r="O368" i="1"/>
  <c r="R368" i="1" s="1"/>
  <c r="Q368" i="1"/>
  <c r="I369" i="1"/>
  <c r="J369" i="1"/>
  <c r="O369" i="1"/>
  <c r="P369" i="1" s="1"/>
  <c r="Q369" i="1"/>
  <c r="I370" i="1"/>
  <c r="J370" i="1"/>
  <c r="O370" i="1"/>
  <c r="Q370" i="1"/>
  <c r="I371" i="1"/>
  <c r="J371" i="1"/>
  <c r="O371" i="1"/>
  <c r="R371" i="1" s="1"/>
  <c r="P371" i="1"/>
  <c r="Q371" i="1"/>
  <c r="I373" i="1"/>
  <c r="J373" i="1"/>
  <c r="O373" i="1"/>
  <c r="P373" i="1" s="1"/>
  <c r="Q373" i="1"/>
  <c r="I374" i="1"/>
  <c r="J374" i="1"/>
  <c r="O374" i="1"/>
  <c r="Q374" i="1"/>
  <c r="I375" i="1"/>
  <c r="J375" i="1"/>
  <c r="O375" i="1"/>
  <c r="R375" i="1" s="1"/>
  <c r="P375" i="1"/>
  <c r="Q375" i="1"/>
  <c r="I376" i="1"/>
  <c r="J376" i="1"/>
  <c r="O376" i="1"/>
  <c r="P376" i="1" s="1"/>
  <c r="Q376" i="1"/>
  <c r="R376" i="1"/>
  <c r="I377" i="1"/>
  <c r="J377" i="1"/>
  <c r="O377" i="1"/>
  <c r="Q377" i="1"/>
  <c r="I378" i="1"/>
  <c r="J378" i="1"/>
  <c r="O378" i="1"/>
  <c r="Q378" i="1"/>
  <c r="I379" i="1"/>
  <c r="J379" i="1"/>
  <c r="O379" i="1"/>
  <c r="P379" i="1" s="1"/>
  <c r="Q379" i="1"/>
  <c r="R379" i="1"/>
  <c r="I380" i="1"/>
  <c r="J380" i="1"/>
  <c r="O380" i="1"/>
  <c r="Q380" i="1"/>
  <c r="I385" i="1"/>
  <c r="J385" i="1"/>
  <c r="O385" i="1"/>
  <c r="R385" i="1" s="1"/>
  <c r="Q385" i="1"/>
  <c r="I387" i="1"/>
  <c r="J387" i="1"/>
  <c r="O387" i="1"/>
  <c r="Q387" i="1"/>
  <c r="I388" i="1"/>
  <c r="J388" i="1"/>
  <c r="O388" i="1"/>
  <c r="Q388" i="1"/>
  <c r="I389" i="1"/>
  <c r="J389" i="1"/>
  <c r="O389" i="1"/>
  <c r="R389" i="1" s="1"/>
  <c r="Q389" i="1"/>
  <c r="I390" i="1"/>
  <c r="J390" i="1"/>
  <c r="O390" i="1"/>
  <c r="P390" i="1" s="1"/>
  <c r="Q390" i="1"/>
  <c r="I393" i="1"/>
  <c r="J393" i="1"/>
  <c r="O393" i="1"/>
  <c r="Q393" i="1"/>
  <c r="I395" i="1"/>
  <c r="J395" i="1"/>
  <c r="O395" i="1"/>
  <c r="Q395" i="1"/>
  <c r="I402" i="1"/>
  <c r="J402" i="1"/>
  <c r="O402" i="1"/>
  <c r="P402" i="1" s="1"/>
  <c r="Q402" i="1"/>
  <c r="R402" i="1"/>
  <c r="I407" i="1"/>
  <c r="J407" i="1"/>
  <c r="O407" i="1"/>
  <c r="Q407" i="1"/>
  <c r="I408" i="1"/>
  <c r="J408" i="1"/>
  <c r="O408" i="1"/>
  <c r="R408" i="1" s="1"/>
  <c r="Q408" i="1"/>
  <c r="I410" i="1"/>
  <c r="J410" i="1"/>
  <c r="O410" i="1"/>
  <c r="Q410" i="1"/>
  <c r="I411" i="1"/>
  <c r="J411" i="1"/>
  <c r="O411" i="1"/>
  <c r="Q411" i="1"/>
  <c r="I415" i="1"/>
  <c r="J415" i="1"/>
  <c r="O415" i="1"/>
  <c r="R415" i="1" s="1"/>
  <c r="P415" i="1"/>
  <c r="Q415" i="1"/>
  <c r="I416" i="1"/>
  <c r="J416" i="1"/>
  <c r="O416" i="1"/>
  <c r="P416" i="1" s="1"/>
  <c r="Q416" i="1"/>
  <c r="I420" i="1"/>
  <c r="J420" i="1"/>
  <c r="O420" i="1"/>
  <c r="P420" i="1" s="1"/>
  <c r="Q420" i="1"/>
  <c r="R420" i="1"/>
  <c r="I421" i="1"/>
  <c r="J421" i="1"/>
  <c r="O421" i="1"/>
  <c r="R421" i="1" s="1"/>
  <c r="Q421" i="1"/>
  <c r="I425" i="1"/>
  <c r="J425" i="1"/>
  <c r="O425" i="1"/>
  <c r="R425" i="1" s="1"/>
  <c r="Q425" i="1"/>
  <c r="I427" i="1"/>
  <c r="J427" i="1"/>
  <c r="O427" i="1"/>
  <c r="P427" i="1" s="1"/>
  <c r="Q427" i="1"/>
  <c r="I428" i="1"/>
  <c r="J428" i="1"/>
  <c r="O428" i="1"/>
  <c r="R428" i="1" s="1"/>
  <c r="Q428" i="1"/>
  <c r="I429" i="1"/>
  <c r="J429" i="1"/>
  <c r="O429" i="1"/>
  <c r="R429" i="1" s="1"/>
  <c r="P429" i="1"/>
  <c r="Q429" i="1"/>
  <c r="I430" i="1"/>
  <c r="J430" i="1"/>
  <c r="O430" i="1"/>
  <c r="P430" i="1" s="1"/>
  <c r="Q430" i="1"/>
  <c r="I432" i="1"/>
  <c r="J432" i="1"/>
  <c r="O432" i="1"/>
  <c r="R432" i="1" s="1"/>
  <c r="Q432" i="1"/>
  <c r="I436" i="1"/>
  <c r="J436" i="1"/>
  <c r="O436" i="1"/>
  <c r="R436" i="1" s="1"/>
  <c r="Q436" i="1"/>
  <c r="I437" i="1"/>
  <c r="J437" i="1"/>
  <c r="O437" i="1"/>
  <c r="P437" i="1" s="1"/>
  <c r="Q437" i="1"/>
  <c r="I439" i="1"/>
  <c r="J439" i="1"/>
  <c r="O439" i="1"/>
  <c r="R439" i="1" s="1"/>
  <c r="Q439" i="1"/>
  <c r="I445" i="1"/>
  <c r="J445" i="1"/>
  <c r="O445" i="1"/>
  <c r="R445" i="1" s="1"/>
  <c r="P445" i="1"/>
  <c r="Q445" i="1"/>
  <c r="I446" i="1"/>
  <c r="J446" i="1"/>
  <c r="O446" i="1"/>
  <c r="P446" i="1" s="1"/>
  <c r="Q446" i="1"/>
  <c r="I452" i="1"/>
  <c r="J452" i="1"/>
  <c r="O452" i="1"/>
  <c r="R452" i="1" s="1"/>
  <c r="Q452" i="1"/>
  <c r="I453" i="1"/>
  <c r="J453" i="1"/>
  <c r="O453" i="1"/>
  <c r="R453" i="1" s="1"/>
  <c r="Q453" i="1"/>
  <c r="I455" i="1"/>
  <c r="J455" i="1"/>
  <c r="O455" i="1"/>
  <c r="P455" i="1" s="1"/>
  <c r="Q455" i="1"/>
  <c r="I463" i="1"/>
  <c r="J463" i="1"/>
  <c r="O463" i="1"/>
  <c r="R463" i="1" s="1"/>
  <c r="Q463" i="1"/>
  <c r="I465" i="1"/>
  <c r="J465" i="1"/>
  <c r="O465" i="1"/>
  <c r="R465" i="1" s="1"/>
  <c r="P465" i="1"/>
  <c r="Q465" i="1"/>
  <c r="I466" i="1"/>
  <c r="J466" i="1"/>
  <c r="O466" i="1"/>
  <c r="P466" i="1" s="1"/>
  <c r="Q466" i="1"/>
  <c r="I467" i="1"/>
  <c r="J467" i="1"/>
  <c r="O467" i="1"/>
  <c r="R467" i="1" s="1"/>
  <c r="Q467" i="1"/>
  <c r="I468" i="1"/>
  <c r="J468" i="1"/>
  <c r="O468" i="1"/>
  <c r="R468" i="1" s="1"/>
  <c r="Q468" i="1"/>
  <c r="I469" i="1"/>
  <c r="J469" i="1"/>
  <c r="O469" i="1"/>
  <c r="P469" i="1" s="1"/>
  <c r="Q469" i="1"/>
  <c r="I470" i="1"/>
  <c r="J470" i="1"/>
  <c r="O470" i="1"/>
  <c r="Q470" i="1"/>
  <c r="I471" i="1"/>
  <c r="J471" i="1"/>
  <c r="O471" i="1"/>
  <c r="R471" i="1" s="1"/>
  <c r="Q471" i="1"/>
  <c r="I472" i="1"/>
  <c r="J472" i="1"/>
  <c r="O472" i="1"/>
  <c r="P472" i="1" s="1"/>
  <c r="Q472" i="1"/>
  <c r="R472" i="1"/>
  <c r="I474" i="1"/>
  <c r="J474" i="1"/>
  <c r="O474" i="1"/>
  <c r="Q474" i="1"/>
  <c r="I475" i="1"/>
  <c r="J475" i="1"/>
  <c r="O475" i="1"/>
  <c r="R475" i="1" s="1"/>
  <c r="P475" i="1"/>
  <c r="Q475" i="1"/>
  <c r="I477" i="1"/>
  <c r="J477" i="1"/>
  <c r="O477" i="1"/>
  <c r="P477" i="1" s="1"/>
  <c r="Q477" i="1"/>
  <c r="I478" i="1"/>
  <c r="J478" i="1"/>
  <c r="O478" i="1"/>
  <c r="Q478" i="1"/>
  <c r="I479" i="1"/>
  <c r="J479" i="1"/>
  <c r="O479" i="1"/>
  <c r="R479" i="1" s="1"/>
  <c r="Q479" i="1"/>
  <c r="I481" i="1"/>
  <c r="J481" i="1"/>
  <c r="O481" i="1"/>
  <c r="P481" i="1" s="1"/>
  <c r="Q481" i="1"/>
  <c r="R481" i="1"/>
  <c r="I482" i="1"/>
  <c r="J482" i="1"/>
  <c r="O482" i="1"/>
  <c r="Q482" i="1"/>
  <c r="I484" i="1"/>
  <c r="J484" i="1"/>
  <c r="O484" i="1"/>
  <c r="Q484" i="1"/>
  <c r="I485" i="1"/>
  <c r="J485" i="1"/>
  <c r="O485" i="1"/>
  <c r="Q485" i="1"/>
  <c r="I486" i="1"/>
  <c r="J486" i="1"/>
  <c r="O486" i="1"/>
  <c r="Q486" i="1"/>
  <c r="I487" i="1"/>
  <c r="J487" i="1"/>
  <c r="O487" i="1"/>
  <c r="R487" i="1" s="1"/>
  <c r="Q487" i="1"/>
  <c r="I489" i="1"/>
  <c r="J489" i="1"/>
  <c r="O489" i="1"/>
  <c r="P489" i="1" s="1"/>
  <c r="Q489" i="1"/>
  <c r="I490" i="1"/>
  <c r="J490" i="1"/>
  <c r="O490" i="1"/>
  <c r="Q490" i="1"/>
  <c r="I491" i="1"/>
  <c r="J491" i="1"/>
  <c r="O491" i="1"/>
  <c r="R491" i="1" s="1"/>
  <c r="Q491" i="1"/>
  <c r="I494" i="1"/>
  <c r="J494" i="1"/>
  <c r="O494" i="1"/>
  <c r="P494" i="1" s="1"/>
  <c r="Q494" i="1"/>
  <c r="R494" i="1"/>
  <c r="I495" i="1"/>
  <c r="J495" i="1"/>
  <c r="O495" i="1"/>
  <c r="Q495" i="1"/>
  <c r="I496" i="1"/>
  <c r="J496" i="1"/>
  <c r="O496" i="1"/>
  <c r="Q496" i="1"/>
  <c r="I498" i="1"/>
  <c r="J498" i="1"/>
  <c r="O498" i="1"/>
  <c r="Q498" i="1"/>
  <c r="I499" i="1"/>
  <c r="J499" i="1"/>
  <c r="O499" i="1"/>
  <c r="Q499" i="1"/>
  <c r="I501" i="1"/>
  <c r="J501" i="1"/>
  <c r="O501" i="1"/>
  <c r="Q501" i="1"/>
  <c r="I502" i="1"/>
  <c r="J502" i="1"/>
  <c r="O502" i="1"/>
  <c r="P502" i="1" s="1"/>
  <c r="Q502" i="1"/>
  <c r="I503" i="1"/>
  <c r="J503" i="1"/>
  <c r="O503" i="1"/>
  <c r="Q503" i="1"/>
  <c r="I504" i="1"/>
  <c r="J504" i="1"/>
  <c r="O504" i="1"/>
  <c r="Q504" i="1"/>
  <c r="I505" i="1"/>
  <c r="J505" i="1"/>
  <c r="O505" i="1"/>
  <c r="P505" i="1" s="1"/>
  <c r="Q505" i="1"/>
  <c r="I506" i="1"/>
  <c r="J506" i="1"/>
  <c r="O506" i="1"/>
  <c r="Q506" i="1"/>
  <c r="I507" i="1"/>
  <c r="J507" i="1"/>
  <c r="O507" i="1"/>
  <c r="Q507" i="1"/>
  <c r="I508" i="1"/>
  <c r="J508" i="1"/>
  <c r="O508" i="1"/>
  <c r="Q508" i="1"/>
  <c r="I509" i="1"/>
  <c r="J509" i="1"/>
  <c r="O509" i="1"/>
  <c r="Q509" i="1"/>
  <c r="I510" i="1"/>
  <c r="J510" i="1"/>
  <c r="O510" i="1"/>
  <c r="Q510" i="1"/>
  <c r="I511" i="1"/>
  <c r="J511" i="1"/>
  <c r="O511" i="1"/>
  <c r="P511" i="1" s="1"/>
  <c r="Q511" i="1"/>
  <c r="I512" i="1"/>
  <c r="J512" i="1"/>
  <c r="O512" i="1"/>
  <c r="Q512" i="1"/>
  <c r="I513" i="1"/>
  <c r="J513" i="1"/>
  <c r="O513" i="1"/>
  <c r="Q513" i="1"/>
  <c r="I514" i="1"/>
  <c r="J514" i="1"/>
  <c r="O514" i="1"/>
  <c r="P514" i="1" s="1"/>
  <c r="Q514" i="1"/>
  <c r="I515" i="1"/>
  <c r="J515" i="1"/>
  <c r="O515" i="1"/>
  <c r="Q515" i="1"/>
  <c r="I520" i="1"/>
  <c r="J520" i="1"/>
  <c r="O520" i="1"/>
  <c r="Q520" i="1"/>
  <c r="I521" i="1"/>
  <c r="J521" i="1"/>
  <c r="O521" i="1"/>
  <c r="Q521" i="1"/>
  <c r="I522" i="1"/>
  <c r="J522" i="1"/>
  <c r="O522" i="1"/>
  <c r="Q522" i="1"/>
  <c r="I523" i="1"/>
  <c r="J523" i="1"/>
  <c r="O523" i="1"/>
  <c r="Q523" i="1"/>
  <c r="I524" i="1"/>
  <c r="J524" i="1"/>
  <c r="O524" i="1"/>
  <c r="P524" i="1" s="1"/>
  <c r="Q524" i="1"/>
  <c r="I526" i="1"/>
  <c r="J526" i="1"/>
  <c r="O526" i="1"/>
  <c r="Q526" i="1"/>
  <c r="I528" i="1"/>
  <c r="J528" i="1"/>
  <c r="O528" i="1"/>
  <c r="Q528" i="1"/>
  <c r="I530" i="1"/>
  <c r="J530" i="1"/>
  <c r="O530" i="1"/>
  <c r="P530" i="1" s="1"/>
  <c r="Q530" i="1"/>
  <c r="I531" i="1"/>
  <c r="J531" i="1"/>
  <c r="O531" i="1"/>
  <c r="Q531" i="1"/>
  <c r="I533" i="1"/>
  <c r="J533" i="1"/>
  <c r="O533" i="1"/>
  <c r="Q533" i="1"/>
  <c r="I535" i="1"/>
  <c r="J535" i="1"/>
  <c r="O535" i="1"/>
  <c r="Q535" i="1"/>
  <c r="I537" i="1"/>
  <c r="J537" i="1"/>
  <c r="O537" i="1"/>
  <c r="Q537" i="1"/>
  <c r="I538" i="1"/>
  <c r="J538" i="1"/>
  <c r="O538" i="1"/>
  <c r="Q538" i="1"/>
  <c r="I539" i="1"/>
  <c r="J539" i="1"/>
  <c r="O539" i="1"/>
  <c r="Q539" i="1"/>
  <c r="I541" i="1"/>
  <c r="J541" i="1"/>
  <c r="O541" i="1"/>
  <c r="Q541" i="1"/>
  <c r="I543" i="1"/>
  <c r="J543" i="1"/>
  <c r="O543" i="1"/>
  <c r="R543" i="1" s="1"/>
  <c r="Q543" i="1"/>
  <c r="I544" i="1"/>
  <c r="J544" i="1"/>
  <c r="O544" i="1"/>
  <c r="P544" i="1" s="1"/>
  <c r="Q544" i="1"/>
  <c r="I545" i="1"/>
  <c r="J545" i="1"/>
  <c r="O545" i="1"/>
  <c r="Q545" i="1"/>
  <c r="I546" i="1"/>
  <c r="J546" i="1"/>
  <c r="O546" i="1"/>
  <c r="R546" i="1" s="1"/>
  <c r="Q546" i="1"/>
  <c r="I547" i="1"/>
  <c r="J547" i="1"/>
  <c r="O547" i="1"/>
  <c r="P547" i="1" s="1"/>
  <c r="Q547" i="1"/>
  <c r="I548" i="1"/>
  <c r="J548" i="1"/>
  <c r="O548" i="1"/>
  <c r="Q548" i="1"/>
  <c r="I550" i="1"/>
  <c r="J550" i="1"/>
  <c r="O550" i="1"/>
  <c r="Q550" i="1"/>
  <c r="I551" i="1"/>
  <c r="J551" i="1"/>
  <c r="O551" i="1"/>
  <c r="Q551" i="1"/>
  <c r="I553" i="1"/>
  <c r="J553" i="1"/>
  <c r="O553" i="1"/>
  <c r="Q553" i="1"/>
  <c r="I554" i="1"/>
  <c r="J554" i="1"/>
  <c r="O554" i="1"/>
  <c r="R554" i="1" s="1"/>
  <c r="Q554" i="1"/>
  <c r="I556" i="1"/>
  <c r="J556" i="1"/>
  <c r="O556" i="1"/>
  <c r="P556" i="1" s="1"/>
  <c r="Q556" i="1"/>
  <c r="R556" i="1"/>
  <c r="I557" i="1"/>
  <c r="J557" i="1"/>
  <c r="O557" i="1"/>
  <c r="Q557" i="1"/>
  <c r="I559" i="1"/>
  <c r="J559" i="1"/>
  <c r="O559" i="1"/>
  <c r="R559" i="1" s="1"/>
  <c r="Q559" i="1"/>
  <c r="I561" i="1"/>
  <c r="J561" i="1"/>
  <c r="O561" i="1"/>
  <c r="P561" i="1" s="1"/>
  <c r="Q561" i="1"/>
  <c r="I562" i="1"/>
  <c r="J562" i="1"/>
  <c r="O562" i="1"/>
  <c r="Q562" i="1"/>
  <c r="I563" i="1"/>
  <c r="J563" i="1"/>
  <c r="O563" i="1"/>
  <c r="Q563" i="1"/>
  <c r="I564" i="1"/>
  <c r="J564" i="1"/>
  <c r="O564" i="1"/>
  <c r="Q564" i="1"/>
  <c r="I565" i="1"/>
  <c r="J565" i="1"/>
  <c r="O565" i="1"/>
  <c r="Q565" i="1"/>
  <c r="I566" i="1"/>
  <c r="J566" i="1"/>
  <c r="O566" i="1"/>
  <c r="R566" i="1" s="1"/>
  <c r="Q566" i="1"/>
  <c r="I568" i="1"/>
  <c r="J568" i="1"/>
  <c r="O568" i="1"/>
  <c r="P568" i="1" s="1"/>
  <c r="Q568" i="1"/>
  <c r="I569" i="1"/>
  <c r="J569" i="1"/>
  <c r="O569" i="1"/>
  <c r="Q569" i="1"/>
  <c r="I571" i="1"/>
  <c r="J571" i="1"/>
  <c r="O571" i="1"/>
  <c r="R571" i="1" s="1"/>
  <c r="Q571" i="1"/>
  <c r="I572" i="1"/>
  <c r="J572" i="1"/>
  <c r="O572" i="1"/>
  <c r="P572" i="1" s="1"/>
  <c r="Q572" i="1"/>
  <c r="I573" i="1"/>
  <c r="J573" i="1"/>
  <c r="O573" i="1"/>
  <c r="Q573" i="1"/>
  <c r="I575" i="1"/>
  <c r="J575" i="1"/>
  <c r="O575" i="1"/>
  <c r="R575" i="1" s="1"/>
  <c r="Q575" i="1"/>
  <c r="I576" i="1"/>
  <c r="J576" i="1"/>
  <c r="O576" i="1"/>
  <c r="P576" i="1" s="1"/>
  <c r="Q576" i="1"/>
  <c r="R576" i="1"/>
  <c r="I577" i="1"/>
  <c r="J577" i="1"/>
  <c r="O577" i="1"/>
  <c r="R577" i="1" s="1"/>
  <c r="Q577" i="1"/>
  <c r="I580" i="1"/>
  <c r="J580" i="1"/>
  <c r="O580" i="1"/>
  <c r="R580" i="1" s="1"/>
  <c r="P580" i="1"/>
  <c r="Q580" i="1"/>
  <c r="I581" i="1"/>
  <c r="J581" i="1"/>
  <c r="O581" i="1"/>
  <c r="R581" i="1" s="1"/>
  <c r="Q581" i="1"/>
  <c r="I582" i="1"/>
  <c r="J582" i="1"/>
  <c r="O582" i="1"/>
  <c r="Q582" i="1"/>
  <c r="I583" i="1"/>
  <c r="J583" i="1"/>
  <c r="O583" i="1"/>
  <c r="R583" i="1" s="1"/>
  <c r="Q583" i="1"/>
  <c r="I584" i="1"/>
  <c r="J584" i="1"/>
  <c r="O584" i="1"/>
  <c r="P584" i="1"/>
  <c r="Q584" i="1"/>
  <c r="R584" i="1"/>
  <c r="I585" i="1"/>
  <c r="J585" i="1"/>
  <c r="O585" i="1"/>
  <c r="P585" i="1" s="1"/>
  <c r="Q585" i="1"/>
  <c r="R585" i="1"/>
  <c r="I586" i="1"/>
  <c r="J586" i="1"/>
  <c r="O586" i="1"/>
  <c r="R586" i="1" s="1"/>
  <c r="Q586" i="1"/>
  <c r="I587" i="1"/>
  <c r="J587" i="1"/>
  <c r="O587" i="1"/>
  <c r="R587" i="1" s="1"/>
  <c r="Q587" i="1"/>
  <c r="I590" i="1"/>
  <c r="J590" i="1"/>
  <c r="O590" i="1"/>
  <c r="P590" i="1" s="1"/>
  <c r="Q590" i="1"/>
  <c r="I591" i="1"/>
  <c r="J591" i="1"/>
  <c r="O591" i="1"/>
  <c r="R591" i="1" s="1"/>
  <c r="Q591" i="1"/>
  <c r="I592" i="1"/>
  <c r="J592" i="1"/>
  <c r="O592" i="1"/>
  <c r="P592" i="1" s="1"/>
  <c r="Q592" i="1"/>
  <c r="R592" i="1"/>
  <c r="I594" i="1"/>
  <c r="J594" i="1"/>
  <c r="O594" i="1"/>
  <c r="Q594" i="1"/>
  <c r="I596" i="1"/>
  <c r="J596" i="1"/>
  <c r="O596" i="1"/>
  <c r="P596" i="1" s="1"/>
  <c r="Q596" i="1"/>
  <c r="I597" i="1"/>
  <c r="J597" i="1"/>
  <c r="O597" i="1"/>
  <c r="P597" i="1" s="1"/>
  <c r="Q597" i="1"/>
  <c r="I598" i="1"/>
  <c r="J598" i="1"/>
  <c r="O598" i="1"/>
  <c r="R598" i="1" s="1"/>
  <c r="Q598" i="1"/>
  <c r="I599" i="1"/>
  <c r="J599" i="1"/>
  <c r="O599" i="1"/>
  <c r="R599" i="1" s="1"/>
  <c r="Q599" i="1"/>
  <c r="I602" i="1"/>
  <c r="J602" i="1"/>
  <c r="O602" i="1"/>
  <c r="P602" i="1" s="1"/>
  <c r="Q602" i="1"/>
  <c r="R602" i="1"/>
  <c r="I603" i="1"/>
  <c r="J603" i="1"/>
  <c r="O603" i="1"/>
  <c r="R603" i="1" s="1"/>
  <c r="Q603" i="1"/>
  <c r="I604" i="1"/>
  <c r="J604" i="1"/>
  <c r="O604" i="1"/>
  <c r="P604" i="1" s="1"/>
  <c r="Q604" i="1"/>
  <c r="I605" i="1"/>
  <c r="J605" i="1"/>
  <c r="O605" i="1"/>
  <c r="P605" i="1" s="1"/>
  <c r="Q605" i="1"/>
  <c r="I608" i="1"/>
  <c r="J608" i="1"/>
  <c r="O608" i="1"/>
  <c r="R608" i="1" s="1"/>
  <c r="Q608" i="1"/>
  <c r="I610" i="1"/>
  <c r="J610" i="1"/>
  <c r="O610" i="1"/>
  <c r="P610" i="1" s="1"/>
  <c r="Q610" i="1"/>
  <c r="R610" i="1"/>
  <c r="I611" i="1"/>
  <c r="J611" i="1"/>
  <c r="O611" i="1"/>
  <c r="P611" i="1" s="1"/>
  <c r="Q611" i="1"/>
  <c r="I612" i="1"/>
  <c r="J612" i="1"/>
  <c r="O612" i="1"/>
  <c r="R612" i="1" s="1"/>
  <c r="P612" i="1"/>
  <c r="Q612" i="1"/>
  <c r="I617" i="1"/>
  <c r="J617" i="1"/>
  <c r="O617" i="1"/>
  <c r="R617" i="1" s="1"/>
  <c r="Q617" i="1"/>
  <c r="I618" i="1"/>
  <c r="J618" i="1"/>
  <c r="O618" i="1"/>
  <c r="P618" i="1" s="1"/>
  <c r="Q618" i="1"/>
  <c r="I620" i="1"/>
  <c r="J620" i="1"/>
  <c r="O620" i="1"/>
  <c r="R620" i="1" s="1"/>
  <c r="Q620" i="1"/>
  <c r="I621" i="1"/>
  <c r="J621" i="1"/>
  <c r="O621" i="1"/>
  <c r="P621" i="1" s="1"/>
  <c r="Q621" i="1"/>
  <c r="I624" i="1"/>
  <c r="J624" i="1"/>
  <c r="O624" i="1"/>
  <c r="P624" i="1" s="1"/>
  <c r="Q624" i="1"/>
  <c r="I625" i="1"/>
  <c r="J625" i="1"/>
  <c r="O625" i="1"/>
  <c r="R625" i="1" s="1"/>
  <c r="Q625" i="1"/>
  <c r="I626" i="1"/>
  <c r="J626" i="1"/>
  <c r="O626" i="1"/>
  <c r="P626" i="1" s="1"/>
  <c r="Q626" i="1"/>
  <c r="R626" i="1"/>
  <c r="I628" i="1"/>
  <c r="J628" i="1"/>
  <c r="O628" i="1"/>
  <c r="P628" i="1" s="1"/>
  <c r="Q628" i="1"/>
  <c r="I629" i="1"/>
  <c r="J629" i="1"/>
  <c r="O629" i="1"/>
  <c r="R629" i="1" s="1"/>
  <c r="P629" i="1"/>
  <c r="Q629" i="1"/>
  <c r="I630" i="1"/>
  <c r="J630" i="1"/>
  <c r="O630" i="1"/>
  <c r="Q630" i="1"/>
  <c r="I631" i="1"/>
  <c r="J631" i="1"/>
  <c r="O631" i="1"/>
  <c r="R631" i="1" s="1"/>
  <c r="Q631" i="1"/>
  <c r="I633" i="1"/>
  <c r="J633" i="1"/>
  <c r="O633" i="1"/>
  <c r="R633" i="1" s="1"/>
  <c r="Q633" i="1"/>
  <c r="I634" i="1"/>
  <c r="J634" i="1"/>
  <c r="O634" i="1"/>
  <c r="Q634" i="1"/>
  <c r="I635" i="1"/>
  <c r="J635" i="1"/>
  <c r="O635" i="1"/>
  <c r="Q635" i="1"/>
  <c r="I636" i="1"/>
  <c r="J636" i="1"/>
  <c r="O636" i="1"/>
  <c r="P636" i="1" s="1"/>
  <c r="Q636" i="1"/>
  <c r="I640" i="1"/>
  <c r="J640" i="1"/>
  <c r="O640" i="1"/>
  <c r="Q640" i="1"/>
  <c r="I642" i="1"/>
  <c r="J642" i="1"/>
  <c r="O642" i="1"/>
  <c r="Q642" i="1"/>
  <c r="I643" i="1"/>
  <c r="J643" i="1"/>
  <c r="O643" i="1"/>
  <c r="P643" i="1" s="1"/>
  <c r="Q643" i="1"/>
  <c r="I645" i="1"/>
  <c r="J645" i="1"/>
  <c r="O645" i="1"/>
  <c r="Q645" i="1"/>
  <c r="I646" i="1"/>
  <c r="J646" i="1"/>
  <c r="O646" i="1"/>
  <c r="Q646" i="1"/>
  <c r="I647" i="1"/>
  <c r="J647" i="1"/>
  <c r="O647" i="1"/>
  <c r="P647" i="1" s="1"/>
  <c r="Q647" i="1"/>
  <c r="I648" i="1"/>
  <c r="J648" i="1"/>
  <c r="O648" i="1"/>
  <c r="Q648" i="1"/>
  <c r="I649" i="1"/>
  <c r="J649" i="1"/>
  <c r="O649" i="1"/>
  <c r="Q649" i="1"/>
  <c r="I650" i="1"/>
  <c r="J650" i="1"/>
  <c r="O650" i="1"/>
  <c r="Q650" i="1"/>
  <c r="I651" i="1"/>
  <c r="J651" i="1"/>
  <c r="O651" i="1"/>
  <c r="Q651" i="1"/>
  <c r="I652" i="1"/>
  <c r="J652" i="1"/>
  <c r="O652" i="1"/>
  <c r="Q652" i="1"/>
  <c r="I653" i="1"/>
  <c r="J653" i="1"/>
  <c r="O653" i="1"/>
  <c r="Q653" i="1"/>
  <c r="I654" i="1"/>
  <c r="J654" i="1"/>
  <c r="O654" i="1"/>
  <c r="Q654" i="1"/>
  <c r="I655" i="1"/>
  <c r="J655" i="1"/>
  <c r="O655" i="1"/>
  <c r="Q655" i="1"/>
  <c r="I656" i="1"/>
  <c r="J656" i="1"/>
  <c r="O656" i="1"/>
  <c r="Q656" i="1"/>
  <c r="I657" i="1"/>
  <c r="J657" i="1"/>
  <c r="O657" i="1"/>
  <c r="Q657" i="1"/>
  <c r="I658" i="1"/>
  <c r="J658" i="1"/>
  <c r="O658" i="1"/>
  <c r="Q658" i="1"/>
  <c r="I660" i="1"/>
  <c r="J660" i="1"/>
  <c r="O660" i="1"/>
  <c r="R660" i="1" s="1"/>
  <c r="Q660" i="1"/>
  <c r="I661" i="1"/>
  <c r="J661" i="1"/>
  <c r="O661" i="1"/>
  <c r="P661" i="1" s="1"/>
  <c r="Q661" i="1"/>
  <c r="I663" i="1"/>
  <c r="J663" i="1"/>
  <c r="O663" i="1"/>
  <c r="Q663" i="1"/>
  <c r="I664" i="1"/>
  <c r="J664" i="1"/>
  <c r="O664" i="1"/>
  <c r="R664" i="1" s="1"/>
  <c r="Q664" i="1"/>
  <c r="I665" i="1"/>
  <c r="J665" i="1"/>
  <c r="O665" i="1"/>
  <c r="P665" i="1" s="1"/>
  <c r="Q665" i="1"/>
  <c r="I669" i="1"/>
  <c r="J669" i="1"/>
  <c r="O669" i="1"/>
  <c r="Q669" i="1"/>
  <c r="I670" i="1"/>
  <c r="J670" i="1"/>
  <c r="O670" i="1"/>
  <c r="R670" i="1" s="1"/>
  <c r="Q670" i="1"/>
  <c r="I672" i="1"/>
  <c r="J672" i="1"/>
  <c r="O672" i="1"/>
  <c r="P672" i="1" s="1"/>
  <c r="Q672" i="1"/>
  <c r="I673" i="1"/>
  <c r="J673" i="1"/>
  <c r="O673" i="1"/>
  <c r="Q673" i="1"/>
  <c r="I674" i="1"/>
  <c r="J674" i="1"/>
  <c r="O674" i="1"/>
  <c r="R674" i="1" s="1"/>
  <c r="Q674" i="1"/>
  <c r="I675" i="1"/>
  <c r="J675" i="1"/>
  <c r="O675" i="1"/>
  <c r="P675" i="1" s="1"/>
  <c r="Q675" i="1"/>
  <c r="R675" i="1"/>
  <c r="I676" i="1"/>
  <c r="J676" i="1"/>
  <c r="O676" i="1"/>
  <c r="Q676" i="1"/>
  <c r="I678" i="1"/>
  <c r="J678" i="1"/>
  <c r="O678" i="1"/>
  <c r="R678" i="1" s="1"/>
  <c r="P678" i="1"/>
  <c r="Q678" i="1"/>
  <c r="I679" i="1"/>
  <c r="J679" i="1"/>
  <c r="O679" i="1"/>
  <c r="P679" i="1" s="1"/>
  <c r="Q679" i="1"/>
  <c r="I680" i="1"/>
  <c r="J680" i="1"/>
  <c r="O680" i="1"/>
  <c r="R680" i="1" s="1"/>
  <c r="Q680" i="1"/>
  <c r="I681" i="1"/>
  <c r="J681" i="1"/>
  <c r="O681" i="1"/>
  <c r="P681" i="1" s="1"/>
  <c r="Q681" i="1"/>
  <c r="R681" i="1"/>
  <c r="I682" i="1"/>
  <c r="J682" i="1"/>
  <c r="O682" i="1"/>
  <c r="P682" i="1" s="1"/>
  <c r="Q682" i="1"/>
  <c r="I683" i="1"/>
  <c r="J683" i="1"/>
  <c r="O683" i="1"/>
  <c r="R683" i="1" s="1"/>
  <c r="Q683" i="1"/>
  <c r="I685" i="1"/>
  <c r="J685" i="1"/>
  <c r="O685" i="1"/>
  <c r="P685" i="1" s="1"/>
  <c r="Q685" i="1"/>
  <c r="R685" i="1"/>
  <c r="I686" i="1"/>
  <c r="J686" i="1"/>
  <c r="O686" i="1"/>
  <c r="P686" i="1" s="1"/>
  <c r="Q686" i="1"/>
  <c r="I687" i="1"/>
  <c r="J687" i="1"/>
  <c r="O687" i="1"/>
  <c r="R687" i="1" s="1"/>
  <c r="P687" i="1"/>
  <c r="Q687" i="1"/>
  <c r="I688" i="1"/>
  <c r="J688" i="1"/>
  <c r="O688" i="1"/>
  <c r="P688" i="1" s="1"/>
  <c r="Q688" i="1"/>
  <c r="I689" i="1"/>
  <c r="J689" i="1"/>
  <c r="O689" i="1"/>
  <c r="P689" i="1" s="1"/>
  <c r="Q689" i="1"/>
  <c r="I691" i="1"/>
  <c r="J691" i="1"/>
  <c r="O691" i="1"/>
  <c r="P691" i="1" s="1"/>
  <c r="Q691" i="1"/>
  <c r="I693" i="1"/>
  <c r="J693" i="1"/>
  <c r="O693" i="1"/>
  <c r="P693" i="1" s="1"/>
  <c r="Q693" i="1"/>
  <c r="I694" i="1"/>
  <c r="J694" i="1"/>
  <c r="O694" i="1"/>
  <c r="P694" i="1" s="1"/>
  <c r="Q694" i="1"/>
  <c r="I695" i="1"/>
  <c r="J695" i="1"/>
  <c r="O695" i="1"/>
  <c r="P695" i="1" s="1"/>
  <c r="Q695" i="1"/>
  <c r="I698" i="1"/>
  <c r="J698" i="1"/>
  <c r="O698" i="1"/>
  <c r="P698" i="1" s="1"/>
  <c r="Q698" i="1"/>
  <c r="I704" i="1"/>
  <c r="J704" i="1"/>
  <c r="O704" i="1"/>
  <c r="P704" i="1" s="1"/>
  <c r="Q704" i="1"/>
  <c r="I707" i="1"/>
  <c r="J707" i="1"/>
  <c r="O707" i="1"/>
  <c r="P707" i="1" s="1"/>
  <c r="Q707" i="1"/>
  <c r="R707" i="1"/>
  <c r="I708" i="1"/>
  <c r="J708" i="1"/>
  <c r="O708" i="1"/>
  <c r="P708" i="1" s="1"/>
  <c r="Q708" i="1"/>
  <c r="I709" i="1"/>
  <c r="J709" i="1"/>
  <c r="O709" i="1"/>
  <c r="Q709" i="1"/>
  <c r="I710" i="1"/>
  <c r="J710" i="1"/>
  <c r="O710" i="1"/>
  <c r="R710" i="1" s="1"/>
  <c r="Q710" i="1"/>
  <c r="I711" i="1"/>
  <c r="J711" i="1"/>
  <c r="O711" i="1"/>
  <c r="P711" i="1" s="1"/>
  <c r="Q711" i="1"/>
  <c r="I712" i="1"/>
  <c r="J712" i="1"/>
  <c r="O712" i="1"/>
  <c r="Q712" i="1"/>
  <c r="I713" i="1"/>
  <c r="J713" i="1"/>
  <c r="O713" i="1"/>
  <c r="R713" i="1" s="1"/>
  <c r="Q713" i="1"/>
  <c r="I714" i="1"/>
  <c r="J714" i="1"/>
  <c r="O714" i="1"/>
  <c r="P714" i="1" s="1"/>
  <c r="Q714" i="1"/>
  <c r="I715" i="1"/>
  <c r="J715" i="1"/>
  <c r="O715" i="1"/>
  <c r="Q715" i="1"/>
  <c r="I716" i="1"/>
  <c r="J716" i="1"/>
  <c r="O716" i="1"/>
  <c r="R716" i="1" s="1"/>
  <c r="Q716" i="1"/>
  <c r="I719" i="1"/>
  <c r="J719" i="1"/>
  <c r="O719" i="1"/>
  <c r="Q719" i="1"/>
  <c r="I720" i="1"/>
  <c r="J720" i="1"/>
  <c r="O720" i="1"/>
  <c r="Q720" i="1"/>
  <c r="I721" i="1"/>
  <c r="J721" i="1"/>
  <c r="O721" i="1"/>
  <c r="R721" i="1" s="1"/>
  <c r="Q721" i="1"/>
  <c r="I723" i="1"/>
  <c r="J723" i="1"/>
  <c r="O723" i="1"/>
  <c r="Q723" i="1"/>
  <c r="I724" i="1"/>
  <c r="J724" i="1"/>
  <c r="O724" i="1"/>
  <c r="Q724" i="1"/>
  <c r="I726" i="1"/>
  <c r="J726" i="1"/>
  <c r="O726" i="1"/>
  <c r="R726" i="1" s="1"/>
  <c r="Q726" i="1"/>
  <c r="I728" i="1"/>
  <c r="J728" i="1"/>
  <c r="O728" i="1"/>
  <c r="Q728" i="1"/>
  <c r="I730" i="1"/>
  <c r="J730" i="1"/>
  <c r="O730" i="1"/>
  <c r="Q730" i="1"/>
  <c r="I731" i="1"/>
  <c r="J731" i="1"/>
  <c r="O731" i="1"/>
  <c r="R731" i="1" s="1"/>
  <c r="Q731" i="1"/>
  <c r="I732" i="1"/>
  <c r="J732" i="1"/>
  <c r="O732" i="1"/>
  <c r="Q732" i="1"/>
  <c r="I733" i="1"/>
  <c r="J733" i="1"/>
  <c r="O733" i="1"/>
  <c r="Q733" i="1"/>
  <c r="I734" i="1"/>
  <c r="J734" i="1"/>
  <c r="O734" i="1"/>
  <c r="R734" i="1" s="1"/>
  <c r="Q734" i="1"/>
  <c r="I736" i="1"/>
  <c r="J736" i="1"/>
  <c r="O736" i="1"/>
  <c r="Q736" i="1"/>
  <c r="I737" i="1"/>
  <c r="J737" i="1"/>
  <c r="O737" i="1"/>
  <c r="Q737" i="1"/>
  <c r="I738" i="1"/>
  <c r="J738" i="1"/>
  <c r="O738" i="1"/>
  <c r="R738" i="1" s="1"/>
  <c r="Q738" i="1"/>
  <c r="I739" i="1"/>
  <c r="J739" i="1"/>
  <c r="O739" i="1"/>
  <c r="Q739" i="1"/>
  <c r="I740" i="1"/>
  <c r="J740" i="1"/>
  <c r="O740" i="1"/>
  <c r="Q740" i="1"/>
  <c r="I741" i="1"/>
  <c r="J741" i="1"/>
  <c r="O741" i="1"/>
  <c r="Q741" i="1"/>
  <c r="I742" i="1"/>
  <c r="J742" i="1"/>
  <c r="O742" i="1"/>
  <c r="Q742" i="1"/>
  <c r="I743" i="1"/>
  <c r="J743" i="1"/>
  <c r="O743" i="1"/>
  <c r="Q743" i="1"/>
  <c r="I744" i="1"/>
  <c r="J744" i="1"/>
  <c r="O744" i="1"/>
  <c r="Q744" i="1"/>
  <c r="I745" i="1"/>
  <c r="J745" i="1"/>
  <c r="O745" i="1"/>
  <c r="Q745" i="1"/>
  <c r="I746" i="1"/>
  <c r="J746" i="1"/>
  <c r="O746" i="1"/>
  <c r="Q746" i="1"/>
  <c r="I747" i="1"/>
  <c r="J747" i="1"/>
  <c r="O747" i="1"/>
  <c r="Q747" i="1"/>
  <c r="I748" i="1"/>
  <c r="J748" i="1"/>
  <c r="O748" i="1"/>
  <c r="Q748" i="1"/>
  <c r="I750" i="1"/>
  <c r="J750" i="1"/>
  <c r="O750" i="1"/>
  <c r="Q750" i="1"/>
  <c r="I751" i="1"/>
  <c r="J751" i="1"/>
  <c r="O751" i="1"/>
  <c r="Q751" i="1"/>
  <c r="I752" i="1"/>
  <c r="J752" i="1"/>
  <c r="O752" i="1"/>
  <c r="Q752" i="1"/>
  <c r="I754" i="1"/>
  <c r="J754" i="1"/>
  <c r="O754" i="1"/>
  <c r="Q754" i="1"/>
  <c r="I755" i="1"/>
  <c r="J755" i="1"/>
  <c r="O755" i="1"/>
  <c r="Q755" i="1"/>
  <c r="I758" i="1"/>
  <c r="J758" i="1"/>
  <c r="O758" i="1"/>
  <c r="Q758" i="1"/>
  <c r="I760" i="1"/>
  <c r="J760" i="1"/>
  <c r="O760" i="1"/>
  <c r="Q760" i="1"/>
  <c r="I761" i="1"/>
  <c r="J761" i="1"/>
  <c r="O761" i="1"/>
  <c r="Q761" i="1"/>
  <c r="I762" i="1"/>
  <c r="J762" i="1"/>
  <c r="O762" i="1"/>
  <c r="Q762" i="1"/>
  <c r="I763" i="1"/>
  <c r="J763" i="1"/>
  <c r="O763" i="1"/>
  <c r="Q763" i="1"/>
  <c r="I764" i="1"/>
  <c r="J764" i="1"/>
  <c r="O764" i="1"/>
  <c r="Q764" i="1"/>
  <c r="I768" i="1"/>
  <c r="J768" i="1"/>
  <c r="O768" i="1"/>
  <c r="Q768" i="1"/>
  <c r="I769" i="1"/>
  <c r="J769" i="1"/>
  <c r="O769" i="1"/>
  <c r="Q769" i="1"/>
  <c r="I771" i="1"/>
  <c r="J771" i="1"/>
  <c r="O771" i="1"/>
  <c r="Q771" i="1"/>
  <c r="I772" i="1"/>
  <c r="J772" i="1"/>
  <c r="O772" i="1"/>
  <c r="Q772" i="1"/>
  <c r="I773" i="1"/>
  <c r="J773" i="1"/>
  <c r="O773" i="1"/>
  <c r="Q773" i="1"/>
  <c r="I774" i="1"/>
  <c r="J774" i="1"/>
  <c r="O774" i="1"/>
  <c r="Q774" i="1"/>
  <c r="I775" i="1"/>
  <c r="J775" i="1"/>
  <c r="O775" i="1"/>
  <c r="Q775" i="1"/>
  <c r="I777" i="1"/>
  <c r="J777" i="1"/>
  <c r="O777" i="1"/>
  <c r="Q777" i="1"/>
  <c r="I778" i="1"/>
  <c r="J778" i="1"/>
  <c r="O778" i="1"/>
  <c r="Q778" i="1"/>
  <c r="I779" i="1"/>
  <c r="J779" i="1"/>
  <c r="O779" i="1"/>
  <c r="Q779" i="1"/>
  <c r="I780" i="1"/>
  <c r="J780" i="1"/>
  <c r="O780" i="1"/>
  <c r="Q780" i="1"/>
  <c r="I781" i="1"/>
  <c r="J781" i="1"/>
  <c r="O781" i="1"/>
  <c r="Q781" i="1"/>
  <c r="I782" i="1"/>
  <c r="J782" i="1"/>
  <c r="O782" i="1"/>
  <c r="Q782" i="1"/>
  <c r="I783" i="1"/>
  <c r="J783" i="1"/>
  <c r="O783" i="1"/>
  <c r="Q783" i="1"/>
  <c r="I786" i="1"/>
  <c r="J786" i="1"/>
  <c r="O786" i="1"/>
  <c r="Q786" i="1"/>
  <c r="I787" i="1"/>
  <c r="J787" i="1"/>
  <c r="O787" i="1"/>
  <c r="Q787" i="1"/>
  <c r="I788" i="1"/>
  <c r="J788" i="1"/>
  <c r="O788" i="1"/>
  <c r="Q788" i="1"/>
  <c r="I789" i="1"/>
  <c r="J789" i="1"/>
  <c r="O789" i="1"/>
  <c r="Q789" i="1"/>
  <c r="I791" i="1"/>
  <c r="J791" i="1"/>
  <c r="O791" i="1"/>
  <c r="Q791" i="1"/>
  <c r="I793" i="1"/>
  <c r="J793" i="1"/>
  <c r="O793" i="1"/>
  <c r="Q793" i="1"/>
  <c r="I794" i="1"/>
  <c r="J794" i="1"/>
  <c r="O794" i="1"/>
  <c r="Q794" i="1"/>
  <c r="I795" i="1"/>
  <c r="J795" i="1"/>
  <c r="O795" i="1"/>
  <c r="Q795" i="1"/>
  <c r="I796" i="1"/>
  <c r="J796" i="1"/>
  <c r="O796" i="1"/>
  <c r="Q796" i="1"/>
  <c r="I798" i="1"/>
  <c r="J798" i="1"/>
  <c r="O798" i="1"/>
  <c r="Q798" i="1"/>
  <c r="I799" i="1"/>
  <c r="J799" i="1"/>
  <c r="O799" i="1"/>
  <c r="Q799" i="1"/>
  <c r="I800" i="1"/>
  <c r="J800" i="1"/>
  <c r="O800" i="1"/>
  <c r="Q800" i="1"/>
  <c r="I801" i="1"/>
  <c r="J801" i="1"/>
  <c r="O801" i="1"/>
  <c r="P801" i="1" s="1"/>
  <c r="Q801" i="1"/>
  <c r="I802" i="1"/>
  <c r="J802" i="1"/>
  <c r="O802" i="1"/>
  <c r="Q802" i="1"/>
  <c r="I803" i="1"/>
  <c r="J803" i="1"/>
  <c r="O803" i="1"/>
  <c r="R803" i="1" s="1"/>
  <c r="Q803" i="1"/>
  <c r="I804" i="1"/>
  <c r="J804" i="1"/>
  <c r="O804" i="1"/>
  <c r="Q804" i="1"/>
  <c r="I805" i="1"/>
  <c r="J805" i="1"/>
  <c r="O805" i="1"/>
  <c r="Q805" i="1"/>
  <c r="I807" i="1"/>
  <c r="J807" i="1"/>
  <c r="O807" i="1"/>
  <c r="Q807" i="1"/>
  <c r="I809" i="1"/>
  <c r="J809" i="1"/>
  <c r="O809" i="1"/>
  <c r="P809" i="1" s="1"/>
  <c r="Q809" i="1"/>
  <c r="I810" i="1"/>
  <c r="J810" i="1"/>
  <c r="O810" i="1"/>
  <c r="Q810" i="1"/>
  <c r="I811" i="1"/>
  <c r="J811" i="1"/>
  <c r="O811" i="1"/>
  <c r="Q811" i="1"/>
  <c r="I812" i="1"/>
  <c r="J812" i="1"/>
  <c r="O812" i="1"/>
  <c r="Q812" i="1"/>
  <c r="I813" i="1"/>
  <c r="J813" i="1"/>
  <c r="O813" i="1"/>
  <c r="Q813" i="1"/>
  <c r="I814" i="1"/>
  <c r="J814" i="1"/>
  <c r="O814" i="1"/>
  <c r="R814" i="1" s="1"/>
  <c r="Q814" i="1"/>
  <c r="I815" i="1"/>
  <c r="J815" i="1"/>
  <c r="O815" i="1"/>
  <c r="P815" i="1" s="1"/>
  <c r="Q815" i="1"/>
  <c r="I816" i="1"/>
  <c r="J816" i="1"/>
  <c r="O816" i="1"/>
  <c r="Q816" i="1"/>
  <c r="I817" i="1"/>
  <c r="J817" i="1"/>
  <c r="O817" i="1"/>
  <c r="Q817" i="1"/>
  <c r="I818" i="1"/>
  <c r="J818" i="1"/>
  <c r="O818" i="1"/>
  <c r="P818" i="1" s="1"/>
  <c r="Q818" i="1"/>
  <c r="R818" i="1"/>
  <c r="I819" i="1"/>
  <c r="J819" i="1"/>
  <c r="O819" i="1"/>
  <c r="Q819" i="1"/>
  <c r="I820" i="1"/>
  <c r="J820" i="1"/>
  <c r="O820" i="1"/>
  <c r="Q820" i="1"/>
  <c r="I821" i="1"/>
  <c r="J821" i="1"/>
  <c r="O821" i="1"/>
  <c r="Q821" i="1"/>
  <c r="I822" i="1"/>
  <c r="J822" i="1"/>
  <c r="O822" i="1"/>
  <c r="Q822" i="1"/>
  <c r="I824" i="1"/>
  <c r="J824" i="1"/>
  <c r="O824" i="1"/>
  <c r="R824" i="1" s="1"/>
  <c r="Q824" i="1"/>
  <c r="I827" i="1"/>
  <c r="J827" i="1"/>
  <c r="O827" i="1"/>
  <c r="P827" i="1" s="1"/>
  <c r="Q827" i="1"/>
  <c r="I828" i="1"/>
  <c r="J828" i="1"/>
  <c r="O828" i="1"/>
  <c r="Q828" i="1"/>
  <c r="I829" i="1"/>
  <c r="J829" i="1"/>
  <c r="O829" i="1"/>
  <c r="Q829" i="1"/>
  <c r="I830" i="1"/>
  <c r="J830" i="1"/>
  <c r="O830" i="1"/>
  <c r="P830" i="1" s="1"/>
  <c r="Q830" i="1"/>
  <c r="R830" i="1"/>
  <c r="I832" i="1"/>
  <c r="J832" i="1"/>
  <c r="O832" i="1"/>
  <c r="Q832" i="1"/>
  <c r="I833" i="1"/>
  <c r="J833" i="1"/>
  <c r="O833" i="1"/>
  <c r="Q833" i="1"/>
  <c r="I834" i="1"/>
  <c r="J834" i="1"/>
  <c r="O834" i="1"/>
  <c r="Q834" i="1"/>
  <c r="I835" i="1"/>
  <c r="J835" i="1"/>
  <c r="O835" i="1"/>
  <c r="Q835" i="1"/>
  <c r="I836" i="1"/>
  <c r="J836" i="1"/>
  <c r="O836" i="1"/>
  <c r="R836" i="1" s="1"/>
  <c r="Q836" i="1"/>
  <c r="I837" i="1"/>
  <c r="J837" i="1"/>
  <c r="O837" i="1"/>
  <c r="P837" i="1" s="1"/>
  <c r="Q837" i="1"/>
  <c r="I840" i="1"/>
  <c r="J840" i="1"/>
  <c r="O840" i="1"/>
  <c r="Q840" i="1"/>
  <c r="I842" i="1"/>
  <c r="J842" i="1"/>
  <c r="O842" i="1"/>
  <c r="P842" i="1" s="1"/>
  <c r="Q842" i="1"/>
  <c r="R842" i="1"/>
  <c r="I844" i="1"/>
  <c r="J844" i="1"/>
  <c r="O844" i="1"/>
  <c r="R844" i="1" s="1"/>
  <c r="P844" i="1"/>
  <c r="Q844" i="1"/>
  <c r="I845" i="1"/>
  <c r="J845" i="1"/>
  <c r="O845" i="1"/>
  <c r="R845" i="1" s="1"/>
  <c r="Q845" i="1"/>
  <c r="I847" i="1"/>
  <c r="J847" i="1"/>
  <c r="O847" i="1"/>
  <c r="P847" i="1" s="1"/>
  <c r="Q847" i="1"/>
  <c r="R847" i="1"/>
  <c r="I848" i="1"/>
  <c r="J848" i="1"/>
  <c r="O848" i="1"/>
  <c r="R848" i="1" s="1"/>
  <c r="Q848" i="1"/>
  <c r="I849" i="1"/>
  <c r="J849" i="1"/>
  <c r="O849" i="1"/>
  <c r="P849" i="1" s="1"/>
  <c r="Q849" i="1"/>
  <c r="R849" i="1"/>
  <c r="I850" i="1"/>
  <c r="J850" i="1"/>
  <c r="O850" i="1"/>
  <c r="P850" i="1"/>
  <c r="Q850" i="1"/>
  <c r="R850" i="1"/>
  <c r="I851" i="1"/>
  <c r="J851" i="1"/>
  <c r="O851" i="1"/>
  <c r="R851" i="1" s="1"/>
  <c r="Q851" i="1"/>
  <c r="I852" i="1"/>
  <c r="J852" i="1"/>
  <c r="O852" i="1"/>
  <c r="P852" i="1" s="1"/>
  <c r="Q852" i="1"/>
  <c r="R852" i="1"/>
  <c r="I853" i="1"/>
  <c r="J853" i="1"/>
  <c r="O853" i="1"/>
  <c r="R853" i="1" s="1"/>
  <c r="Q853" i="1"/>
  <c r="I854" i="1"/>
  <c r="J854" i="1"/>
  <c r="O854" i="1"/>
  <c r="R854" i="1" s="1"/>
  <c r="Q854" i="1"/>
  <c r="I855" i="1"/>
  <c r="J855" i="1"/>
  <c r="O855" i="1"/>
  <c r="P855" i="1"/>
  <c r="Q855" i="1"/>
  <c r="R855" i="1"/>
  <c r="I856" i="1"/>
  <c r="J856" i="1"/>
  <c r="O856" i="1"/>
  <c r="P856" i="1" s="1"/>
  <c r="Q856" i="1"/>
  <c r="R856" i="1"/>
  <c r="I857" i="1"/>
  <c r="J857" i="1"/>
  <c r="O857" i="1"/>
  <c r="R857" i="1" s="1"/>
  <c r="P857" i="1"/>
  <c r="Q857" i="1"/>
  <c r="I859" i="1"/>
  <c r="J859" i="1"/>
  <c r="O859" i="1"/>
  <c r="R859" i="1" s="1"/>
  <c r="Q859" i="1"/>
  <c r="I860" i="1"/>
  <c r="J860" i="1"/>
  <c r="O860" i="1"/>
  <c r="P860" i="1" s="1"/>
  <c r="Q860" i="1"/>
  <c r="R860" i="1"/>
  <c r="I861" i="1"/>
  <c r="J861" i="1"/>
  <c r="O861" i="1"/>
  <c r="R861" i="1" s="1"/>
  <c r="Q861" i="1"/>
  <c r="I862" i="1"/>
  <c r="J862" i="1"/>
  <c r="O862" i="1"/>
  <c r="P862" i="1" s="1"/>
  <c r="Q862" i="1"/>
  <c r="R862" i="1"/>
  <c r="I864" i="1"/>
  <c r="J864" i="1"/>
  <c r="O864" i="1"/>
  <c r="P864" i="1"/>
  <c r="Q864" i="1"/>
  <c r="R864" i="1"/>
  <c r="I865" i="1"/>
  <c r="J865" i="1"/>
  <c r="O865" i="1"/>
  <c r="R865" i="1" s="1"/>
  <c r="Q865" i="1"/>
  <c r="I866" i="1"/>
  <c r="J866" i="1"/>
  <c r="O866" i="1"/>
  <c r="P866" i="1" s="1"/>
  <c r="Q866" i="1"/>
  <c r="R866" i="1"/>
  <c r="I867" i="1"/>
  <c r="J867" i="1"/>
  <c r="O867" i="1"/>
  <c r="Q867" i="1"/>
  <c r="I868" i="1"/>
  <c r="J868" i="1"/>
  <c r="O868" i="1"/>
  <c r="R868" i="1" s="1"/>
  <c r="Q868" i="1"/>
  <c r="I869" i="1"/>
  <c r="J869" i="1"/>
  <c r="O869" i="1"/>
  <c r="P869" i="1" s="1"/>
  <c r="Q869" i="1"/>
  <c r="R869" i="1"/>
  <c r="I870" i="1"/>
  <c r="J870" i="1"/>
  <c r="O870" i="1"/>
  <c r="Q870" i="1"/>
  <c r="I871" i="1"/>
  <c r="J871" i="1"/>
  <c r="O871" i="1"/>
  <c r="R871" i="1" s="1"/>
  <c r="Q871" i="1"/>
  <c r="I872" i="1"/>
  <c r="J872" i="1"/>
  <c r="O872" i="1"/>
  <c r="P872" i="1" s="1"/>
  <c r="Q872" i="1"/>
  <c r="R872" i="1"/>
  <c r="I873" i="1"/>
  <c r="J873" i="1"/>
  <c r="O873" i="1"/>
  <c r="Q873" i="1"/>
  <c r="I874" i="1"/>
  <c r="J874" i="1"/>
  <c r="O874" i="1"/>
  <c r="R874" i="1" s="1"/>
  <c r="Q874" i="1"/>
  <c r="I875" i="1"/>
  <c r="J875" i="1"/>
  <c r="O875" i="1"/>
  <c r="P875" i="1" s="1"/>
  <c r="Q875" i="1"/>
  <c r="R875" i="1"/>
  <c r="I877" i="1"/>
  <c r="J877" i="1"/>
  <c r="O877" i="1"/>
  <c r="Q877" i="1"/>
  <c r="I878" i="1"/>
  <c r="J878" i="1"/>
  <c r="O878" i="1"/>
  <c r="R878" i="1" s="1"/>
  <c r="Q878" i="1"/>
  <c r="I879" i="1"/>
  <c r="J879" i="1"/>
  <c r="O879" i="1"/>
  <c r="P879" i="1" s="1"/>
  <c r="Q879" i="1"/>
  <c r="R879" i="1"/>
  <c r="I880" i="1"/>
  <c r="J880" i="1"/>
  <c r="O880" i="1"/>
  <c r="Q880" i="1"/>
  <c r="I881" i="1"/>
  <c r="J881" i="1"/>
  <c r="O881" i="1"/>
  <c r="R881" i="1" s="1"/>
  <c r="Q881" i="1"/>
  <c r="I882" i="1"/>
  <c r="J882" i="1"/>
  <c r="O882" i="1"/>
  <c r="P882" i="1" s="1"/>
  <c r="Q882" i="1"/>
  <c r="R882" i="1"/>
  <c r="I883" i="1"/>
  <c r="J883" i="1"/>
  <c r="O883" i="1"/>
  <c r="Q883" i="1"/>
  <c r="I884" i="1"/>
  <c r="J884" i="1"/>
  <c r="O884" i="1"/>
  <c r="R884" i="1" s="1"/>
  <c r="Q884" i="1"/>
  <c r="I885" i="1"/>
  <c r="J885" i="1"/>
  <c r="O885" i="1"/>
  <c r="P885" i="1" s="1"/>
  <c r="Q885" i="1"/>
  <c r="R885" i="1"/>
  <c r="I886" i="1"/>
  <c r="J886" i="1"/>
  <c r="O886" i="1"/>
  <c r="Q886" i="1"/>
  <c r="I887" i="1"/>
  <c r="J887" i="1"/>
  <c r="O887" i="1"/>
  <c r="R887" i="1" s="1"/>
  <c r="Q887" i="1"/>
  <c r="I888" i="1"/>
  <c r="J888" i="1"/>
  <c r="O888" i="1"/>
  <c r="P888" i="1" s="1"/>
  <c r="Q888" i="1"/>
  <c r="R888" i="1"/>
  <c r="I889" i="1"/>
  <c r="J889" i="1"/>
  <c r="O889" i="1"/>
  <c r="P889" i="1" s="1"/>
  <c r="Q889" i="1"/>
  <c r="R889" i="1"/>
  <c r="I890" i="1"/>
  <c r="J890" i="1"/>
  <c r="O890" i="1"/>
  <c r="R890" i="1" s="1"/>
  <c r="Q890" i="1"/>
  <c r="I891" i="1"/>
  <c r="J891" i="1"/>
  <c r="O891" i="1"/>
  <c r="Q891" i="1"/>
  <c r="I892" i="1"/>
  <c r="J892" i="1"/>
  <c r="O892" i="1"/>
  <c r="P892" i="1" s="1"/>
  <c r="Q892" i="1"/>
  <c r="R892" i="1"/>
  <c r="I893" i="1"/>
  <c r="J893" i="1"/>
  <c r="O893" i="1"/>
  <c r="R893" i="1" s="1"/>
  <c r="Q893" i="1"/>
  <c r="I894" i="1"/>
  <c r="J894" i="1"/>
  <c r="O894" i="1"/>
  <c r="P894" i="1"/>
  <c r="Q894" i="1"/>
  <c r="R894" i="1"/>
  <c r="I895" i="1"/>
  <c r="J895" i="1"/>
  <c r="O895" i="1"/>
  <c r="P895" i="1" s="1"/>
  <c r="Q895" i="1"/>
  <c r="I897" i="1"/>
  <c r="J897" i="1"/>
  <c r="O897" i="1"/>
  <c r="R897" i="1" s="1"/>
  <c r="Q897" i="1"/>
  <c r="I898" i="1"/>
  <c r="J898" i="1"/>
  <c r="O898" i="1"/>
  <c r="P898" i="1" s="1"/>
  <c r="Q898" i="1"/>
  <c r="R898" i="1"/>
  <c r="I899" i="1"/>
  <c r="J899" i="1"/>
  <c r="O899" i="1"/>
  <c r="Q899" i="1"/>
  <c r="I900" i="1"/>
  <c r="J900" i="1"/>
  <c r="O900" i="1"/>
  <c r="R900" i="1" s="1"/>
  <c r="Q900" i="1"/>
  <c r="I901" i="1"/>
  <c r="J901" i="1"/>
  <c r="O901" i="1"/>
  <c r="P901" i="1" s="1"/>
  <c r="Q901" i="1"/>
  <c r="I903" i="1"/>
  <c r="J903" i="1"/>
  <c r="O903" i="1"/>
  <c r="P903" i="1" s="1"/>
  <c r="Q903" i="1"/>
  <c r="I904" i="1"/>
  <c r="J904" i="1"/>
  <c r="O904" i="1"/>
  <c r="R904" i="1" s="1"/>
  <c r="Q904" i="1"/>
  <c r="I906" i="1"/>
  <c r="J906" i="1"/>
  <c r="O906" i="1"/>
  <c r="R906" i="1" s="1"/>
  <c r="Q906" i="1"/>
  <c r="I907" i="1"/>
  <c r="J907" i="1"/>
  <c r="O907" i="1"/>
  <c r="P907" i="1" s="1"/>
  <c r="Q907" i="1"/>
  <c r="I908" i="1"/>
  <c r="J908" i="1"/>
  <c r="O908" i="1"/>
  <c r="Q908" i="1"/>
  <c r="I909" i="1"/>
  <c r="J909" i="1"/>
  <c r="O909" i="1"/>
  <c r="P909" i="1" s="1"/>
  <c r="Q909" i="1"/>
  <c r="I910" i="1"/>
  <c r="J910" i="1"/>
  <c r="O910" i="1"/>
  <c r="Q910" i="1"/>
  <c r="I911" i="1"/>
  <c r="J911" i="1"/>
  <c r="O911" i="1"/>
  <c r="R911" i="1" s="1"/>
  <c r="Q911" i="1"/>
  <c r="I912" i="1"/>
  <c r="J912" i="1"/>
  <c r="O912" i="1"/>
  <c r="P912" i="1" s="1"/>
  <c r="Q912" i="1"/>
  <c r="I913" i="1"/>
  <c r="J913" i="1"/>
  <c r="O913" i="1"/>
  <c r="P913" i="1" s="1"/>
  <c r="Q913" i="1"/>
  <c r="I914" i="1"/>
  <c r="J914" i="1"/>
  <c r="O914" i="1"/>
  <c r="R914" i="1" s="1"/>
  <c r="Q914" i="1"/>
  <c r="I917" i="1"/>
  <c r="J917" i="1"/>
  <c r="O917" i="1"/>
  <c r="Q917" i="1"/>
  <c r="I918" i="1"/>
  <c r="J918" i="1"/>
  <c r="O918" i="1"/>
  <c r="P918" i="1" s="1"/>
  <c r="Q918" i="1"/>
  <c r="R918" i="1"/>
  <c r="I920" i="1"/>
  <c r="J920" i="1"/>
  <c r="O920" i="1"/>
  <c r="Q920" i="1"/>
  <c r="I921" i="1"/>
  <c r="J921" i="1"/>
  <c r="O921" i="1"/>
  <c r="P921" i="1" s="1"/>
  <c r="Q921" i="1"/>
  <c r="I922" i="1"/>
  <c r="J922" i="1"/>
  <c r="O922" i="1"/>
  <c r="Q922" i="1"/>
  <c r="I923" i="1"/>
  <c r="J923" i="1"/>
  <c r="O923" i="1"/>
  <c r="R923" i="1" s="1"/>
  <c r="Q923" i="1"/>
  <c r="I924" i="1"/>
  <c r="J924" i="1"/>
  <c r="O924" i="1"/>
  <c r="P924" i="1" s="1"/>
  <c r="Q924" i="1"/>
  <c r="I925" i="1"/>
  <c r="J925" i="1"/>
  <c r="O925" i="1"/>
  <c r="P925" i="1" s="1"/>
  <c r="Q925" i="1"/>
  <c r="I926" i="1"/>
  <c r="J926" i="1"/>
  <c r="O926" i="1"/>
  <c r="R926" i="1" s="1"/>
  <c r="Q926" i="1"/>
  <c r="I927" i="1"/>
  <c r="J927" i="1"/>
  <c r="O927" i="1"/>
  <c r="Q927" i="1"/>
  <c r="I928" i="1"/>
  <c r="J928" i="1"/>
  <c r="O928" i="1"/>
  <c r="P928" i="1" s="1"/>
  <c r="Q928" i="1"/>
  <c r="R928" i="1"/>
  <c r="I929" i="1"/>
  <c r="J929" i="1"/>
  <c r="O929" i="1"/>
  <c r="Q929" i="1"/>
  <c r="I930" i="1"/>
  <c r="J930" i="1"/>
  <c r="O930" i="1"/>
  <c r="P930" i="1" s="1"/>
  <c r="Q930" i="1"/>
  <c r="I931" i="1"/>
  <c r="J931" i="1"/>
  <c r="O931" i="1"/>
  <c r="Q931" i="1"/>
  <c r="I932" i="1"/>
  <c r="J932" i="1"/>
  <c r="O932" i="1"/>
  <c r="Q932" i="1"/>
  <c r="I933" i="1"/>
  <c r="J933" i="1"/>
  <c r="O933" i="1"/>
  <c r="P933" i="1" s="1"/>
  <c r="Q933" i="1"/>
  <c r="R933" i="1"/>
  <c r="I934" i="1"/>
  <c r="J934" i="1"/>
  <c r="O934" i="1"/>
  <c r="Q934" i="1"/>
  <c r="I935" i="1"/>
  <c r="J935" i="1"/>
  <c r="O935" i="1"/>
  <c r="P935" i="1" s="1"/>
  <c r="Q935" i="1"/>
  <c r="R935" i="1"/>
  <c r="I936" i="1"/>
  <c r="J936" i="1"/>
  <c r="O936" i="1"/>
  <c r="Q936" i="1"/>
  <c r="I937" i="1"/>
  <c r="J937" i="1"/>
  <c r="O937" i="1"/>
  <c r="P937" i="1" s="1"/>
  <c r="Q937" i="1"/>
  <c r="R937" i="1"/>
  <c r="I938" i="1"/>
  <c r="J938" i="1"/>
  <c r="O938" i="1"/>
  <c r="R938" i="1" s="1"/>
  <c r="P938" i="1"/>
  <c r="Q938" i="1"/>
  <c r="I939" i="1"/>
  <c r="J939" i="1"/>
  <c r="O939" i="1"/>
  <c r="P939" i="1" s="1"/>
  <c r="Q939" i="1"/>
  <c r="R939" i="1"/>
  <c r="I940" i="1"/>
  <c r="J940" i="1"/>
  <c r="O940" i="1"/>
  <c r="R940" i="1" s="1"/>
  <c r="P940" i="1"/>
  <c r="Q940" i="1"/>
  <c r="I941" i="1"/>
  <c r="J941" i="1"/>
  <c r="O941" i="1"/>
  <c r="P941" i="1" s="1"/>
  <c r="Q941" i="1"/>
  <c r="R941" i="1"/>
  <c r="I943" i="1"/>
  <c r="J943" i="1"/>
  <c r="O943" i="1"/>
  <c r="R943" i="1" s="1"/>
  <c r="P943" i="1"/>
  <c r="Q943" i="1"/>
  <c r="I944" i="1"/>
  <c r="J944" i="1"/>
  <c r="O944" i="1"/>
  <c r="P944" i="1" s="1"/>
  <c r="Q944" i="1"/>
  <c r="R944" i="1"/>
  <c r="I945" i="1"/>
  <c r="J945" i="1"/>
  <c r="O945" i="1"/>
  <c r="R945" i="1" s="1"/>
  <c r="P945" i="1"/>
  <c r="Q945" i="1"/>
  <c r="I946" i="1"/>
  <c r="J946" i="1"/>
  <c r="O946" i="1"/>
  <c r="P946" i="1" s="1"/>
  <c r="Q946" i="1"/>
  <c r="R946" i="1"/>
  <c r="I949" i="1"/>
  <c r="J949" i="1"/>
  <c r="O949" i="1"/>
  <c r="R949" i="1" s="1"/>
  <c r="P949" i="1"/>
  <c r="Q949" i="1"/>
  <c r="I950" i="1"/>
  <c r="J950" i="1"/>
  <c r="O950" i="1"/>
  <c r="P950" i="1" s="1"/>
  <c r="Q950" i="1"/>
  <c r="I951" i="1"/>
  <c r="J951" i="1"/>
  <c r="O951" i="1"/>
  <c r="R951" i="1" s="1"/>
  <c r="P951" i="1"/>
  <c r="Q951" i="1"/>
  <c r="I952" i="1"/>
  <c r="J952" i="1"/>
  <c r="O952" i="1"/>
  <c r="R952" i="1" s="1"/>
  <c r="Q952" i="1"/>
  <c r="I953" i="1"/>
  <c r="J953" i="1"/>
  <c r="O953" i="1"/>
  <c r="P953" i="1" s="1"/>
  <c r="Q953" i="1"/>
  <c r="R953" i="1"/>
  <c r="I954" i="1"/>
  <c r="J954" i="1"/>
  <c r="O954" i="1"/>
  <c r="R954" i="1" s="1"/>
  <c r="P954" i="1"/>
  <c r="Q954" i="1"/>
  <c r="I955" i="1"/>
  <c r="J955" i="1"/>
  <c r="O955" i="1"/>
  <c r="R955" i="1" s="1"/>
  <c r="Q955" i="1"/>
  <c r="I957" i="1"/>
  <c r="J957" i="1"/>
  <c r="O957" i="1"/>
  <c r="P957" i="1" s="1"/>
  <c r="Q957" i="1"/>
  <c r="R957" i="1"/>
  <c r="I958" i="1"/>
  <c r="J958" i="1"/>
  <c r="O958" i="1"/>
  <c r="R958" i="1" s="1"/>
  <c r="P958" i="1"/>
  <c r="Q958" i="1"/>
  <c r="I959" i="1"/>
  <c r="J959" i="1"/>
  <c r="O959" i="1"/>
  <c r="R959" i="1" s="1"/>
  <c r="Q959" i="1"/>
  <c r="I960" i="1"/>
  <c r="J960" i="1"/>
  <c r="O960" i="1"/>
  <c r="P960" i="1" s="1"/>
  <c r="Q960" i="1"/>
  <c r="R960" i="1"/>
  <c r="I961" i="1"/>
  <c r="J961" i="1"/>
  <c r="O961" i="1"/>
  <c r="R961" i="1" s="1"/>
  <c r="P961" i="1"/>
  <c r="Q961" i="1"/>
  <c r="I962" i="1"/>
  <c r="J962" i="1"/>
  <c r="O962" i="1"/>
  <c r="R962" i="1" s="1"/>
  <c r="Q962" i="1"/>
  <c r="I963" i="1"/>
  <c r="J963" i="1"/>
  <c r="O963" i="1"/>
  <c r="P963" i="1" s="1"/>
  <c r="Q963" i="1"/>
  <c r="R963" i="1"/>
  <c r="I964" i="1"/>
  <c r="J964" i="1"/>
  <c r="O964" i="1"/>
  <c r="R964" i="1" s="1"/>
  <c r="P964" i="1"/>
  <c r="Q964" i="1"/>
  <c r="I965" i="1"/>
  <c r="J965" i="1"/>
  <c r="O965" i="1"/>
  <c r="R965" i="1" s="1"/>
  <c r="Q965" i="1"/>
  <c r="I966" i="1"/>
  <c r="J966" i="1"/>
  <c r="O966" i="1"/>
  <c r="P966" i="1" s="1"/>
  <c r="Q966" i="1"/>
  <c r="R966" i="1"/>
  <c r="I967" i="1"/>
  <c r="J967" i="1"/>
  <c r="O967" i="1"/>
  <c r="R967" i="1" s="1"/>
  <c r="P967" i="1"/>
  <c r="Q967" i="1"/>
  <c r="I969" i="1"/>
  <c r="J969" i="1"/>
  <c r="O969" i="1"/>
  <c r="R969" i="1" s="1"/>
  <c r="Q969" i="1"/>
  <c r="I970" i="1"/>
  <c r="J970" i="1"/>
  <c r="O970" i="1"/>
  <c r="P970" i="1" s="1"/>
  <c r="Q970" i="1"/>
  <c r="R970" i="1"/>
  <c r="I971" i="1"/>
  <c r="J971" i="1"/>
  <c r="O971" i="1"/>
  <c r="R971" i="1" s="1"/>
  <c r="P971" i="1"/>
  <c r="Q971" i="1"/>
  <c r="I972" i="1"/>
  <c r="J972" i="1"/>
  <c r="O972" i="1"/>
  <c r="R972" i="1" s="1"/>
  <c r="Q972" i="1"/>
  <c r="I973" i="1"/>
  <c r="J973" i="1"/>
  <c r="O973" i="1"/>
  <c r="P973" i="1" s="1"/>
  <c r="Q973" i="1"/>
  <c r="R973" i="1"/>
  <c r="I974" i="1"/>
  <c r="J974" i="1"/>
  <c r="O974" i="1"/>
  <c r="R974" i="1" s="1"/>
  <c r="Q974" i="1"/>
  <c r="I975" i="1"/>
  <c r="J975" i="1"/>
  <c r="O975" i="1"/>
  <c r="R975" i="1" s="1"/>
  <c r="P975" i="1"/>
  <c r="Q975" i="1"/>
  <c r="I991" i="1"/>
  <c r="J991" i="1"/>
  <c r="O991" i="1"/>
  <c r="P991" i="1" s="1"/>
  <c r="Q991" i="1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I111" i="4" s="1"/>
  <c r="M112" i="4"/>
  <c r="M113" i="4"/>
  <c r="M114" i="4"/>
  <c r="M115" i="4"/>
  <c r="M116" i="4"/>
  <c r="M117" i="4"/>
  <c r="M118" i="4"/>
  <c r="M119" i="4"/>
  <c r="M120" i="4"/>
  <c r="M121" i="4"/>
  <c r="M122" i="4"/>
  <c r="M123" i="4"/>
  <c r="I123" i="4" s="1"/>
  <c r="M124" i="4"/>
  <c r="M125" i="4"/>
  <c r="M126" i="4"/>
  <c r="M127" i="4"/>
  <c r="M128" i="4"/>
  <c r="M129" i="4"/>
  <c r="M130" i="4"/>
  <c r="M131" i="4"/>
  <c r="M132" i="4"/>
  <c r="M133" i="4"/>
  <c r="M134" i="4"/>
  <c r="M135" i="4"/>
  <c r="I135" i="4" s="1"/>
  <c r="M136" i="4"/>
  <c r="M137" i="4"/>
  <c r="M138" i="4"/>
  <c r="M139" i="4"/>
  <c r="M140" i="4"/>
  <c r="M141" i="4"/>
  <c r="I141" i="4" s="1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8" i="1"/>
  <c r="Q49" i="1"/>
  <c r="Q51" i="1"/>
  <c r="Q52" i="1"/>
  <c r="Q53" i="1"/>
  <c r="Q54" i="1"/>
  <c r="Q55" i="1"/>
  <c r="Q56" i="1"/>
  <c r="Q57" i="1"/>
  <c r="Q58" i="1"/>
  <c r="Q59" i="1"/>
  <c r="Q60" i="1"/>
  <c r="Q62" i="1"/>
  <c r="Q63" i="1"/>
  <c r="Q64" i="1"/>
  <c r="Q65" i="1"/>
  <c r="Q66" i="1"/>
  <c r="Q67" i="1"/>
  <c r="Q68" i="1"/>
  <c r="Q69" i="1"/>
  <c r="Q70" i="1"/>
  <c r="Q71" i="1"/>
  <c r="Q72" i="1"/>
  <c r="Q73" i="1"/>
  <c r="Q75" i="1"/>
  <c r="Q76" i="1"/>
  <c r="Q77" i="1"/>
  <c r="Q78" i="1"/>
  <c r="Q79" i="1"/>
  <c r="Q80" i="1"/>
  <c r="Q81" i="1"/>
  <c r="Q85" i="1"/>
  <c r="Q86" i="1"/>
  <c r="Q87" i="1"/>
  <c r="Q88" i="1"/>
  <c r="Q89" i="1"/>
  <c r="Q90" i="1"/>
  <c r="Q91" i="1"/>
  <c r="Q92" i="1"/>
  <c r="Q93" i="1"/>
  <c r="Q94" i="1"/>
  <c r="Q95" i="1"/>
  <c r="Q97" i="1"/>
  <c r="Q98" i="1"/>
  <c r="Q100" i="1"/>
  <c r="Q101" i="1"/>
  <c r="Q102" i="1"/>
  <c r="Q103" i="1"/>
  <c r="Q104" i="1"/>
  <c r="Q105" i="1"/>
  <c r="Q106" i="1"/>
  <c r="Q107" i="1"/>
  <c r="Q108" i="1"/>
  <c r="Q109" i="1"/>
  <c r="Q110" i="1"/>
  <c r="Q112" i="1"/>
  <c r="Q113" i="1"/>
  <c r="Q114" i="1"/>
  <c r="Q115" i="1"/>
  <c r="Q116" i="1"/>
  <c r="Q117" i="1"/>
  <c r="Q118" i="1"/>
  <c r="Q119" i="1"/>
  <c r="Q120" i="1"/>
  <c r="Q121" i="1"/>
  <c r="Q122" i="1"/>
  <c r="Q125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9" i="1"/>
  <c r="Q150" i="1"/>
  <c r="Q151" i="1"/>
  <c r="Q152" i="1"/>
  <c r="Q153" i="1"/>
  <c r="Q154" i="1"/>
  <c r="Q155" i="1"/>
  <c r="Q158" i="1"/>
  <c r="Q160" i="1"/>
  <c r="Q161" i="1"/>
  <c r="Q163" i="1"/>
  <c r="Q164" i="1"/>
  <c r="Q166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2" i="1"/>
  <c r="Q183" i="1"/>
  <c r="Q185" i="1"/>
  <c r="Q186" i="1"/>
  <c r="Q189" i="1"/>
  <c r="Q190" i="1"/>
  <c r="Q192" i="1"/>
  <c r="Q193" i="1"/>
  <c r="Q196" i="1"/>
  <c r="Q197" i="1"/>
  <c r="Q198" i="1"/>
  <c r="Q201" i="1"/>
  <c r="Q204" i="1"/>
  <c r="Q205" i="1"/>
  <c r="Q206" i="1"/>
  <c r="Q209" i="1"/>
  <c r="Q210" i="1"/>
  <c r="Q211" i="1"/>
  <c r="Q212" i="1"/>
  <c r="Q213" i="1"/>
  <c r="Q214" i="1"/>
  <c r="Q218" i="1"/>
  <c r="Q219" i="1"/>
  <c r="Q220" i="1"/>
  <c r="Q225" i="1"/>
  <c r="Q226" i="1"/>
  <c r="Q227" i="1"/>
  <c r="Q228" i="1"/>
  <c r="Q230" i="1"/>
  <c r="Q232" i="1"/>
  <c r="Q234" i="1"/>
  <c r="Q235" i="1"/>
  <c r="Q237" i="1"/>
  <c r="Q239" i="1"/>
  <c r="Q242" i="1"/>
  <c r="Q243" i="1"/>
  <c r="Q244" i="1"/>
  <c r="Q247" i="1"/>
  <c r="Q251" i="1"/>
  <c r="Q252" i="1"/>
  <c r="Q253" i="1"/>
  <c r="Q256" i="1"/>
  <c r="Q257" i="1"/>
  <c r="Q258" i="1"/>
  <c r="Q259" i="1"/>
  <c r="Q260" i="1"/>
  <c r="Q261" i="1"/>
  <c r="Q266" i="1"/>
  <c r="Q267" i="1"/>
  <c r="Q268" i="1"/>
  <c r="Q270" i="1"/>
  <c r="Q271" i="1"/>
  <c r="Q273" i="1"/>
  <c r="Q274" i="1"/>
  <c r="Q276" i="1"/>
  <c r="Q279" i="1"/>
  <c r="Q281" i="1"/>
  <c r="Q287" i="1"/>
  <c r="Q288" i="1"/>
  <c r="Q291" i="1"/>
  <c r="Q292" i="1"/>
  <c r="Q293" i="1"/>
  <c r="Q295" i="1"/>
  <c r="Q296" i="1"/>
  <c r="Q297" i="1"/>
  <c r="Q299" i="1"/>
  <c r="Q301" i="1"/>
  <c r="Q306" i="1"/>
  <c r="Q311" i="1"/>
  <c r="Q314" i="1"/>
  <c r="Q316" i="1"/>
  <c r="Q318" i="1"/>
  <c r="Q322" i="1"/>
  <c r="Q323" i="1"/>
  <c r="Q324" i="1"/>
  <c r="Q325" i="1"/>
  <c r="Q327" i="1"/>
  <c r="Q328" i="1"/>
  <c r="Q329" i="1"/>
  <c r="Q333" i="1"/>
  <c r="Q335" i="1"/>
  <c r="Q338" i="1"/>
  <c r="Q339" i="1"/>
  <c r="Q340" i="1"/>
  <c r="Q342" i="1"/>
  <c r="Q343" i="1"/>
  <c r="Q344" i="1"/>
  <c r="Q345" i="1"/>
  <c r="Q348" i="1"/>
  <c r="Q349" i="1"/>
  <c r="Q350" i="1"/>
  <c r="Q352" i="1"/>
  <c r="Q353" i="1"/>
  <c r="Q354" i="1"/>
  <c r="Q355" i="1"/>
  <c r="Q356" i="1"/>
  <c r="Q357" i="1"/>
  <c r="Q359" i="1"/>
  <c r="Q360" i="1"/>
  <c r="Q362" i="1"/>
  <c r="Q363" i="1"/>
  <c r="Q364" i="1"/>
  <c r="Q366" i="1"/>
  <c r="Q372" i="1"/>
  <c r="Q381" i="1"/>
  <c r="Q382" i="1"/>
  <c r="Q383" i="1"/>
  <c r="Q384" i="1"/>
  <c r="Q386" i="1"/>
  <c r="Q391" i="1"/>
  <c r="Q392" i="1"/>
  <c r="Q394" i="1"/>
  <c r="Q396" i="1"/>
  <c r="Q397" i="1"/>
  <c r="Q398" i="1"/>
  <c r="Q399" i="1"/>
  <c r="Q400" i="1"/>
  <c r="Q401" i="1"/>
  <c r="Q403" i="1"/>
  <c r="Q404" i="1"/>
  <c r="Q405" i="1"/>
  <c r="Q406" i="1"/>
  <c r="Q409" i="1"/>
  <c r="Q412" i="1"/>
  <c r="Q413" i="1"/>
  <c r="Q414" i="1"/>
  <c r="Q417" i="1"/>
  <c r="Q418" i="1"/>
  <c r="Q419" i="1"/>
  <c r="Q422" i="1"/>
  <c r="Q423" i="1"/>
  <c r="Q424" i="1"/>
  <c r="Q426" i="1"/>
  <c r="Q431" i="1"/>
  <c r="Q433" i="1"/>
  <c r="Q434" i="1"/>
  <c r="Q435" i="1"/>
  <c r="Q438" i="1"/>
  <c r="Q440" i="1"/>
  <c r="Q441" i="1"/>
  <c r="Q442" i="1"/>
  <c r="Q443" i="1"/>
  <c r="Q444" i="1"/>
  <c r="Q447" i="1"/>
  <c r="Q448" i="1"/>
  <c r="Q449" i="1"/>
  <c r="Q450" i="1"/>
  <c r="Q451" i="1"/>
  <c r="Q454" i="1"/>
  <c r="Q456" i="1"/>
  <c r="Q457" i="1"/>
  <c r="Q458" i="1"/>
  <c r="Q459" i="1"/>
  <c r="Q460" i="1"/>
  <c r="Q461" i="1"/>
  <c r="Q462" i="1"/>
  <c r="Q464" i="1"/>
  <c r="Q473" i="1"/>
  <c r="Q476" i="1"/>
  <c r="Q480" i="1"/>
  <c r="Q483" i="1"/>
  <c r="Q488" i="1"/>
  <c r="Q492" i="1"/>
  <c r="Q493" i="1"/>
  <c r="Q497" i="1"/>
  <c r="Q500" i="1"/>
  <c r="Q516" i="1"/>
  <c r="Q517" i="1"/>
  <c r="Q518" i="1"/>
  <c r="Q519" i="1"/>
  <c r="Q525" i="1"/>
  <c r="Q527" i="1"/>
  <c r="Q529" i="1"/>
  <c r="Q532" i="1"/>
  <c r="Q534" i="1"/>
  <c r="Q536" i="1"/>
  <c r="Q540" i="1"/>
  <c r="Q542" i="1"/>
  <c r="Q549" i="1"/>
  <c r="Q552" i="1"/>
  <c r="Q555" i="1"/>
  <c r="Q558" i="1"/>
  <c r="Q560" i="1"/>
  <c r="Q567" i="1"/>
  <c r="Q570" i="1"/>
  <c r="Q574" i="1"/>
  <c r="Q578" i="1"/>
  <c r="Q579" i="1"/>
  <c r="Q588" i="1"/>
  <c r="Q589" i="1"/>
  <c r="Q593" i="1"/>
  <c r="Q595" i="1"/>
  <c r="Q600" i="1"/>
  <c r="Q601" i="1"/>
  <c r="Q606" i="1"/>
  <c r="Q607" i="1"/>
  <c r="Q609" i="1"/>
  <c r="Q613" i="1"/>
  <c r="Q614" i="1"/>
  <c r="Q615" i="1"/>
  <c r="Q616" i="1"/>
  <c r="Q619" i="1"/>
  <c r="Q622" i="1"/>
  <c r="Q623" i="1"/>
  <c r="Q627" i="1"/>
  <c r="Q632" i="1"/>
  <c r="Q637" i="1"/>
  <c r="Q638" i="1"/>
  <c r="Q639" i="1"/>
  <c r="Q641" i="1"/>
  <c r="Q644" i="1"/>
  <c r="Q659" i="1"/>
  <c r="Q662" i="1"/>
  <c r="Q666" i="1"/>
  <c r="Q667" i="1"/>
  <c r="Q668" i="1"/>
  <c r="Q671" i="1"/>
  <c r="Q677" i="1"/>
  <c r="Q684" i="1"/>
  <c r="Q690" i="1"/>
  <c r="Q692" i="1"/>
  <c r="Q696" i="1"/>
  <c r="Q697" i="1"/>
  <c r="Q699" i="1"/>
  <c r="Q700" i="1"/>
  <c r="Q701" i="1"/>
  <c r="Q702" i="1"/>
  <c r="Q703" i="1"/>
  <c r="Q705" i="1"/>
  <c r="Q706" i="1"/>
  <c r="Q717" i="1"/>
  <c r="Q718" i="1"/>
  <c r="Q722" i="1"/>
  <c r="Q725" i="1"/>
  <c r="Q727" i="1"/>
  <c r="Q729" i="1"/>
  <c r="Q735" i="1"/>
  <c r="Q749" i="1"/>
  <c r="Q753" i="1"/>
  <c r="Q756" i="1"/>
  <c r="Q757" i="1"/>
  <c r="Q759" i="1"/>
  <c r="Q765" i="1"/>
  <c r="Q766" i="1"/>
  <c r="Q767" i="1"/>
  <c r="Q770" i="1"/>
  <c r="Q776" i="1"/>
  <c r="Q784" i="1"/>
  <c r="Q785" i="1"/>
  <c r="Q790" i="1"/>
  <c r="Q792" i="1"/>
  <c r="Q797" i="1"/>
  <c r="Q806" i="1"/>
  <c r="Q808" i="1"/>
  <c r="Q823" i="1"/>
  <c r="Q825" i="1"/>
  <c r="Q826" i="1"/>
  <c r="Q831" i="1"/>
  <c r="Q838" i="1"/>
  <c r="Q839" i="1"/>
  <c r="Q841" i="1"/>
  <c r="Q843" i="1"/>
  <c r="Q846" i="1"/>
  <c r="Q858" i="1"/>
  <c r="Q863" i="1"/>
  <c r="Q876" i="1"/>
  <c r="Q896" i="1"/>
  <c r="Q902" i="1"/>
  <c r="Q905" i="1"/>
  <c r="Q915" i="1"/>
  <c r="Q916" i="1"/>
  <c r="Q919" i="1"/>
  <c r="Q942" i="1"/>
  <c r="Q947" i="1"/>
  <c r="Q948" i="1"/>
  <c r="Q956" i="1"/>
  <c r="Q968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2" i="1"/>
  <c r="Q993" i="1"/>
  <c r="Q994" i="1"/>
  <c r="Q995" i="1"/>
  <c r="Q996" i="1"/>
  <c r="Q997" i="1"/>
  <c r="Q998" i="1"/>
  <c r="Q999" i="1"/>
  <c r="Q1000" i="1"/>
  <c r="Q1001" i="1"/>
  <c r="O3" i="1"/>
  <c r="R3" i="1" s="1"/>
  <c r="O4" i="1"/>
  <c r="R4" i="1" s="1"/>
  <c r="O5" i="1"/>
  <c r="R5" i="1" s="1"/>
  <c r="O6" i="1"/>
  <c r="R6" i="1" s="1"/>
  <c r="O7" i="1"/>
  <c r="O8" i="1"/>
  <c r="R8" i="1" s="1"/>
  <c r="O9" i="1"/>
  <c r="R9" i="1" s="1"/>
  <c r="O10" i="1"/>
  <c r="R10" i="1" s="1"/>
  <c r="O11" i="1"/>
  <c r="R11" i="1" s="1"/>
  <c r="O12" i="1"/>
  <c r="R12" i="1" s="1"/>
  <c r="O13" i="1"/>
  <c r="O14" i="1"/>
  <c r="R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2" i="1"/>
  <c r="R22" i="1" s="1"/>
  <c r="O23" i="1"/>
  <c r="R23" i="1" s="1"/>
  <c r="O24" i="1"/>
  <c r="R24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O38" i="1"/>
  <c r="R38" i="1" s="1"/>
  <c r="O39" i="1"/>
  <c r="R39" i="1" s="1"/>
  <c r="O40" i="1"/>
  <c r="R40" i="1" s="1"/>
  <c r="O41" i="1"/>
  <c r="R41" i="1" s="1"/>
  <c r="O42" i="1"/>
  <c r="R42" i="1" s="1"/>
  <c r="O43" i="1"/>
  <c r="O44" i="1"/>
  <c r="R44" i="1" s="1"/>
  <c r="O45" i="1"/>
  <c r="R45" i="1" s="1"/>
  <c r="O46" i="1"/>
  <c r="R46" i="1" s="1"/>
  <c r="O48" i="1"/>
  <c r="R48" i="1" s="1"/>
  <c r="O49" i="1"/>
  <c r="R49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R56" i="1" s="1"/>
  <c r="O57" i="1"/>
  <c r="R57" i="1" s="1"/>
  <c r="O58" i="1"/>
  <c r="R58" i="1" s="1"/>
  <c r="O59" i="1"/>
  <c r="R59" i="1" s="1"/>
  <c r="O60" i="1"/>
  <c r="R60" i="1" s="1"/>
  <c r="O62" i="1"/>
  <c r="R62" i="1" s="1"/>
  <c r="O63" i="1"/>
  <c r="R63" i="1" s="1"/>
  <c r="O64" i="1"/>
  <c r="R64" i="1" s="1"/>
  <c r="O65" i="1"/>
  <c r="R65" i="1" s="1"/>
  <c r="O66" i="1"/>
  <c r="R66" i="1" s="1"/>
  <c r="O67" i="1"/>
  <c r="R67" i="1" s="1"/>
  <c r="O68" i="1"/>
  <c r="R68" i="1" s="1"/>
  <c r="O69" i="1"/>
  <c r="R69" i="1" s="1"/>
  <c r="O70" i="1"/>
  <c r="R70" i="1" s="1"/>
  <c r="O71" i="1"/>
  <c r="R71" i="1" s="1"/>
  <c r="O72" i="1"/>
  <c r="R72" i="1" s="1"/>
  <c r="O73" i="1"/>
  <c r="O75" i="1"/>
  <c r="R75" i="1" s="1"/>
  <c r="O76" i="1"/>
  <c r="R76" i="1" s="1"/>
  <c r="O77" i="1"/>
  <c r="R77" i="1" s="1"/>
  <c r="O78" i="1"/>
  <c r="R78" i="1" s="1"/>
  <c r="O79" i="1"/>
  <c r="O80" i="1"/>
  <c r="R80" i="1" s="1"/>
  <c r="O81" i="1"/>
  <c r="R81" i="1" s="1"/>
  <c r="O85" i="1"/>
  <c r="R85" i="1" s="1"/>
  <c r="O86" i="1"/>
  <c r="R86" i="1" s="1"/>
  <c r="O87" i="1"/>
  <c r="R87" i="1" s="1"/>
  <c r="O88" i="1"/>
  <c r="R88" i="1" s="1"/>
  <c r="O89" i="1"/>
  <c r="R89" i="1" s="1"/>
  <c r="O90" i="1"/>
  <c r="R90" i="1" s="1"/>
  <c r="O91" i="1"/>
  <c r="R91" i="1" s="1"/>
  <c r="O92" i="1"/>
  <c r="R92" i="1" s="1"/>
  <c r="O93" i="1"/>
  <c r="R93" i="1" s="1"/>
  <c r="O94" i="1"/>
  <c r="R94" i="1" s="1"/>
  <c r="O95" i="1"/>
  <c r="R95" i="1" s="1"/>
  <c r="O97" i="1"/>
  <c r="O98" i="1"/>
  <c r="R98" i="1" s="1"/>
  <c r="O100" i="1"/>
  <c r="R100" i="1" s="1"/>
  <c r="O101" i="1"/>
  <c r="R101" i="1" s="1"/>
  <c r="O102" i="1"/>
  <c r="O103" i="1"/>
  <c r="R103" i="1" s="1"/>
  <c r="O104" i="1"/>
  <c r="R104" i="1" s="1"/>
  <c r="O105" i="1"/>
  <c r="R105" i="1" s="1"/>
  <c r="O106" i="1"/>
  <c r="R106" i="1" s="1"/>
  <c r="O107" i="1"/>
  <c r="R107" i="1" s="1"/>
  <c r="O108" i="1"/>
  <c r="R108" i="1" s="1"/>
  <c r="O109" i="1"/>
  <c r="R109" i="1" s="1"/>
  <c r="O110" i="1"/>
  <c r="R110" i="1" s="1"/>
  <c r="O112" i="1"/>
  <c r="R112" i="1" s="1"/>
  <c r="O113" i="1"/>
  <c r="R113" i="1" s="1"/>
  <c r="O114" i="1"/>
  <c r="R114" i="1" s="1"/>
  <c r="O115" i="1"/>
  <c r="R115" i="1" s="1"/>
  <c r="O116" i="1"/>
  <c r="R116" i="1" s="1"/>
  <c r="O117" i="1"/>
  <c r="R117" i="1" s="1"/>
  <c r="O118" i="1"/>
  <c r="R118" i="1" s="1"/>
  <c r="O119" i="1"/>
  <c r="R119" i="1" s="1"/>
  <c r="O120" i="1"/>
  <c r="R120" i="1" s="1"/>
  <c r="O121" i="1"/>
  <c r="O122" i="1"/>
  <c r="R122" i="1" s="1"/>
  <c r="O125" i="1"/>
  <c r="R125" i="1" s="1"/>
  <c r="O127" i="1"/>
  <c r="R127" i="1" s="1"/>
  <c r="O128" i="1"/>
  <c r="R128" i="1" s="1"/>
  <c r="O129" i="1"/>
  <c r="R129" i="1" s="1"/>
  <c r="O130" i="1"/>
  <c r="R130" i="1" s="1"/>
  <c r="O131" i="1"/>
  <c r="R131" i="1" s="1"/>
  <c r="O132" i="1"/>
  <c r="O133" i="1"/>
  <c r="O134" i="1"/>
  <c r="R134" i="1" s="1"/>
  <c r="O135" i="1"/>
  <c r="R135" i="1" s="1"/>
  <c r="O136" i="1"/>
  <c r="R136" i="1" s="1"/>
  <c r="O137" i="1"/>
  <c r="R137" i="1" s="1"/>
  <c r="O138" i="1"/>
  <c r="R138" i="1" s="1"/>
  <c r="O139" i="1"/>
  <c r="R139" i="1" s="1"/>
  <c r="O140" i="1"/>
  <c r="R140" i="1" s="1"/>
  <c r="O141" i="1"/>
  <c r="R141" i="1" s="1"/>
  <c r="O142" i="1"/>
  <c r="R142" i="1" s="1"/>
  <c r="O143" i="1"/>
  <c r="R143" i="1" s="1"/>
  <c r="O144" i="1"/>
  <c r="R144" i="1" s="1"/>
  <c r="O149" i="1"/>
  <c r="R149" i="1" s="1"/>
  <c r="O150" i="1"/>
  <c r="R150" i="1" s="1"/>
  <c r="O151" i="1"/>
  <c r="R151" i="1" s="1"/>
  <c r="O152" i="1"/>
  <c r="R152" i="1" s="1"/>
  <c r="O153" i="1"/>
  <c r="R153" i="1" s="1"/>
  <c r="O154" i="1"/>
  <c r="R154" i="1" s="1"/>
  <c r="O155" i="1"/>
  <c r="R155" i="1" s="1"/>
  <c r="O158" i="1"/>
  <c r="R158" i="1" s="1"/>
  <c r="O160" i="1"/>
  <c r="R160" i="1" s="1"/>
  <c r="O161" i="1"/>
  <c r="R161" i="1" s="1"/>
  <c r="O163" i="1"/>
  <c r="O164" i="1"/>
  <c r="R164" i="1" s="1"/>
  <c r="O166" i="1"/>
  <c r="R166" i="1" s="1"/>
  <c r="O168" i="1"/>
  <c r="R168" i="1" s="1"/>
  <c r="O169" i="1"/>
  <c r="R169" i="1" s="1"/>
  <c r="O170" i="1"/>
  <c r="R170" i="1" s="1"/>
  <c r="O171" i="1"/>
  <c r="R171" i="1" s="1"/>
  <c r="O172" i="1"/>
  <c r="R172" i="1" s="1"/>
  <c r="O173" i="1"/>
  <c r="R173" i="1" s="1"/>
  <c r="O174" i="1"/>
  <c r="R174" i="1" s="1"/>
  <c r="O175" i="1"/>
  <c r="O176" i="1"/>
  <c r="R176" i="1" s="1"/>
  <c r="O177" i="1"/>
  <c r="R177" i="1" s="1"/>
  <c r="O178" i="1"/>
  <c r="R178" i="1" s="1"/>
  <c r="O179" i="1"/>
  <c r="R179" i="1" s="1"/>
  <c r="O182" i="1"/>
  <c r="R182" i="1" s="1"/>
  <c r="O183" i="1"/>
  <c r="R183" i="1" s="1"/>
  <c r="O185" i="1"/>
  <c r="R185" i="1" s="1"/>
  <c r="O186" i="1"/>
  <c r="R186" i="1" s="1"/>
  <c r="O189" i="1"/>
  <c r="R189" i="1" s="1"/>
  <c r="O190" i="1"/>
  <c r="R190" i="1" s="1"/>
  <c r="O192" i="1"/>
  <c r="R192" i="1" s="1"/>
  <c r="O193" i="1"/>
  <c r="R193" i="1" s="1"/>
  <c r="O196" i="1"/>
  <c r="R196" i="1" s="1"/>
  <c r="O197" i="1"/>
  <c r="R197" i="1" s="1"/>
  <c r="O198" i="1"/>
  <c r="O201" i="1"/>
  <c r="R201" i="1" s="1"/>
  <c r="O204" i="1"/>
  <c r="R204" i="1" s="1"/>
  <c r="O205" i="1"/>
  <c r="O206" i="1"/>
  <c r="R206" i="1" s="1"/>
  <c r="O209" i="1"/>
  <c r="R209" i="1" s="1"/>
  <c r="O210" i="1"/>
  <c r="R210" i="1" s="1"/>
  <c r="O211" i="1"/>
  <c r="R211" i="1" s="1"/>
  <c r="O212" i="1"/>
  <c r="R212" i="1" s="1"/>
  <c r="O213" i="1"/>
  <c r="R213" i="1" s="1"/>
  <c r="O214" i="1"/>
  <c r="O218" i="1"/>
  <c r="R218" i="1" s="1"/>
  <c r="O219" i="1"/>
  <c r="R219" i="1" s="1"/>
  <c r="O220" i="1"/>
  <c r="R220" i="1" s="1"/>
  <c r="O225" i="1"/>
  <c r="R225" i="1" s="1"/>
  <c r="O226" i="1"/>
  <c r="R226" i="1" s="1"/>
  <c r="O227" i="1"/>
  <c r="R227" i="1" s="1"/>
  <c r="O228" i="1"/>
  <c r="R228" i="1" s="1"/>
  <c r="O230" i="1"/>
  <c r="R230" i="1" s="1"/>
  <c r="O232" i="1"/>
  <c r="R232" i="1" s="1"/>
  <c r="O234" i="1"/>
  <c r="R234" i="1" s="1"/>
  <c r="O235" i="1"/>
  <c r="O237" i="1"/>
  <c r="R237" i="1" s="1"/>
  <c r="O239" i="1"/>
  <c r="R239" i="1" s="1"/>
  <c r="O242" i="1"/>
  <c r="R242" i="1" s="1"/>
  <c r="O243" i="1"/>
  <c r="R243" i="1" s="1"/>
  <c r="O244" i="1"/>
  <c r="O247" i="1"/>
  <c r="R247" i="1" s="1"/>
  <c r="O251" i="1"/>
  <c r="R251" i="1" s="1"/>
  <c r="O252" i="1"/>
  <c r="R252" i="1" s="1"/>
  <c r="O253" i="1"/>
  <c r="O256" i="1"/>
  <c r="R256" i="1" s="1"/>
  <c r="O257" i="1"/>
  <c r="R257" i="1" s="1"/>
  <c r="O258" i="1"/>
  <c r="O259" i="1"/>
  <c r="R259" i="1" s="1"/>
  <c r="O260" i="1"/>
  <c r="R260" i="1" s="1"/>
  <c r="O261" i="1"/>
  <c r="R261" i="1" s="1"/>
  <c r="O266" i="1"/>
  <c r="R266" i="1" s="1"/>
  <c r="O267" i="1"/>
  <c r="R267" i="1" s="1"/>
  <c r="O268" i="1"/>
  <c r="R268" i="1" s="1"/>
  <c r="O270" i="1"/>
  <c r="R270" i="1" s="1"/>
  <c r="O271" i="1"/>
  <c r="O273" i="1"/>
  <c r="R273" i="1" s="1"/>
  <c r="O274" i="1"/>
  <c r="O276" i="1"/>
  <c r="R276" i="1" s="1"/>
  <c r="O279" i="1"/>
  <c r="R279" i="1" s="1"/>
  <c r="O281" i="1"/>
  <c r="R281" i="1" s="1"/>
  <c r="O287" i="1"/>
  <c r="R287" i="1" s="1"/>
  <c r="O288" i="1"/>
  <c r="O291" i="1"/>
  <c r="R291" i="1" s="1"/>
  <c r="O292" i="1"/>
  <c r="R292" i="1" s="1"/>
  <c r="O293" i="1"/>
  <c r="R293" i="1" s="1"/>
  <c r="O295" i="1"/>
  <c r="O296" i="1"/>
  <c r="R296" i="1" s="1"/>
  <c r="O297" i="1"/>
  <c r="R297" i="1" s="1"/>
  <c r="O299" i="1"/>
  <c r="R299" i="1" s="1"/>
  <c r="O301" i="1"/>
  <c r="R301" i="1" s="1"/>
  <c r="O306" i="1"/>
  <c r="R306" i="1" s="1"/>
  <c r="O311" i="1"/>
  <c r="R311" i="1" s="1"/>
  <c r="O314" i="1"/>
  <c r="R314" i="1" s="1"/>
  <c r="O316" i="1"/>
  <c r="R316" i="1" s="1"/>
  <c r="O318" i="1"/>
  <c r="R318" i="1" s="1"/>
  <c r="O322" i="1"/>
  <c r="R322" i="1" s="1"/>
  <c r="O323" i="1"/>
  <c r="R323" i="1" s="1"/>
  <c r="O324" i="1"/>
  <c r="O325" i="1"/>
  <c r="R325" i="1" s="1"/>
  <c r="O327" i="1"/>
  <c r="R327" i="1" s="1"/>
  <c r="O328" i="1"/>
  <c r="R328" i="1" s="1"/>
  <c r="O329" i="1"/>
  <c r="R329" i="1" s="1"/>
  <c r="O333" i="1"/>
  <c r="R333" i="1" s="1"/>
  <c r="O335" i="1"/>
  <c r="R335" i="1" s="1"/>
  <c r="O338" i="1"/>
  <c r="R338" i="1" s="1"/>
  <c r="O339" i="1"/>
  <c r="R339" i="1" s="1"/>
  <c r="O340" i="1"/>
  <c r="O342" i="1"/>
  <c r="R342" i="1" s="1"/>
  <c r="O343" i="1"/>
  <c r="O344" i="1"/>
  <c r="R344" i="1" s="1"/>
  <c r="O345" i="1"/>
  <c r="R345" i="1" s="1"/>
  <c r="O348" i="1"/>
  <c r="R348" i="1" s="1"/>
  <c r="O349" i="1"/>
  <c r="O350" i="1"/>
  <c r="R350" i="1" s="1"/>
  <c r="O352" i="1"/>
  <c r="O353" i="1"/>
  <c r="R353" i="1" s="1"/>
  <c r="O354" i="1"/>
  <c r="O355" i="1"/>
  <c r="O356" i="1"/>
  <c r="R356" i="1" s="1"/>
  <c r="O357" i="1"/>
  <c r="R357" i="1" s="1"/>
  <c r="O359" i="1"/>
  <c r="R359" i="1" s="1"/>
  <c r="O360" i="1"/>
  <c r="R360" i="1" s="1"/>
  <c r="O362" i="1"/>
  <c r="R362" i="1" s="1"/>
  <c r="O363" i="1"/>
  <c r="R363" i="1" s="1"/>
  <c r="O364" i="1"/>
  <c r="R364" i="1" s="1"/>
  <c r="O366" i="1"/>
  <c r="R366" i="1" s="1"/>
  <c r="O372" i="1"/>
  <c r="R372" i="1" s="1"/>
  <c r="O381" i="1"/>
  <c r="R381" i="1" s="1"/>
  <c r="O382" i="1"/>
  <c r="R382" i="1" s="1"/>
  <c r="O383" i="1"/>
  <c r="R383" i="1" s="1"/>
  <c r="O384" i="1"/>
  <c r="R384" i="1" s="1"/>
  <c r="O386" i="1"/>
  <c r="R386" i="1" s="1"/>
  <c r="O391" i="1"/>
  <c r="R391" i="1" s="1"/>
  <c r="O392" i="1"/>
  <c r="R392" i="1" s="1"/>
  <c r="O394" i="1"/>
  <c r="R394" i="1" s="1"/>
  <c r="O396" i="1"/>
  <c r="R396" i="1" s="1"/>
  <c r="O397" i="1"/>
  <c r="O398" i="1"/>
  <c r="R398" i="1" s="1"/>
  <c r="O399" i="1"/>
  <c r="R399" i="1" s="1"/>
  <c r="O400" i="1"/>
  <c r="O401" i="1"/>
  <c r="R401" i="1" s="1"/>
  <c r="O403" i="1"/>
  <c r="R403" i="1" s="1"/>
  <c r="O404" i="1"/>
  <c r="R404" i="1" s="1"/>
  <c r="O405" i="1"/>
  <c r="R405" i="1" s="1"/>
  <c r="O406" i="1"/>
  <c r="R406" i="1" s="1"/>
  <c r="O409" i="1"/>
  <c r="O412" i="1"/>
  <c r="O413" i="1"/>
  <c r="R413" i="1" s="1"/>
  <c r="O414" i="1"/>
  <c r="O417" i="1"/>
  <c r="R417" i="1" s="1"/>
  <c r="O418" i="1"/>
  <c r="R418" i="1" s="1"/>
  <c r="O419" i="1"/>
  <c r="R419" i="1" s="1"/>
  <c r="O422" i="1"/>
  <c r="R422" i="1" s="1"/>
  <c r="O423" i="1"/>
  <c r="R423" i="1" s="1"/>
  <c r="O424" i="1"/>
  <c r="R424" i="1" s="1"/>
  <c r="O426" i="1"/>
  <c r="R426" i="1" s="1"/>
  <c r="O431" i="1"/>
  <c r="R431" i="1" s="1"/>
  <c r="O433" i="1"/>
  <c r="O434" i="1"/>
  <c r="R434" i="1" s="1"/>
  <c r="O435" i="1"/>
  <c r="R435" i="1" s="1"/>
  <c r="O438" i="1"/>
  <c r="R438" i="1" s="1"/>
  <c r="O440" i="1"/>
  <c r="R440" i="1" s="1"/>
  <c r="O441" i="1"/>
  <c r="R441" i="1" s="1"/>
  <c r="O442" i="1"/>
  <c r="R442" i="1" s="1"/>
  <c r="O443" i="1"/>
  <c r="R443" i="1" s="1"/>
  <c r="O444" i="1"/>
  <c r="R444" i="1" s="1"/>
  <c r="O447" i="1"/>
  <c r="R447" i="1" s="1"/>
  <c r="O448" i="1"/>
  <c r="O449" i="1"/>
  <c r="R449" i="1" s="1"/>
  <c r="O450" i="1"/>
  <c r="O451" i="1"/>
  <c r="O454" i="1"/>
  <c r="R454" i="1" s="1"/>
  <c r="O456" i="1"/>
  <c r="R456" i="1" s="1"/>
  <c r="O457" i="1"/>
  <c r="R457" i="1" s="1"/>
  <c r="O458" i="1"/>
  <c r="R458" i="1" s="1"/>
  <c r="O459" i="1"/>
  <c r="R459" i="1" s="1"/>
  <c r="O460" i="1"/>
  <c r="R460" i="1" s="1"/>
  <c r="O461" i="1"/>
  <c r="R461" i="1" s="1"/>
  <c r="O462" i="1"/>
  <c r="R462" i="1" s="1"/>
  <c r="O464" i="1"/>
  <c r="R464" i="1" s="1"/>
  <c r="O473" i="1"/>
  <c r="R473" i="1" s="1"/>
  <c r="O476" i="1"/>
  <c r="R476" i="1" s="1"/>
  <c r="O480" i="1"/>
  <c r="R480" i="1" s="1"/>
  <c r="O483" i="1"/>
  <c r="R483" i="1" s="1"/>
  <c r="O488" i="1"/>
  <c r="R488" i="1" s="1"/>
  <c r="O492" i="1"/>
  <c r="R492" i="1" s="1"/>
  <c r="O493" i="1"/>
  <c r="O497" i="1"/>
  <c r="R497" i="1" s="1"/>
  <c r="O500" i="1"/>
  <c r="R500" i="1" s="1"/>
  <c r="O516" i="1"/>
  <c r="O517" i="1"/>
  <c r="O518" i="1"/>
  <c r="R518" i="1" s="1"/>
  <c r="O519" i="1"/>
  <c r="R519" i="1" s="1"/>
  <c r="O525" i="1"/>
  <c r="R525" i="1" s="1"/>
  <c r="O527" i="1"/>
  <c r="R527" i="1" s="1"/>
  <c r="O529" i="1"/>
  <c r="R529" i="1" s="1"/>
  <c r="O532" i="1"/>
  <c r="R532" i="1" s="1"/>
  <c r="O534" i="1"/>
  <c r="R534" i="1" s="1"/>
  <c r="O536" i="1"/>
  <c r="R536" i="1" s="1"/>
  <c r="O540" i="1"/>
  <c r="R540" i="1" s="1"/>
  <c r="O542" i="1"/>
  <c r="R542" i="1" s="1"/>
  <c r="O549" i="1"/>
  <c r="R549" i="1" s="1"/>
  <c r="O552" i="1"/>
  <c r="O555" i="1"/>
  <c r="R555" i="1" s="1"/>
  <c r="O558" i="1"/>
  <c r="R558" i="1" s="1"/>
  <c r="O560" i="1"/>
  <c r="R560" i="1" s="1"/>
  <c r="O567" i="1"/>
  <c r="R567" i="1" s="1"/>
  <c r="O570" i="1"/>
  <c r="R570" i="1" s="1"/>
  <c r="O574" i="1"/>
  <c r="R574" i="1" s="1"/>
  <c r="O578" i="1"/>
  <c r="R578" i="1" s="1"/>
  <c r="O579" i="1"/>
  <c r="R579" i="1" s="1"/>
  <c r="O588" i="1"/>
  <c r="R588" i="1" s="1"/>
  <c r="O589" i="1"/>
  <c r="R589" i="1" s="1"/>
  <c r="O593" i="1"/>
  <c r="R593" i="1" s="1"/>
  <c r="O595" i="1"/>
  <c r="O600" i="1"/>
  <c r="R600" i="1" s="1"/>
  <c r="O601" i="1"/>
  <c r="R601" i="1" s="1"/>
  <c r="O606" i="1"/>
  <c r="R606" i="1" s="1"/>
  <c r="O607" i="1"/>
  <c r="R607" i="1" s="1"/>
  <c r="O609" i="1"/>
  <c r="R609" i="1" s="1"/>
  <c r="O613" i="1"/>
  <c r="O614" i="1"/>
  <c r="R614" i="1" s="1"/>
  <c r="O615" i="1"/>
  <c r="R615" i="1" s="1"/>
  <c r="O616" i="1"/>
  <c r="O619" i="1"/>
  <c r="O622" i="1"/>
  <c r="R622" i="1" s="1"/>
  <c r="O623" i="1"/>
  <c r="R623" i="1" s="1"/>
  <c r="O627" i="1"/>
  <c r="R627" i="1" s="1"/>
  <c r="O632" i="1"/>
  <c r="R632" i="1" s="1"/>
  <c r="O637" i="1"/>
  <c r="R637" i="1" s="1"/>
  <c r="O638" i="1"/>
  <c r="R638" i="1" s="1"/>
  <c r="O639" i="1"/>
  <c r="R639" i="1" s="1"/>
  <c r="O641" i="1"/>
  <c r="R641" i="1" s="1"/>
  <c r="O644" i="1"/>
  <c r="R644" i="1" s="1"/>
  <c r="O659" i="1"/>
  <c r="R659" i="1" s="1"/>
  <c r="O662" i="1"/>
  <c r="R662" i="1" s="1"/>
  <c r="O666" i="1"/>
  <c r="R666" i="1" s="1"/>
  <c r="O667" i="1"/>
  <c r="R667" i="1" s="1"/>
  <c r="O668" i="1"/>
  <c r="R668" i="1" s="1"/>
  <c r="O671" i="1"/>
  <c r="R671" i="1" s="1"/>
  <c r="O677" i="1"/>
  <c r="R677" i="1" s="1"/>
  <c r="O684" i="1"/>
  <c r="R684" i="1" s="1"/>
  <c r="O690" i="1"/>
  <c r="P690" i="1" s="1"/>
  <c r="O692" i="1"/>
  <c r="R692" i="1" s="1"/>
  <c r="O696" i="1"/>
  <c r="P696" i="1" s="1"/>
  <c r="O697" i="1"/>
  <c r="O699" i="1"/>
  <c r="R699" i="1" s="1"/>
  <c r="O700" i="1"/>
  <c r="O701" i="1"/>
  <c r="R701" i="1" s="1"/>
  <c r="O702" i="1"/>
  <c r="R702" i="1" s="1"/>
  <c r="O703" i="1"/>
  <c r="O705" i="1"/>
  <c r="R705" i="1" s="1"/>
  <c r="O706" i="1"/>
  <c r="O717" i="1"/>
  <c r="R717" i="1" s="1"/>
  <c r="O718" i="1"/>
  <c r="R718" i="1" s="1"/>
  <c r="O722" i="1"/>
  <c r="R722" i="1" s="1"/>
  <c r="O725" i="1"/>
  <c r="R725" i="1" s="1"/>
  <c r="O727" i="1"/>
  <c r="R727" i="1" s="1"/>
  <c r="O729" i="1"/>
  <c r="R729" i="1" s="1"/>
  <c r="O735" i="1"/>
  <c r="R735" i="1" s="1"/>
  <c r="O749" i="1"/>
  <c r="R749" i="1" s="1"/>
  <c r="O753" i="1"/>
  <c r="R753" i="1" s="1"/>
  <c r="O756" i="1"/>
  <c r="R756" i="1" s="1"/>
  <c r="O757" i="1"/>
  <c r="O759" i="1"/>
  <c r="R759" i="1" s="1"/>
  <c r="O765" i="1"/>
  <c r="R765" i="1" s="1"/>
  <c r="O766" i="1"/>
  <c r="O767" i="1"/>
  <c r="R767" i="1" s="1"/>
  <c r="O770" i="1"/>
  <c r="R770" i="1" s="1"/>
  <c r="O776" i="1"/>
  <c r="R776" i="1" s="1"/>
  <c r="O784" i="1"/>
  <c r="R784" i="1" s="1"/>
  <c r="O785" i="1"/>
  <c r="R785" i="1" s="1"/>
  <c r="O790" i="1"/>
  <c r="R790" i="1" s="1"/>
  <c r="O792" i="1"/>
  <c r="R792" i="1" s="1"/>
  <c r="O797" i="1"/>
  <c r="R797" i="1" s="1"/>
  <c r="O806" i="1"/>
  <c r="R806" i="1" s="1"/>
  <c r="O808" i="1"/>
  <c r="R808" i="1" s="1"/>
  <c r="O823" i="1"/>
  <c r="R823" i="1" s="1"/>
  <c r="O825" i="1"/>
  <c r="R825" i="1" s="1"/>
  <c r="O826" i="1"/>
  <c r="R826" i="1" s="1"/>
  <c r="O831" i="1"/>
  <c r="R831" i="1" s="1"/>
  <c r="O838" i="1"/>
  <c r="R838" i="1" s="1"/>
  <c r="O839" i="1"/>
  <c r="R839" i="1" s="1"/>
  <c r="O841" i="1"/>
  <c r="O843" i="1"/>
  <c r="P843" i="1" s="1"/>
  <c r="O846" i="1"/>
  <c r="P846" i="1" s="1"/>
  <c r="O858" i="1"/>
  <c r="P858" i="1" s="1"/>
  <c r="O863" i="1"/>
  <c r="O876" i="1"/>
  <c r="R876" i="1" s="1"/>
  <c r="O896" i="1"/>
  <c r="R896" i="1" s="1"/>
  <c r="O902" i="1"/>
  <c r="R902" i="1" s="1"/>
  <c r="O905" i="1"/>
  <c r="R905" i="1" s="1"/>
  <c r="O915" i="1"/>
  <c r="R915" i="1" s="1"/>
  <c r="O916" i="1"/>
  <c r="P916" i="1" s="1"/>
  <c r="O919" i="1"/>
  <c r="O942" i="1"/>
  <c r="R942" i="1" s="1"/>
  <c r="O947" i="1"/>
  <c r="R947" i="1" s="1"/>
  <c r="O948" i="1"/>
  <c r="R948" i="1" s="1"/>
  <c r="O956" i="1"/>
  <c r="R956" i="1" s="1"/>
  <c r="O968" i="1"/>
  <c r="R968" i="1" s="1"/>
  <c r="O976" i="1"/>
  <c r="R976" i="1" s="1"/>
  <c r="O977" i="1"/>
  <c r="R977" i="1" s="1"/>
  <c r="O978" i="1"/>
  <c r="R978" i="1" s="1"/>
  <c r="O979" i="1"/>
  <c r="R979" i="1" s="1"/>
  <c r="O980" i="1"/>
  <c r="R980" i="1" s="1"/>
  <c r="O981" i="1"/>
  <c r="R981" i="1" s="1"/>
  <c r="O982" i="1"/>
  <c r="R982" i="1" s="1"/>
  <c r="O983" i="1"/>
  <c r="O984" i="1"/>
  <c r="R984" i="1" s="1"/>
  <c r="O985" i="1"/>
  <c r="O986" i="1"/>
  <c r="R986" i="1" s="1"/>
  <c r="O987" i="1"/>
  <c r="P987" i="1" s="1"/>
  <c r="O988" i="1"/>
  <c r="R988" i="1" s="1"/>
  <c r="O989" i="1"/>
  <c r="R989" i="1" s="1"/>
  <c r="O990" i="1"/>
  <c r="P990" i="1" s="1"/>
  <c r="O992" i="1"/>
  <c r="R992" i="1" s="1"/>
  <c r="O993" i="1"/>
  <c r="R993" i="1" s="1"/>
  <c r="O994" i="1"/>
  <c r="R994" i="1" s="1"/>
  <c r="O995" i="1"/>
  <c r="R995" i="1" s="1"/>
  <c r="O996" i="1"/>
  <c r="P996" i="1" s="1"/>
  <c r="O997" i="1"/>
  <c r="O998" i="1"/>
  <c r="R998" i="1" s="1"/>
  <c r="O999" i="1"/>
  <c r="R999" i="1" s="1"/>
  <c r="O1000" i="1"/>
  <c r="R1000" i="1" s="1"/>
  <c r="O1001" i="1"/>
  <c r="R1001" i="1" s="1"/>
  <c r="O2" i="1"/>
  <c r="R2" i="1" s="1"/>
  <c r="F388" i="4"/>
  <c r="G388" i="4" s="1"/>
  <c r="F72" i="4"/>
  <c r="G72" i="4" s="1"/>
  <c r="F297" i="4"/>
  <c r="G297" i="4" s="1"/>
  <c r="F307" i="4"/>
  <c r="G307" i="4" s="1"/>
  <c r="F25" i="4"/>
  <c r="G25" i="4" s="1"/>
  <c r="S6" i="1" s="1"/>
  <c r="F181" i="4"/>
  <c r="G181" i="4" s="1"/>
  <c r="F160" i="4"/>
  <c r="G160" i="4" s="1"/>
  <c r="F315" i="4"/>
  <c r="G315" i="4" s="1"/>
  <c r="F241" i="4"/>
  <c r="G241" i="4" s="1"/>
  <c r="S10" i="1" s="1"/>
  <c r="F6" i="4"/>
  <c r="G6" i="4" s="1"/>
  <c r="F272" i="4"/>
  <c r="G272" i="4" s="1"/>
  <c r="F115" i="4"/>
  <c r="G115" i="4" s="1"/>
  <c r="S13" i="1" s="1"/>
  <c r="F14" i="4"/>
  <c r="G14" i="4" s="1"/>
  <c r="F431" i="4"/>
  <c r="G431" i="4" s="1"/>
  <c r="F229" i="4"/>
  <c r="G229" i="4" s="1"/>
  <c r="F401" i="4"/>
  <c r="G401" i="4" s="1"/>
  <c r="F209" i="4"/>
  <c r="G209" i="4" s="1"/>
  <c r="F74" i="4"/>
  <c r="G74" i="4" s="1"/>
  <c r="F95" i="4"/>
  <c r="G95" i="4" s="1"/>
  <c r="F306" i="4"/>
  <c r="G306" i="4" s="1"/>
  <c r="F365" i="4"/>
  <c r="G365" i="4" s="1"/>
  <c r="F303" i="4"/>
  <c r="G303" i="4" s="1"/>
  <c r="F104" i="4"/>
  <c r="G104" i="4" s="1"/>
  <c r="F52" i="4"/>
  <c r="G52" i="4" s="1"/>
  <c r="F414" i="4"/>
  <c r="G414" i="4" s="1"/>
  <c r="F81" i="4"/>
  <c r="G81" i="4" s="1"/>
  <c r="F210" i="4"/>
  <c r="G210" i="4" s="1"/>
  <c r="F249" i="4"/>
  <c r="G249" i="4" s="1"/>
  <c r="S29" i="1" s="1"/>
  <c r="F235" i="4"/>
  <c r="G235" i="4" s="1"/>
  <c r="F322" i="4"/>
  <c r="G322" i="4" s="1"/>
  <c r="S31" i="1" s="1"/>
  <c r="F420" i="4"/>
  <c r="G420" i="4" s="1"/>
  <c r="F428" i="4"/>
  <c r="G428" i="4" s="1"/>
  <c r="F26" i="4"/>
  <c r="G26" i="4" s="1"/>
  <c r="F399" i="4"/>
  <c r="G399" i="4" s="1"/>
  <c r="F184" i="4"/>
  <c r="G184" i="4" s="1"/>
  <c r="F334" i="4"/>
  <c r="G334" i="4" s="1"/>
  <c r="F323" i="4"/>
  <c r="G323" i="4" s="1"/>
  <c r="F165" i="4"/>
  <c r="G165" i="4" s="1"/>
  <c r="F356" i="4"/>
  <c r="G356" i="4" s="1"/>
  <c r="F230" i="4"/>
  <c r="G230" i="4" s="1"/>
  <c r="F394" i="4"/>
  <c r="G394" i="4" s="1"/>
  <c r="F234" i="4"/>
  <c r="G234" i="4" s="1"/>
  <c r="F325" i="4"/>
  <c r="G325" i="4" s="1"/>
  <c r="F403" i="4"/>
  <c r="G403" i="4" s="1"/>
  <c r="F123" i="4"/>
  <c r="G123" i="4" s="1"/>
  <c r="F177" i="4"/>
  <c r="G177" i="4" s="1"/>
  <c r="F280" i="4"/>
  <c r="G280" i="4" s="1"/>
  <c r="S49" i="1" s="1"/>
  <c r="F350" i="4"/>
  <c r="G350" i="4" s="1"/>
  <c r="F369" i="4"/>
  <c r="G369" i="4" s="1"/>
  <c r="F185" i="4"/>
  <c r="G185" i="4" s="1"/>
  <c r="F194" i="4"/>
  <c r="G194" i="4" s="1"/>
  <c r="F4" i="4"/>
  <c r="G4" i="4" s="1"/>
  <c r="F63" i="4"/>
  <c r="G63" i="4" s="1"/>
  <c r="F109" i="4"/>
  <c r="G109" i="4" s="1"/>
  <c r="F424" i="4"/>
  <c r="G424" i="4" s="1"/>
  <c r="F28" i="4"/>
  <c r="G28" i="4" s="1"/>
  <c r="F12" i="4"/>
  <c r="G12" i="4" s="1"/>
  <c r="F316" i="4"/>
  <c r="G316" i="4" s="1"/>
  <c r="S62" i="1" s="1"/>
  <c r="F170" i="4"/>
  <c r="G170" i="4" s="1"/>
  <c r="F336" i="4"/>
  <c r="G336" i="4" s="1"/>
  <c r="F337" i="4"/>
  <c r="G337" i="4" s="1"/>
  <c r="F46" i="4"/>
  <c r="G46" i="4" s="1"/>
  <c r="F164" i="4"/>
  <c r="G164" i="4" s="1"/>
  <c r="F183" i="4"/>
  <c r="G183" i="4" s="1"/>
  <c r="F182" i="4"/>
  <c r="G182" i="4" s="1"/>
  <c r="F93" i="4"/>
  <c r="G93" i="4" s="1"/>
  <c r="F317" i="4"/>
  <c r="G317" i="4" s="1"/>
  <c r="F361" i="4"/>
  <c r="G361" i="4" s="1"/>
  <c r="S72" i="1" s="1"/>
  <c r="F320" i="4"/>
  <c r="G320" i="4" s="1"/>
  <c r="F168" i="4"/>
  <c r="G168" i="4" s="1"/>
  <c r="F236" i="4"/>
  <c r="G236" i="4" s="1"/>
  <c r="S76" i="1" s="1"/>
  <c r="F16" i="4"/>
  <c r="G16" i="4" s="1"/>
  <c r="F84" i="4"/>
  <c r="G84" i="4" s="1"/>
  <c r="S78" i="1" s="1"/>
  <c r="F219" i="4"/>
  <c r="G219" i="4" s="1"/>
  <c r="F425" i="4"/>
  <c r="G425" i="4" s="1"/>
  <c r="F355" i="4"/>
  <c r="G355" i="4" s="1"/>
  <c r="F335" i="4"/>
  <c r="G335" i="4" s="1"/>
  <c r="F357" i="4"/>
  <c r="G357" i="4" s="1"/>
  <c r="F159" i="4"/>
  <c r="G159" i="4" s="1"/>
  <c r="F77" i="4"/>
  <c r="G77" i="4" s="1"/>
  <c r="F333" i="4"/>
  <c r="G333" i="4" s="1"/>
  <c r="F153" i="4"/>
  <c r="G153" i="4" s="1"/>
  <c r="F375" i="4"/>
  <c r="G375" i="4" s="1"/>
  <c r="F78" i="4"/>
  <c r="G78" i="4" s="1"/>
  <c r="S91" i="1" s="1"/>
  <c r="F5" i="4"/>
  <c r="G5" i="4" s="1"/>
  <c r="F413" i="4"/>
  <c r="G413" i="4" s="1"/>
  <c r="F150" i="4"/>
  <c r="G150" i="4" s="1"/>
  <c r="F227" i="4"/>
  <c r="G227" i="4" s="1"/>
  <c r="F270" i="4"/>
  <c r="G270" i="4" s="1"/>
  <c r="F395" i="4"/>
  <c r="G395" i="4" s="1"/>
  <c r="F298" i="4"/>
  <c r="G298" i="4" s="1"/>
  <c r="S100" i="1" s="1"/>
  <c r="F126" i="4"/>
  <c r="G126" i="4" s="1"/>
  <c r="F23" i="4"/>
  <c r="G23" i="4" s="1"/>
  <c r="S102" i="1" s="1"/>
  <c r="F423" i="4"/>
  <c r="G423" i="4" s="1"/>
  <c r="F383" i="4"/>
  <c r="G383" i="4" s="1"/>
  <c r="F193" i="4"/>
  <c r="G193" i="4" s="1"/>
  <c r="F129" i="4"/>
  <c r="G129" i="4" s="1"/>
  <c r="F362" i="4"/>
  <c r="G362" i="4" s="1"/>
  <c r="F284" i="4"/>
  <c r="G284" i="4" s="1"/>
  <c r="F212" i="4"/>
  <c r="G212" i="4" s="1"/>
  <c r="S109" i="1" s="1"/>
  <c r="F222" i="4"/>
  <c r="G222" i="4" s="1"/>
  <c r="F55" i="4"/>
  <c r="G55" i="4" s="1"/>
  <c r="F385" i="4"/>
  <c r="G385" i="4" s="1"/>
  <c r="F107" i="4"/>
  <c r="G107" i="4" s="1"/>
  <c r="F54" i="4"/>
  <c r="G54" i="4" s="1"/>
  <c r="F293" i="4"/>
  <c r="G293" i="4" s="1"/>
  <c r="F409" i="4"/>
  <c r="G409" i="4" s="1"/>
  <c r="S117" i="1" s="1"/>
  <c r="F145" i="4"/>
  <c r="G145" i="4" s="1"/>
  <c r="F38" i="4"/>
  <c r="G38" i="4" s="1"/>
  <c r="S119" i="1" s="1"/>
  <c r="F50" i="4"/>
  <c r="G50" i="4" s="1"/>
  <c r="F116" i="4"/>
  <c r="G116" i="4" s="1"/>
  <c r="F204" i="4"/>
  <c r="G204" i="4" s="1"/>
  <c r="F61" i="4"/>
  <c r="G61" i="4" s="1"/>
  <c r="F330" i="4"/>
  <c r="G330" i="4" s="1"/>
  <c r="S127" i="1" s="1"/>
  <c r="F332" i="4"/>
  <c r="G332" i="4" s="1"/>
  <c r="F397" i="4"/>
  <c r="G397" i="4" s="1"/>
  <c r="F221" i="4"/>
  <c r="G221" i="4" s="1"/>
  <c r="F59" i="4"/>
  <c r="G59" i="4" s="1"/>
  <c r="F253" i="4"/>
  <c r="G253" i="4" s="1"/>
  <c r="F9" i="4"/>
  <c r="G9" i="4" s="1"/>
  <c r="F188" i="4"/>
  <c r="G188" i="4" s="1"/>
  <c r="F379" i="4"/>
  <c r="G379" i="4" s="1"/>
  <c r="F255" i="4"/>
  <c r="G255" i="4" s="1"/>
  <c r="F352" i="4"/>
  <c r="G352" i="4" s="1"/>
  <c r="F156" i="4"/>
  <c r="G156" i="4" s="1"/>
  <c r="F42" i="4"/>
  <c r="G42" i="4" s="1"/>
  <c r="F340" i="4"/>
  <c r="G340" i="4" s="1"/>
  <c r="F82" i="4"/>
  <c r="G82" i="4" s="1"/>
  <c r="F308" i="4"/>
  <c r="G308" i="4" s="1"/>
  <c r="F152" i="4"/>
  <c r="G152" i="4" s="1"/>
  <c r="F402" i="4"/>
  <c r="G402" i="4" s="1"/>
  <c r="F223" i="4"/>
  <c r="G223" i="4" s="1"/>
  <c r="S149" i="1" s="1"/>
  <c r="F162" i="4"/>
  <c r="G162" i="4" s="1"/>
  <c r="S150" i="1" s="1"/>
  <c r="F68" i="4"/>
  <c r="G68" i="4" s="1"/>
  <c r="F8" i="4"/>
  <c r="G8" i="4" s="1"/>
  <c r="S154" i="1" s="1"/>
  <c r="F69" i="4"/>
  <c r="G69" i="4" s="1"/>
  <c r="F103" i="4"/>
  <c r="G103" i="4" s="1"/>
  <c r="F265" i="4"/>
  <c r="G265" i="4" s="1"/>
  <c r="F105" i="4"/>
  <c r="G105" i="4" s="1"/>
  <c r="F118" i="4"/>
  <c r="G118" i="4" s="1"/>
  <c r="F367" i="4"/>
  <c r="G367" i="4" s="1"/>
  <c r="F381" i="4"/>
  <c r="G381" i="4" s="1"/>
  <c r="F348" i="4"/>
  <c r="G348" i="4" s="1"/>
  <c r="F214" i="4"/>
  <c r="G214" i="4" s="1"/>
  <c r="F40" i="4"/>
  <c r="G40" i="4" s="1"/>
  <c r="F411" i="4"/>
  <c r="G411" i="4" s="1"/>
  <c r="F343" i="4"/>
  <c r="G343" i="4" s="1"/>
  <c r="F101" i="4"/>
  <c r="G101" i="4" s="1"/>
  <c r="F434" i="4"/>
  <c r="G434" i="4" s="1"/>
  <c r="F384" i="4"/>
  <c r="G384" i="4" s="1"/>
  <c r="S175" i="1" s="1"/>
  <c r="F392" i="4"/>
  <c r="G392" i="4" s="1"/>
  <c r="S176" i="1" s="1"/>
  <c r="F134" i="4"/>
  <c r="G134" i="4" s="1"/>
  <c r="F186" i="4"/>
  <c r="G186" i="4" s="1"/>
  <c r="F161" i="4"/>
  <c r="G161" i="4" s="1"/>
  <c r="F243" i="4"/>
  <c r="G243" i="4" s="1"/>
  <c r="F179" i="4"/>
  <c r="G179" i="4" s="1"/>
  <c r="S183" i="1" s="1"/>
  <c r="F256" i="4"/>
  <c r="G256" i="4" s="1"/>
  <c r="F374" i="4"/>
  <c r="G374" i="4" s="1"/>
  <c r="F349" i="4"/>
  <c r="G349" i="4" s="1"/>
  <c r="F65" i="4"/>
  <c r="G65" i="4" s="1"/>
  <c r="F400" i="4"/>
  <c r="G400" i="4" s="1"/>
  <c r="F274" i="4"/>
  <c r="G274" i="4" s="1"/>
  <c r="F66" i="4"/>
  <c r="G66" i="4" s="1"/>
  <c r="F364" i="4"/>
  <c r="G364" i="4" s="1"/>
  <c r="F239" i="4"/>
  <c r="G239" i="4" s="1"/>
  <c r="S201" i="1" s="1"/>
  <c r="F366" i="4"/>
  <c r="G366" i="4" s="1"/>
  <c r="F21" i="4"/>
  <c r="G21" i="4" s="1"/>
  <c r="F251" i="4"/>
  <c r="G251" i="4" s="1"/>
  <c r="F37" i="4"/>
  <c r="G37" i="4" s="1"/>
  <c r="F266" i="4"/>
  <c r="G266" i="4" s="1"/>
  <c r="F404" i="4"/>
  <c r="G404" i="4" s="1"/>
  <c r="S211" i="1" s="1"/>
  <c r="F39" i="4"/>
  <c r="G39" i="4" s="1"/>
  <c r="F80" i="4"/>
  <c r="G80" i="4" s="1"/>
  <c r="F60" i="4"/>
  <c r="G60" i="4" s="1"/>
  <c r="F372" i="4"/>
  <c r="G372" i="4" s="1"/>
  <c r="F432" i="4"/>
  <c r="G432" i="4" s="1"/>
  <c r="F195" i="4"/>
  <c r="G195" i="4" s="1"/>
  <c r="F142" i="4"/>
  <c r="G142" i="4" s="1"/>
  <c r="F49" i="4"/>
  <c r="G49" i="4" s="1"/>
  <c r="F341" i="4"/>
  <c r="G341" i="4" s="1"/>
  <c r="F36" i="4"/>
  <c r="G36" i="4" s="1"/>
  <c r="F163" i="4"/>
  <c r="G163" i="4" s="1"/>
  <c r="F344" i="4"/>
  <c r="G344" i="4" s="1"/>
  <c r="F415" i="4"/>
  <c r="G415" i="4" s="1"/>
  <c r="F412" i="4"/>
  <c r="G412" i="4" s="1"/>
  <c r="S235" i="1" s="1"/>
  <c r="F283" i="4"/>
  <c r="G283" i="4" s="1"/>
  <c r="S237" i="1" s="1"/>
  <c r="F53" i="4"/>
  <c r="G53" i="4" s="1"/>
  <c r="F347" i="4"/>
  <c r="G347" i="4" s="1"/>
  <c r="F89" i="4"/>
  <c r="G89" i="4" s="1"/>
  <c r="F10" i="4"/>
  <c r="G10" i="4" s="1"/>
  <c r="F2" i="4"/>
  <c r="G2" i="4" s="1"/>
  <c r="F351" i="4"/>
  <c r="G351" i="4" s="1"/>
  <c r="S252" i="1" s="1"/>
  <c r="F373" i="4"/>
  <c r="G373" i="4" s="1"/>
  <c r="F178" i="4"/>
  <c r="G178" i="4" s="1"/>
  <c r="F233" i="4"/>
  <c r="G233" i="4" s="1"/>
  <c r="F290" i="4"/>
  <c r="G290" i="4" s="1"/>
  <c r="S258" i="1" s="1"/>
  <c r="F22" i="4"/>
  <c r="G22" i="4" s="1"/>
  <c r="S259" i="1" s="1"/>
  <c r="F57" i="4"/>
  <c r="G57" i="4" s="1"/>
  <c r="F205" i="4"/>
  <c r="G205" i="4" s="1"/>
  <c r="F387" i="4"/>
  <c r="G387" i="4" s="1"/>
  <c r="F282" i="4"/>
  <c r="G282" i="4" s="1"/>
  <c r="F119" i="4"/>
  <c r="G119" i="4" s="1"/>
  <c r="F301" i="4"/>
  <c r="G301" i="4" s="1"/>
  <c r="F405" i="4"/>
  <c r="G405" i="4" s="1"/>
  <c r="F386" i="4"/>
  <c r="G386" i="4" s="1"/>
  <c r="S271" i="1" s="1"/>
  <c r="F174" i="4"/>
  <c r="G174" i="4" s="1"/>
  <c r="S273" i="1" s="1"/>
  <c r="F97" i="4"/>
  <c r="G97" i="4" s="1"/>
  <c r="S274" i="1" s="1"/>
  <c r="F430" i="4"/>
  <c r="G430" i="4" s="1"/>
  <c r="F371" i="4"/>
  <c r="G371" i="4" s="1"/>
  <c r="F291" i="4"/>
  <c r="G291" i="4" s="1"/>
  <c r="F155" i="4"/>
  <c r="G155" i="4" s="1"/>
  <c r="F18" i="4"/>
  <c r="G18" i="4" s="1"/>
  <c r="F75" i="4"/>
  <c r="G75" i="4" s="1"/>
  <c r="F207" i="4"/>
  <c r="G207" i="4" s="1"/>
  <c r="F114" i="4"/>
  <c r="G114" i="4" s="1"/>
  <c r="S293" i="1" s="1"/>
  <c r="F257" i="4"/>
  <c r="G257" i="4" s="1"/>
  <c r="F299" i="4"/>
  <c r="G299" i="4" s="1"/>
  <c r="F252" i="4"/>
  <c r="G252" i="4" s="1"/>
  <c r="F295" i="4"/>
  <c r="G295" i="4" s="1"/>
  <c r="F71" i="4"/>
  <c r="G71" i="4" s="1"/>
  <c r="S301" i="1" s="1"/>
  <c r="F378" i="4"/>
  <c r="G378" i="4" s="1"/>
  <c r="F327" i="4"/>
  <c r="G327" i="4" s="1"/>
  <c r="F292" i="4"/>
  <c r="G292" i="4" s="1"/>
  <c r="S314" i="1" s="1"/>
  <c r="F11" i="4"/>
  <c r="G11" i="4" s="1"/>
  <c r="S316" i="1" s="1"/>
  <c r="F176" i="4"/>
  <c r="G176" i="4" s="1"/>
  <c r="F83" i="4"/>
  <c r="G83" i="4" s="1"/>
  <c r="F288" i="4"/>
  <c r="G288" i="4" s="1"/>
  <c r="F67" i="4"/>
  <c r="G67" i="4" s="1"/>
  <c r="F269" i="4"/>
  <c r="G269" i="4" s="1"/>
  <c r="F86" i="4"/>
  <c r="G86" i="4" s="1"/>
  <c r="F231" i="4"/>
  <c r="G231" i="4" s="1"/>
  <c r="F273" i="4"/>
  <c r="G273" i="4" s="1"/>
  <c r="F429" i="4"/>
  <c r="G429" i="4" s="1"/>
  <c r="S725" i="1" s="1"/>
  <c r="F148" i="4"/>
  <c r="G148" i="4" s="1"/>
  <c r="S333" i="1" s="1"/>
  <c r="F47" i="4"/>
  <c r="G47" i="4" s="1"/>
  <c r="F73" i="4"/>
  <c r="G73" i="4" s="1"/>
  <c r="F286" i="4"/>
  <c r="G286" i="4" s="1"/>
  <c r="F244" i="4"/>
  <c r="G244" i="4" s="1"/>
  <c r="F139" i="4"/>
  <c r="G139" i="4" s="1"/>
  <c r="S342" i="1" s="1"/>
  <c r="F117" i="4"/>
  <c r="G117" i="4" s="1"/>
  <c r="F396" i="4"/>
  <c r="G396" i="4" s="1"/>
  <c r="F268" i="4"/>
  <c r="G268" i="4" s="1"/>
  <c r="S345" i="1" s="1"/>
  <c r="F190" i="4"/>
  <c r="G190" i="4" s="1"/>
  <c r="F133" i="4"/>
  <c r="G133" i="4" s="1"/>
  <c r="F191" i="4"/>
  <c r="G191" i="4" s="1"/>
  <c r="F34" i="4"/>
  <c r="G34" i="4" s="1"/>
  <c r="S352" i="1" s="1"/>
  <c r="F393" i="4"/>
  <c r="G393" i="4" s="1"/>
  <c r="F128" i="4"/>
  <c r="G128" i="4" s="1"/>
  <c r="S354" i="1" s="1"/>
  <c r="F208" i="4"/>
  <c r="G208" i="4" s="1"/>
  <c r="F137" i="4"/>
  <c r="G137" i="4" s="1"/>
  <c r="F198" i="4"/>
  <c r="G198" i="4" s="1"/>
  <c r="F132" i="4"/>
  <c r="G132" i="4" s="1"/>
  <c r="F125" i="4"/>
  <c r="G125" i="4" s="1"/>
  <c r="F319" i="4"/>
  <c r="G319" i="4" s="1"/>
  <c r="F121" i="4"/>
  <c r="G121" i="4" s="1"/>
  <c r="F220" i="4"/>
  <c r="G220" i="4" s="1"/>
  <c r="S364" i="1" s="1"/>
  <c r="F406" i="4"/>
  <c r="G406" i="4" s="1"/>
  <c r="F172" i="4"/>
  <c r="G172" i="4" s="1"/>
  <c r="F187" i="4"/>
  <c r="G187" i="4" s="1"/>
  <c r="F213" i="4"/>
  <c r="G213" i="4" s="1"/>
  <c r="F171" i="4"/>
  <c r="G171" i="4" s="1"/>
  <c r="F417" i="4"/>
  <c r="G417" i="4" s="1"/>
  <c r="F363" i="4"/>
  <c r="G363" i="4" s="1"/>
  <c r="S383" i="1" s="1"/>
  <c r="F225" i="4"/>
  <c r="G225" i="4" s="1"/>
  <c r="S384" i="1" s="1"/>
  <c r="F312" i="4"/>
  <c r="G312" i="4" s="1"/>
  <c r="S386" i="1" s="1"/>
  <c r="F346" i="4"/>
  <c r="G346" i="4" s="1"/>
  <c r="S391" i="1" s="1"/>
  <c r="F135" i="4"/>
  <c r="G135" i="4" s="1"/>
  <c r="F285" i="4"/>
  <c r="G285" i="4" s="1"/>
  <c r="S394" i="1" s="1"/>
  <c r="F238" i="4"/>
  <c r="G238" i="4" s="1"/>
  <c r="S831" i="1" s="1"/>
  <c r="F76" i="4"/>
  <c r="G76" i="4" s="1"/>
  <c r="F329" i="4"/>
  <c r="G329" i="4" s="1"/>
  <c r="F339" i="4"/>
  <c r="G339" i="4" s="1"/>
  <c r="F44" i="4"/>
  <c r="G44" i="4" s="1"/>
  <c r="F127" i="4"/>
  <c r="G127" i="4" s="1"/>
  <c r="S400" i="1" s="1"/>
  <c r="F58" i="4"/>
  <c r="G58" i="4" s="1"/>
  <c r="F359" i="4"/>
  <c r="G359" i="4" s="1"/>
  <c r="F140" i="4"/>
  <c r="G140" i="4" s="1"/>
  <c r="F242" i="4"/>
  <c r="G242" i="4" s="1"/>
  <c r="F43" i="4"/>
  <c r="G43" i="4" s="1"/>
  <c r="F254" i="4"/>
  <c r="G254" i="4" s="1"/>
  <c r="S409" i="1" s="1"/>
  <c r="F419" i="4"/>
  <c r="G419" i="4" s="1"/>
  <c r="S412" i="1" s="1"/>
  <c r="F35" i="4"/>
  <c r="G35" i="4" s="1"/>
  <c r="S413" i="1" s="1"/>
  <c r="F124" i="4"/>
  <c r="G124" i="4" s="1"/>
  <c r="F390" i="4"/>
  <c r="G390" i="4" s="1"/>
  <c r="F149" i="4"/>
  <c r="G149" i="4" s="1"/>
  <c r="F416" i="4"/>
  <c r="G416" i="4" s="1"/>
  <c r="F278" i="4"/>
  <c r="G278" i="4" s="1"/>
  <c r="F173" i="4"/>
  <c r="G173" i="4" s="1"/>
  <c r="F196" i="4"/>
  <c r="G196" i="4" s="1"/>
  <c r="S424" i="1" s="1"/>
  <c r="F245" i="4"/>
  <c r="G245" i="4" s="1"/>
  <c r="S426" i="1" s="1"/>
  <c r="F354" i="4"/>
  <c r="G354" i="4" s="1"/>
  <c r="F376" i="4"/>
  <c r="G376" i="4" s="1"/>
  <c r="F324" i="4"/>
  <c r="G324" i="4" s="1"/>
  <c r="F96" i="4"/>
  <c r="G96" i="4" s="1"/>
  <c r="S435" i="1" s="1"/>
  <c r="F422" i="4"/>
  <c r="G422" i="4" s="1"/>
  <c r="F302" i="4"/>
  <c r="G302" i="4" s="1"/>
  <c r="F258" i="4"/>
  <c r="G258" i="4" s="1"/>
  <c r="S441" i="1" s="1"/>
  <c r="F407" i="4"/>
  <c r="G407" i="4" s="1"/>
  <c r="F92" i="4"/>
  <c r="G92" i="4" s="1"/>
  <c r="F20" i="4"/>
  <c r="G20" i="4" s="1"/>
  <c r="S444" i="1" s="1"/>
  <c r="F215" i="4"/>
  <c r="G215" i="4" s="1"/>
  <c r="F206" i="4"/>
  <c r="G206" i="4" s="1"/>
  <c r="F318" i="4"/>
  <c r="G318" i="4" s="1"/>
  <c r="F281" i="4"/>
  <c r="G281" i="4" s="1"/>
  <c r="S450" i="1" s="1"/>
  <c r="F122" i="4"/>
  <c r="G122" i="4" s="1"/>
  <c r="S451" i="1" s="1"/>
  <c r="F85" i="4"/>
  <c r="G85" i="4" s="1"/>
  <c r="F180" i="4"/>
  <c r="G180" i="4" s="1"/>
  <c r="S456" i="1" s="1"/>
  <c r="F158" i="4"/>
  <c r="G158" i="4" s="1"/>
  <c r="F232" i="4"/>
  <c r="G232" i="4" s="1"/>
  <c r="F216" i="4"/>
  <c r="G216" i="4" s="1"/>
  <c r="S459" i="1" s="1"/>
  <c r="F328" i="4"/>
  <c r="G328" i="4" s="1"/>
  <c r="S460" i="1" s="1"/>
  <c r="F130" i="4"/>
  <c r="G130" i="4" s="1"/>
  <c r="F202" i="4"/>
  <c r="G202" i="4" s="1"/>
  <c r="S462" i="1" s="1"/>
  <c r="F27" i="4"/>
  <c r="G27" i="4" s="1"/>
  <c r="F314" i="4"/>
  <c r="G314" i="4" s="1"/>
  <c r="F342" i="4"/>
  <c r="G342" i="4" s="1"/>
  <c r="F64" i="4"/>
  <c r="G64" i="4" s="1"/>
  <c r="F154" i="4"/>
  <c r="G154" i="4" s="1"/>
  <c r="F358" i="4"/>
  <c r="G358" i="4" s="1"/>
  <c r="S492" i="1" s="1"/>
  <c r="F300" i="4"/>
  <c r="G300" i="4" s="1"/>
  <c r="F331" i="4"/>
  <c r="G331" i="4" s="1"/>
  <c r="S497" i="1" s="1"/>
  <c r="F259" i="4"/>
  <c r="G259" i="4" s="1"/>
  <c r="S516" i="1" s="1"/>
  <c r="F29" i="4"/>
  <c r="G29" i="4" s="1"/>
  <c r="F201" i="4"/>
  <c r="G201" i="4" s="1"/>
  <c r="F87" i="4"/>
  <c r="G87" i="4" s="1"/>
  <c r="S519" i="1" s="1"/>
  <c r="F113" i="4"/>
  <c r="G113" i="4" s="1"/>
  <c r="F120" i="4"/>
  <c r="G120" i="4" s="1"/>
  <c r="S527" i="1" s="1"/>
  <c r="F15" i="4"/>
  <c r="G15" i="4" s="1"/>
  <c r="F41" i="4"/>
  <c r="G41" i="4" s="1"/>
  <c r="F264" i="4"/>
  <c r="G264" i="4" s="1"/>
  <c r="S549" i="1" s="1"/>
  <c r="F368" i="4"/>
  <c r="G368" i="4" s="1"/>
  <c r="S534" i="1" s="1"/>
  <c r="F287" i="4"/>
  <c r="G287" i="4" s="1"/>
  <c r="F147" i="4"/>
  <c r="G147" i="4" s="1"/>
  <c r="F267" i="4"/>
  <c r="G267" i="4" s="1"/>
  <c r="S542" i="1" s="1"/>
  <c r="F262" i="4"/>
  <c r="G262" i="4" s="1"/>
  <c r="S552" i="1" s="1"/>
  <c r="F200" i="4"/>
  <c r="G200" i="4" s="1"/>
  <c r="S555" i="1" s="1"/>
  <c r="F338" i="4"/>
  <c r="G338" i="4" s="1"/>
  <c r="F226" i="4"/>
  <c r="G226" i="4" s="1"/>
  <c r="F157" i="4"/>
  <c r="G157" i="4" s="1"/>
  <c r="F62" i="4"/>
  <c r="G62" i="4" s="1"/>
  <c r="F277" i="4"/>
  <c r="G277" i="4" s="1"/>
  <c r="S574" i="1" s="1"/>
  <c r="F218" i="4"/>
  <c r="G218" i="4" s="1"/>
  <c r="F167" i="4"/>
  <c r="G167" i="4" s="1"/>
  <c r="S579" i="1" s="1"/>
  <c r="F418" i="4"/>
  <c r="G418" i="4" s="1"/>
  <c r="S588" i="1" s="1"/>
  <c r="F31" i="4"/>
  <c r="G31" i="4" s="1"/>
  <c r="F391" i="4"/>
  <c r="G391" i="4" s="1"/>
  <c r="F294" i="4"/>
  <c r="G294" i="4" s="1"/>
  <c r="F250" i="4"/>
  <c r="G250" i="4" s="1"/>
  <c r="S600" i="1" s="1"/>
  <c r="F106" i="4"/>
  <c r="G106" i="4" s="1"/>
  <c r="F151" i="4"/>
  <c r="G151" i="4" s="1"/>
  <c r="S606" i="1" s="1"/>
  <c r="F79" i="4"/>
  <c r="G79" i="4" s="1"/>
  <c r="F305" i="4"/>
  <c r="G305" i="4" s="1"/>
  <c r="S609" i="1" s="1"/>
  <c r="F91" i="4"/>
  <c r="G91" i="4" s="1"/>
  <c r="S613" i="1" s="1"/>
  <c r="F326" i="4"/>
  <c r="G326" i="4" s="1"/>
  <c r="F136" i="4"/>
  <c r="G136" i="4" s="1"/>
  <c r="F360" i="4"/>
  <c r="G360" i="4" s="1"/>
  <c r="F304" i="4"/>
  <c r="G304" i="4" s="1"/>
  <c r="F279" i="4"/>
  <c r="G279" i="4" s="1"/>
  <c r="F138" i="4"/>
  <c r="G138" i="4" s="1"/>
  <c r="S623" i="1" s="1"/>
  <c r="F389" i="4"/>
  <c r="G389" i="4" s="1"/>
  <c r="F19" i="4"/>
  <c r="G19" i="4" s="1"/>
  <c r="F111" i="4"/>
  <c r="G111" i="4" s="1"/>
  <c r="F100" i="4"/>
  <c r="G100" i="4" s="1"/>
  <c r="F263" i="4"/>
  <c r="G263" i="4" s="1"/>
  <c r="F141" i="4"/>
  <c r="G141" i="4" s="1"/>
  <c r="S641" i="1" s="1"/>
  <c r="F311" i="4"/>
  <c r="G311" i="4" s="1"/>
  <c r="F70" i="4"/>
  <c r="G70" i="4" s="1"/>
  <c r="F426" i="4"/>
  <c r="G426" i="4" s="1"/>
  <c r="F237" i="4"/>
  <c r="G237" i="4" s="1"/>
  <c r="F408" i="4"/>
  <c r="G408" i="4" s="1"/>
  <c r="S666" i="1" s="1"/>
  <c r="F48" i="4"/>
  <c r="G48" i="4" s="1"/>
  <c r="F99" i="4"/>
  <c r="G99" i="4" s="1"/>
  <c r="S668" i="1" s="1"/>
  <c r="F102" i="4"/>
  <c r="G102" i="4" s="1"/>
  <c r="S671" i="1" s="1"/>
  <c r="F289" i="4"/>
  <c r="G289" i="4" s="1"/>
  <c r="S677" i="1" s="1"/>
  <c r="F175" i="4"/>
  <c r="G175" i="4" s="1"/>
  <c r="F197" i="4"/>
  <c r="G197" i="4" s="1"/>
  <c r="S690" i="1" s="1"/>
  <c r="F240" i="4"/>
  <c r="G240" i="4" s="1"/>
  <c r="F345" i="4"/>
  <c r="G345" i="4" s="1"/>
  <c r="F146" i="4"/>
  <c r="G146" i="4" s="1"/>
  <c r="S697" i="1" s="1"/>
  <c r="F108" i="4"/>
  <c r="G108" i="4" s="1"/>
  <c r="S699" i="1" s="1"/>
  <c r="F17" i="4"/>
  <c r="G17" i="4" s="1"/>
  <c r="F260" i="4"/>
  <c r="G260" i="4" s="1"/>
  <c r="F321" i="4"/>
  <c r="G321" i="4" s="1"/>
  <c r="F56" i="4"/>
  <c r="G56" i="4" s="1"/>
  <c r="S703" i="1" s="1"/>
  <c r="F211" i="4"/>
  <c r="G211" i="4" s="1"/>
  <c r="S705" i="1" s="1"/>
  <c r="F275" i="4"/>
  <c r="G275" i="4" s="1"/>
  <c r="F410" i="4"/>
  <c r="G410" i="4" s="1"/>
  <c r="F110" i="4"/>
  <c r="G110" i="4" s="1"/>
  <c r="F112" i="4"/>
  <c r="G112" i="4" s="1"/>
  <c r="S722" i="1" s="1"/>
  <c r="F309" i="4"/>
  <c r="G309" i="4" s="1"/>
  <c r="F380" i="4"/>
  <c r="G380" i="4" s="1"/>
  <c r="F192" i="4"/>
  <c r="G192" i="4" s="1"/>
  <c r="F271" i="4"/>
  <c r="G271" i="4" s="1"/>
  <c r="S749" i="1" s="1"/>
  <c r="F435" i="4"/>
  <c r="G435" i="4" s="1"/>
  <c r="S756" i="1" s="1"/>
  <c r="F382" i="4"/>
  <c r="G382" i="4" s="1"/>
  <c r="S757" i="1" s="1"/>
  <c r="F98" i="4"/>
  <c r="G98" i="4" s="1"/>
  <c r="F246" i="4"/>
  <c r="G246" i="4" s="1"/>
  <c r="F94" i="4"/>
  <c r="G94" i="4" s="1"/>
  <c r="S766" i="1" s="1"/>
  <c r="F189" i="4"/>
  <c r="G189" i="4" s="1"/>
  <c r="F144" i="4"/>
  <c r="G144" i="4" s="1"/>
  <c r="S770" i="1" s="1"/>
  <c r="F24" i="4"/>
  <c r="G24" i="4" s="1"/>
  <c r="S776" i="1" s="1"/>
  <c r="F261" i="4"/>
  <c r="G261" i="4" s="1"/>
  <c r="F427" i="4"/>
  <c r="G427" i="4" s="1"/>
  <c r="S784" i="1" s="1"/>
  <c r="F3" i="4"/>
  <c r="G3" i="4" s="1"/>
  <c r="F88" i="4"/>
  <c r="G88" i="4" s="1"/>
  <c r="S790" i="1" s="1"/>
  <c r="F310" i="4"/>
  <c r="G310" i="4" s="1"/>
  <c r="F296" i="4"/>
  <c r="G296" i="4" s="1"/>
  <c r="F30" i="4"/>
  <c r="G30" i="4" s="1"/>
  <c r="S806" i="1" s="1"/>
  <c r="F13" i="4"/>
  <c r="G13" i="4" s="1"/>
  <c r="S808" i="1" s="1"/>
  <c r="F370" i="4"/>
  <c r="G370" i="4" s="1"/>
  <c r="F169" i="4"/>
  <c r="G169" i="4" s="1"/>
  <c r="S825" i="1" s="1"/>
  <c r="F377" i="4"/>
  <c r="G377" i="4" s="1"/>
  <c r="S826" i="1" s="1"/>
  <c r="F217" i="4"/>
  <c r="G217" i="4" s="1"/>
  <c r="S942" i="1" s="1"/>
  <c r="F203" i="4"/>
  <c r="G203" i="4" s="1"/>
  <c r="F166" i="4"/>
  <c r="G166" i="4" s="1"/>
  <c r="S839" i="1" s="1"/>
  <c r="F276" i="4"/>
  <c r="G276" i="4" s="1"/>
  <c r="S841" i="1" s="1"/>
  <c r="F398" i="4"/>
  <c r="G398" i="4" s="1"/>
  <c r="S843" i="1" s="1"/>
  <c r="F143" i="4"/>
  <c r="G143" i="4" s="1"/>
  <c r="S204" i="1" s="1"/>
  <c r="F247" i="4"/>
  <c r="G247" i="4" s="1"/>
  <c r="S858" i="1" s="1"/>
  <c r="F313" i="4"/>
  <c r="G313" i="4" s="1"/>
  <c r="S863" i="1" s="1"/>
  <c r="F421" i="4"/>
  <c r="G421" i="4" s="1"/>
  <c r="F199" i="4"/>
  <c r="G199" i="4" s="1"/>
  <c r="S896" i="1" s="1"/>
  <c r="F353" i="4"/>
  <c r="G353" i="4" s="1"/>
  <c r="S902" i="1" s="1"/>
  <c r="F248" i="4"/>
  <c r="G248" i="4" s="1"/>
  <c r="S905" i="1" s="1"/>
  <c r="F33" i="4"/>
  <c r="G33" i="4" s="1"/>
  <c r="S915" i="1" s="1"/>
  <c r="F433" i="4"/>
  <c r="G433" i="4" s="1"/>
  <c r="F45" i="4"/>
  <c r="G45" i="4" s="1"/>
  <c r="S919" i="1" s="1"/>
  <c r="F224" i="4"/>
  <c r="G224" i="4" s="1"/>
  <c r="S846" i="1" s="1"/>
  <c r="F7" i="4"/>
  <c r="G7" i="4" s="1"/>
  <c r="S947" i="1" s="1"/>
  <c r="F90" i="4"/>
  <c r="G90" i="4" s="1"/>
  <c r="F51" i="4"/>
  <c r="G51" i="4" s="1"/>
  <c r="S956" i="1" s="1"/>
  <c r="F32" i="4"/>
  <c r="G32" i="4" s="1"/>
  <c r="S968" i="1" s="1"/>
  <c r="F131" i="4"/>
  <c r="G131" i="4" s="1"/>
  <c r="S977" i="1" s="1"/>
  <c r="F228" i="4"/>
  <c r="G228" i="4" s="1"/>
  <c r="S983" i="1" s="1"/>
  <c r="J26" i="1"/>
  <c r="I2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7" i="1"/>
  <c r="J28" i="1"/>
  <c r="J29" i="1"/>
  <c r="J696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8" i="1"/>
  <c r="J49" i="1"/>
  <c r="J51" i="1"/>
  <c r="J52" i="1"/>
  <c r="J53" i="1"/>
  <c r="J54" i="1"/>
  <c r="J55" i="1"/>
  <c r="J56" i="1"/>
  <c r="J57" i="1"/>
  <c r="J58" i="1"/>
  <c r="J59" i="1"/>
  <c r="J60" i="1"/>
  <c r="J62" i="1"/>
  <c r="J63" i="1"/>
  <c r="J64" i="1"/>
  <c r="J65" i="1"/>
  <c r="J66" i="1"/>
  <c r="J67" i="1"/>
  <c r="J68" i="1"/>
  <c r="J69" i="1"/>
  <c r="J70" i="1"/>
  <c r="J71" i="1"/>
  <c r="J72" i="1"/>
  <c r="J73" i="1"/>
  <c r="J75" i="1"/>
  <c r="J76" i="1"/>
  <c r="J77" i="1"/>
  <c r="J78" i="1"/>
  <c r="J79" i="1"/>
  <c r="J80" i="1"/>
  <c r="J81" i="1"/>
  <c r="J85" i="1"/>
  <c r="J86" i="1"/>
  <c r="J87" i="1"/>
  <c r="J88" i="1"/>
  <c r="J89" i="1"/>
  <c r="J90" i="1"/>
  <c r="J91" i="1"/>
  <c r="J92" i="1"/>
  <c r="J93" i="1"/>
  <c r="J94" i="1"/>
  <c r="J95" i="1"/>
  <c r="J97" i="1"/>
  <c r="J98" i="1"/>
  <c r="J100" i="1"/>
  <c r="J101" i="1"/>
  <c r="J102" i="1"/>
  <c r="J103" i="1"/>
  <c r="J104" i="1"/>
  <c r="J105" i="1"/>
  <c r="J106" i="1"/>
  <c r="J107" i="1"/>
  <c r="J108" i="1"/>
  <c r="J109" i="1"/>
  <c r="J110" i="1"/>
  <c r="J112" i="1"/>
  <c r="J113" i="1"/>
  <c r="J114" i="1"/>
  <c r="J115" i="1"/>
  <c r="J116" i="1"/>
  <c r="J117" i="1"/>
  <c r="J118" i="1"/>
  <c r="J119" i="1"/>
  <c r="J152" i="1"/>
  <c r="J121" i="1"/>
  <c r="J122" i="1"/>
  <c r="J125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570" i="1"/>
  <c r="J144" i="1"/>
  <c r="J149" i="1"/>
  <c r="J150" i="1"/>
  <c r="J153" i="1"/>
  <c r="J154" i="1"/>
  <c r="J155" i="1"/>
  <c r="J160" i="1"/>
  <c r="J161" i="1"/>
  <c r="J163" i="1"/>
  <c r="J164" i="1"/>
  <c r="J166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2" i="1"/>
  <c r="J183" i="1"/>
  <c r="J185" i="1"/>
  <c r="J186" i="1"/>
  <c r="J189" i="1"/>
  <c r="J190" i="1"/>
  <c r="J192" i="1"/>
  <c r="J193" i="1"/>
  <c r="J196" i="1"/>
  <c r="J197" i="1"/>
  <c r="J198" i="1"/>
  <c r="J201" i="1"/>
  <c r="J205" i="1"/>
  <c r="J206" i="1"/>
  <c r="J209" i="1"/>
  <c r="J210" i="1"/>
  <c r="J211" i="1"/>
  <c r="J212" i="1"/>
  <c r="J213" i="1"/>
  <c r="J214" i="1"/>
  <c r="J218" i="1"/>
  <c r="J219" i="1"/>
  <c r="J220" i="1"/>
  <c r="J225" i="1"/>
  <c r="J226" i="1"/>
  <c r="J227" i="1"/>
  <c r="J228" i="1"/>
  <c r="J230" i="1"/>
  <c r="J232" i="1"/>
  <c r="J234" i="1"/>
  <c r="J235" i="1"/>
  <c r="J237" i="1"/>
  <c r="J239" i="1"/>
  <c r="J242" i="1"/>
  <c r="J243" i="1"/>
  <c r="J244" i="1"/>
  <c r="J247" i="1"/>
  <c r="J251" i="1"/>
  <c r="J252" i="1"/>
  <c r="J253" i="1"/>
  <c r="J256" i="1"/>
  <c r="J257" i="1"/>
  <c r="J258" i="1"/>
  <c r="J259" i="1"/>
  <c r="J260" i="1"/>
  <c r="J261" i="1"/>
  <c r="J266" i="1"/>
  <c r="J267" i="1"/>
  <c r="J268" i="1"/>
  <c r="J270" i="1"/>
  <c r="J271" i="1"/>
  <c r="J273" i="1"/>
  <c r="J274" i="1"/>
  <c r="J276" i="1"/>
  <c r="J279" i="1"/>
  <c r="J281" i="1"/>
  <c r="J287" i="1"/>
  <c r="J288" i="1"/>
  <c r="J291" i="1"/>
  <c r="J292" i="1"/>
  <c r="J293" i="1"/>
  <c r="J295" i="1"/>
  <c r="J296" i="1"/>
  <c r="J297" i="1"/>
  <c r="J299" i="1"/>
  <c r="J301" i="1"/>
  <c r="J306" i="1"/>
  <c r="J311" i="1"/>
  <c r="J314" i="1"/>
  <c r="J316" i="1"/>
  <c r="J318" i="1"/>
  <c r="J322" i="1"/>
  <c r="J323" i="1"/>
  <c r="J324" i="1"/>
  <c r="J325" i="1"/>
  <c r="J327" i="1"/>
  <c r="J328" i="1"/>
  <c r="J329" i="1"/>
  <c r="J725" i="1"/>
  <c r="J333" i="1"/>
  <c r="J335" i="1"/>
  <c r="J338" i="1"/>
  <c r="J339" i="1"/>
  <c r="J340" i="1"/>
  <c r="J342" i="1"/>
  <c r="J343" i="1"/>
  <c r="J344" i="1"/>
  <c r="J345" i="1"/>
  <c r="J348" i="1"/>
  <c r="J349" i="1"/>
  <c r="J350" i="1"/>
  <c r="J352" i="1"/>
  <c r="J353" i="1"/>
  <c r="J354" i="1"/>
  <c r="J355" i="1"/>
  <c r="J356" i="1"/>
  <c r="J357" i="1"/>
  <c r="J359" i="1"/>
  <c r="J360" i="1"/>
  <c r="J362" i="1"/>
  <c r="J363" i="1"/>
  <c r="J364" i="1"/>
  <c r="J366" i="1"/>
  <c r="J372" i="1"/>
  <c r="J381" i="1"/>
  <c r="J382" i="1"/>
  <c r="J383" i="1"/>
  <c r="J384" i="1"/>
  <c r="J386" i="1"/>
  <c r="J391" i="1"/>
  <c r="J392" i="1"/>
  <c r="J394" i="1"/>
  <c r="J831" i="1"/>
  <c r="J396" i="1"/>
  <c r="J397" i="1"/>
  <c r="J398" i="1"/>
  <c r="J399" i="1"/>
  <c r="J400" i="1"/>
  <c r="J401" i="1"/>
  <c r="J403" i="1"/>
  <c r="J404" i="1"/>
  <c r="J405" i="1"/>
  <c r="J406" i="1"/>
  <c r="J409" i="1"/>
  <c r="J412" i="1"/>
  <c r="J413" i="1"/>
  <c r="J414" i="1"/>
  <c r="J417" i="1"/>
  <c r="J418" i="1"/>
  <c r="J419" i="1"/>
  <c r="J422" i="1"/>
  <c r="J423" i="1"/>
  <c r="J424" i="1"/>
  <c r="J426" i="1"/>
  <c r="J431" i="1"/>
  <c r="J433" i="1"/>
  <c r="J434" i="1"/>
  <c r="J435" i="1"/>
  <c r="J438" i="1"/>
  <c r="J440" i="1"/>
  <c r="J441" i="1"/>
  <c r="J442" i="1"/>
  <c r="J443" i="1"/>
  <c r="J444" i="1"/>
  <c r="J447" i="1"/>
  <c r="J448" i="1"/>
  <c r="J449" i="1"/>
  <c r="J450" i="1"/>
  <c r="J451" i="1"/>
  <c r="J454" i="1"/>
  <c r="J456" i="1"/>
  <c r="J457" i="1"/>
  <c r="J458" i="1"/>
  <c r="J459" i="1"/>
  <c r="J460" i="1"/>
  <c r="J461" i="1"/>
  <c r="J462" i="1"/>
  <c r="J464" i="1"/>
  <c r="J473" i="1"/>
  <c r="J476" i="1"/>
  <c r="J480" i="1"/>
  <c r="J483" i="1"/>
  <c r="J488" i="1"/>
  <c r="J492" i="1"/>
  <c r="J493" i="1"/>
  <c r="J497" i="1"/>
  <c r="J516" i="1"/>
  <c r="J517" i="1"/>
  <c r="J518" i="1"/>
  <c r="J519" i="1"/>
  <c r="J525" i="1"/>
  <c r="J527" i="1"/>
  <c r="J529" i="1"/>
  <c r="J532" i="1"/>
  <c r="J549" i="1"/>
  <c r="J534" i="1"/>
  <c r="J536" i="1"/>
  <c r="J540" i="1"/>
  <c r="J542" i="1"/>
  <c r="J552" i="1"/>
  <c r="J555" i="1"/>
  <c r="J558" i="1"/>
  <c r="J560" i="1"/>
  <c r="J143" i="1"/>
  <c r="J567" i="1"/>
  <c r="J120" i="1"/>
  <c r="J574" i="1"/>
  <c r="J578" i="1"/>
  <c r="J579" i="1"/>
  <c r="J588" i="1"/>
  <c r="J589" i="1"/>
  <c r="J593" i="1"/>
  <c r="J595" i="1"/>
  <c r="J600" i="1"/>
  <c r="J601" i="1"/>
  <c r="J606" i="1"/>
  <c r="J607" i="1"/>
  <c r="J609" i="1"/>
  <c r="J613" i="1"/>
  <c r="J614" i="1"/>
  <c r="J615" i="1"/>
  <c r="J616" i="1"/>
  <c r="J619" i="1"/>
  <c r="J622" i="1"/>
  <c r="J623" i="1"/>
  <c r="J627" i="1"/>
  <c r="J632" i="1"/>
  <c r="J637" i="1"/>
  <c r="J638" i="1"/>
  <c r="J639" i="1"/>
  <c r="J641" i="1"/>
  <c r="J644" i="1"/>
  <c r="J659" i="1"/>
  <c r="J662" i="1"/>
  <c r="J666" i="1"/>
  <c r="J667" i="1"/>
  <c r="J668" i="1"/>
  <c r="J671" i="1"/>
  <c r="J677" i="1"/>
  <c r="J684" i="1"/>
  <c r="J690" i="1"/>
  <c r="J692" i="1"/>
  <c r="J151" i="1"/>
  <c r="J697" i="1"/>
  <c r="J699" i="1"/>
  <c r="J700" i="1"/>
  <c r="J701" i="1"/>
  <c r="J702" i="1"/>
  <c r="J703" i="1"/>
  <c r="J705" i="1"/>
  <c r="J706" i="1"/>
  <c r="J717" i="1"/>
  <c r="J718" i="1"/>
  <c r="J722" i="1"/>
  <c r="J727" i="1"/>
  <c r="J729" i="1"/>
  <c r="J735" i="1"/>
  <c r="J749" i="1"/>
  <c r="J753" i="1"/>
  <c r="J756" i="1"/>
  <c r="J757" i="1"/>
  <c r="J759" i="1"/>
  <c r="J765" i="1"/>
  <c r="J766" i="1"/>
  <c r="J767" i="1"/>
  <c r="J770" i="1"/>
  <c r="J776" i="1"/>
  <c r="J784" i="1"/>
  <c r="J785" i="1"/>
  <c r="J790" i="1"/>
  <c r="J792" i="1"/>
  <c r="J797" i="1"/>
  <c r="J806" i="1"/>
  <c r="J808" i="1"/>
  <c r="J823" i="1"/>
  <c r="J825" i="1"/>
  <c r="J826" i="1"/>
  <c r="J942" i="1"/>
  <c r="J838" i="1"/>
  <c r="J839" i="1"/>
  <c r="J841" i="1"/>
  <c r="J843" i="1"/>
  <c r="J30" i="1"/>
  <c r="J204" i="1"/>
  <c r="J858" i="1"/>
  <c r="J863" i="1"/>
  <c r="J876" i="1"/>
  <c r="J896" i="1"/>
  <c r="J902" i="1"/>
  <c r="J905" i="1"/>
  <c r="J915" i="1"/>
  <c r="J916" i="1"/>
  <c r="J919" i="1"/>
  <c r="J158" i="1"/>
  <c r="J500" i="1"/>
  <c r="J846" i="1"/>
  <c r="J947" i="1"/>
  <c r="J948" i="1"/>
  <c r="J956" i="1"/>
  <c r="J968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2" i="1"/>
  <c r="J993" i="1"/>
  <c r="J994" i="1"/>
  <c r="J995" i="1"/>
  <c r="J996" i="1"/>
  <c r="J997" i="1"/>
  <c r="J998" i="1"/>
  <c r="J999" i="1"/>
  <c r="J1000" i="1"/>
  <c r="J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696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1" i="1"/>
  <c r="I52" i="1"/>
  <c r="I53" i="1"/>
  <c r="I54" i="1"/>
  <c r="I55" i="1"/>
  <c r="I56" i="1"/>
  <c r="I57" i="1"/>
  <c r="I58" i="1"/>
  <c r="I59" i="1"/>
  <c r="I60" i="1"/>
  <c r="I62" i="1"/>
  <c r="I63" i="1"/>
  <c r="I64" i="1"/>
  <c r="I65" i="1"/>
  <c r="I66" i="1"/>
  <c r="I67" i="1"/>
  <c r="I68" i="1"/>
  <c r="I69" i="1"/>
  <c r="I70" i="1"/>
  <c r="I71" i="1"/>
  <c r="I72" i="1"/>
  <c r="I73" i="1"/>
  <c r="I75" i="1"/>
  <c r="I76" i="1"/>
  <c r="I77" i="1"/>
  <c r="I78" i="1"/>
  <c r="I79" i="1"/>
  <c r="I80" i="1"/>
  <c r="I81" i="1"/>
  <c r="I85" i="1"/>
  <c r="I86" i="1"/>
  <c r="I87" i="1"/>
  <c r="I88" i="1"/>
  <c r="I89" i="1"/>
  <c r="I90" i="1"/>
  <c r="I91" i="1"/>
  <c r="I92" i="1"/>
  <c r="I93" i="1"/>
  <c r="I94" i="1"/>
  <c r="I95" i="1"/>
  <c r="I97" i="1"/>
  <c r="I98" i="1"/>
  <c r="I100" i="1"/>
  <c r="I101" i="1"/>
  <c r="I102" i="1"/>
  <c r="I103" i="1"/>
  <c r="I104" i="1"/>
  <c r="I105" i="1"/>
  <c r="I106" i="1"/>
  <c r="I107" i="1"/>
  <c r="I108" i="1"/>
  <c r="I109" i="1"/>
  <c r="I110" i="1"/>
  <c r="I112" i="1"/>
  <c r="I113" i="1"/>
  <c r="I114" i="1"/>
  <c r="I115" i="1"/>
  <c r="I116" i="1"/>
  <c r="I117" i="1"/>
  <c r="I118" i="1"/>
  <c r="I119" i="1"/>
  <c r="I152" i="1"/>
  <c r="I121" i="1"/>
  <c r="I122" i="1"/>
  <c r="I125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570" i="1"/>
  <c r="I144" i="1"/>
  <c r="I149" i="1"/>
  <c r="I150" i="1"/>
  <c r="I153" i="1"/>
  <c r="I154" i="1"/>
  <c r="I155" i="1"/>
  <c r="I160" i="1"/>
  <c r="I161" i="1"/>
  <c r="I163" i="1"/>
  <c r="I164" i="1"/>
  <c r="I166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2" i="1"/>
  <c r="I183" i="1"/>
  <c r="I185" i="1"/>
  <c r="I186" i="1"/>
  <c r="I189" i="1"/>
  <c r="I190" i="1"/>
  <c r="I192" i="1"/>
  <c r="I193" i="1"/>
  <c r="I196" i="1"/>
  <c r="I197" i="1"/>
  <c r="I198" i="1"/>
  <c r="I201" i="1"/>
  <c r="I205" i="1"/>
  <c r="I206" i="1"/>
  <c r="I209" i="1"/>
  <c r="I210" i="1"/>
  <c r="I211" i="1"/>
  <c r="I212" i="1"/>
  <c r="I213" i="1"/>
  <c r="I214" i="1"/>
  <c r="I218" i="1"/>
  <c r="I219" i="1"/>
  <c r="I220" i="1"/>
  <c r="I225" i="1"/>
  <c r="I226" i="1"/>
  <c r="I227" i="1"/>
  <c r="I228" i="1"/>
  <c r="I230" i="1"/>
  <c r="I232" i="1"/>
  <c r="I234" i="1"/>
  <c r="I235" i="1"/>
  <c r="I237" i="1"/>
  <c r="I239" i="1"/>
  <c r="I242" i="1"/>
  <c r="I243" i="1"/>
  <c r="I244" i="1"/>
  <c r="I247" i="1"/>
  <c r="I251" i="1"/>
  <c r="I252" i="1"/>
  <c r="I253" i="1"/>
  <c r="I256" i="1"/>
  <c r="I257" i="1"/>
  <c r="I258" i="1"/>
  <c r="I259" i="1"/>
  <c r="I260" i="1"/>
  <c r="I261" i="1"/>
  <c r="I266" i="1"/>
  <c r="I267" i="1"/>
  <c r="I268" i="1"/>
  <c r="I270" i="1"/>
  <c r="I271" i="1"/>
  <c r="I273" i="1"/>
  <c r="I274" i="1"/>
  <c r="I276" i="1"/>
  <c r="I279" i="1"/>
  <c r="I281" i="1"/>
  <c r="I287" i="1"/>
  <c r="I288" i="1"/>
  <c r="I291" i="1"/>
  <c r="I292" i="1"/>
  <c r="I293" i="1"/>
  <c r="I295" i="1"/>
  <c r="I296" i="1"/>
  <c r="I297" i="1"/>
  <c r="I299" i="1"/>
  <c r="I301" i="1"/>
  <c r="I306" i="1"/>
  <c r="I311" i="1"/>
  <c r="I314" i="1"/>
  <c r="I316" i="1"/>
  <c r="I318" i="1"/>
  <c r="I322" i="1"/>
  <c r="I323" i="1"/>
  <c r="I324" i="1"/>
  <c r="I325" i="1"/>
  <c r="I327" i="1"/>
  <c r="I328" i="1"/>
  <c r="I329" i="1"/>
  <c r="I725" i="1"/>
  <c r="I333" i="1"/>
  <c r="I335" i="1"/>
  <c r="I338" i="1"/>
  <c r="I339" i="1"/>
  <c r="I340" i="1"/>
  <c r="I342" i="1"/>
  <c r="I343" i="1"/>
  <c r="I344" i="1"/>
  <c r="I345" i="1"/>
  <c r="I348" i="1"/>
  <c r="I349" i="1"/>
  <c r="I350" i="1"/>
  <c r="I352" i="1"/>
  <c r="I353" i="1"/>
  <c r="I354" i="1"/>
  <c r="I355" i="1"/>
  <c r="I356" i="1"/>
  <c r="I357" i="1"/>
  <c r="I359" i="1"/>
  <c r="I360" i="1"/>
  <c r="I362" i="1"/>
  <c r="I363" i="1"/>
  <c r="I364" i="1"/>
  <c r="I366" i="1"/>
  <c r="I372" i="1"/>
  <c r="I381" i="1"/>
  <c r="I382" i="1"/>
  <c r="I383" i="1"/>
  <c r="I384" i="1"/>
  <c r="I386" i="1"/>
  <c r="I391" i="1"/>
  <c r="I392" i="1"/>
  <c r="I394" i="1"/>
  <c r="I831" i="1"/>
  <c r="I396" i="1"/>
  <c r="I397" i="1"/>
  <c r="I398" i="1"/>
  <c r="I399" i="1"/>
  <c r="I400" i="1"/>
  <c r="I401" i="1"/>
  <c r="I403" i="1"/>
  <c r="I404" i="1"/>
  <c r="I405" i="1"/>
  <c r="I406" i="1"/>
  <c r="I409" i="1"/>
  <c r="I412" i="1"/>
  <c r="I413" i="1"/>
  <c r="I414" i="1"/>
  <c r="I417" i="1"/>
  <c r="I418" i="1"/>
  <c r="I419" i="1"/>
  <c r="I422" i="1"/>
  <c r="I423" i="1"/>
  <c r="I424" i="1"/>
  <c r="I426" i="1"/>
  <c r="I431" i="1"/>
  <c r="I433" i="1"/>
  <c r="I434" i="1"/>
  <c r="I435" i="1"/>
  <c r="I438" i="1"/>
  <c r="I440" i="1"/>
  <c r="I441" i="1"/>
  <c r="I442" i="1"/>
  <c r="I443" i="1"/>
  <c r="I444" i="1"/>
  <c r="I447" i="1"/>
  <c r="I448" i="1"/>
  <c r="I449" i="1"/>
  <c r="I450" i="1"/>
  <c r="I451" i="1"/>
  <c r="I454" i="1"/>
  <c r="I456" i="1"/>
  <c r="I457" i="1"/>
  <c r="I458" i="1"/>
  <c r="I459" i="1"/>
  <c r="I460" i="1"/>
  <c r="I461" i="1"/>
  <c r="I462" i="1"/>
  <c r="I464" i="1"/>
  <c r="I473" i="1"/>
  <c r="I476" i="1"/>
  <c r="I480" i="1"/>
  <c r="I483" i="1"/>
  <c r="I488" i="1"/>
  <c r="I492" i="1"/>
  <c r="I493" i="1"/>
  <c r="I497" i="1"/>
  <c r="I516" i="1"/>
  <c r="I517" i="1"/>
  <c r="I518" i="1"/>
  <c r="I519" i="1"/>
  <c r="I525" i="1"/>
  <c r="I527" i="1"/>
  <c r="I529" i="1"/>
  <c r="I532" i="1"/>
  <c r="I549" i="1"/>
  <c r="I534" i="1"/>
  <c r="I536" i="1"/>
  <c r="I540" i="1"/>
  <c r="I542" i="1"/>
  <c r="I552" i="1"/>
  <c r="I555" i="1"/>
  <c r="I558" i="1"/>
  <c r="I560" i="1"/>
  <c r="I143" i="1"/>
  <c r="I567" i="1"/>
  <c r="I120" i="1"/>
  <c r="I574" i="1"/>
  <c r="I578" i="1"/>
  <c r="I579" i="1"/>
  <c r="I588" i="1"/>
  <c r="I589" i="1"/>
  <c r="I593" i="1"/>
  <c r="I595" i="1"/>
  <c r="I600" i="1"/>
  <c r="I601" i="1"/>
  <c r="I606" i="1"/>
  <c r="I607" i="1"/>
  <c r="I609" i="1"/>
  <c r="I613" i="1"/>
  <c r="I614" i="1"/>
  <c r="I615" i="1"/>
  <c r="I616" i="1"/>
  <c r="I619" i="1"/>
  <c r="I622" i="1"/>
  <c r="I623" i="1"/>
  <c r="I627" i="1"/>
  <c r="I632" i="1"/>
  <c r="I637" i="1"/>
  <c r="I638" i="1"/>
  <c r="I639" i="1"/>
  <c r="I641" i="1"/>
  <c r="I644" i="1"/>
  <c r="I659" i="1"/>
  <c r="I662" i="1"/>
  <c r="I666" i="1"/>
  <c r="I667" i="1"/>
  <c r="I668" i="1"/>
  <c r="I671" i="1"/>
  <c r="I677" i="1"/>
  <c r="I684" i="1"/>
  <c r="I690" i="1"/>
  <c r="I692" i="1"/>
  <c r="I151" i="1"/>
  <c r="I697" i="1"/>
  <c r="I699" i="1"/>
  <c r="I700" i="1"/>
  <c r="I701" i="1"/>
  <c r="I702" i="1"/>
  <c r="I703" i="1"/>
  <c r="I705" i="1"/>
  <c r="I706" i="1"/>
  <c r="I717" i="1"/>
  <c r="I718" i="1"/>
  <c r="I722" i="1"/>
  <c r="I727" i="1"/>
  <c r="I729" i="1"/>
  <c r="I735" i="1"/>
  <c r="I749" i="1"/>
  <c r="I753" i="1"/>
  <c r="I756" i="1"/>
  <c r="I757" i="1"/>
  <c r="I759" i="1"/>
  <c r="I765" i="1"/>
  <c r="I766" i="1"/>
  <c r="I767" i="1"/>
  <c r="I770" i="1"/>
  <c r="I776" i="1"/>
  <c r="I784" i="1"/>
  <c r="I785" i="1"/>
  <c r="I790" i="1"/>
  <c r="I792" i="1"/>
  <c r="I797" i="1"/>
  <c r="I806" i="1"/>
  <c r="I808" i="1"/>
  <c r="I823" i="1"/>
  <c r="I825" i="1"/>
  <c r="I826" i="1"/>
  <c r="I942" i="1"/>
  <c r="I838" i="1"/>
  <c r="I839" i="1"/>
  <c r="I841" i="1"/>
  <c r="I843" i="1"/>
  <c r="I30" i="1"/>
  <c r="I204" i="1"/>
  <c r="I858" i="1"/>
  <c r="K858" i="1" s="1"/>
  <c r="I863" i="1"/>
  <c r="I876" i="1"/>
  <c r="I896" i="1"/>
  <c r="I902" i="1"/>
  <c r="I905" i="1"/>
  <c r="I915" i="1"/>
  <c r="I916" i="1"/>
  <c r="I919" i="1"/>
  <c r="I158" i="1"/>
  <c r="I500" i="1"/>
  <c r="I846" i="1"/>
  <c r="I947" i="1"/>
  <c r="I948" i="1"/>
  <c r="I956" i="1"/>
  <c r="I968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2" i="1"/>
  <c r="I993" i="1"/>
  <c r="I994" i="1"/>
  <c r="I995" i="1"/>
  <c r="I996" i="1"/>
  <c r="I997" i="1"/>
  <c r="I998" i="1"/>
  <c r="I999" i="1"/>
  <c r="I1000" i="1"/>
  <c r="I1001" i="1"/>
  <c r="K776" i="1" l="1"/>
  <c r="S974" i="1"/>
  <c r="S948" i="1"/>
  <c r="S970" i="1"/>
  <c r="S916" i="1"/>
  <c r="S838" i="1"/>
  <c r="S851" i="1"/>
  <c r="S823" i="1"/>
  <c r="S940" i="1"/>
  <c r="S859" i="1"/>
  <c r="S792" i="1"/>
  <c r="S500" i="1"/>
  <c r="S779" i="1"/>
  <c r="S815" i="1"/>
  <c r="S881" i="1"/>
  <c r="S727" i="1"/>
  <c r="S706" i="1"/>
  <c r="S796" i="1"/>
  <c r="S978" i="1"/>
  <c r="S701" i="1"/>
  <c r="S889" i="1"/>
  <c r="S151" i="1"/>
  <c r="S743" i="1"/>
  <c r="S787" i="1"/>
  <c r="S644" i="1"/>
  <c r="S637" i="1"/>
  <c r="S925" i="1"/>
  <c r="S622" i="1"/>
  <c r="S946" i="1"/>
  <c r="S614" i="1"/>
  <c r="S734" i="1"/>
  <c r="S593" i="1"/>
  <c r="S738" i="1"/>
  <c r="S578" i="1"/>
  <c r="S720" i="1"/>
  <c r="S560" i="1"/>
  <c r="S952" i="1"/>
  <c r="S525" i="1"/>
  <c r="S755" i="1"/>
  <c r="S488" i="1"/>
  <c r="S625" i="1"/>
  <c r="S464" i="1"/>
  <c r="S733" i="1"/>
  <c r="S468" i="1"/>
  <c r="S454" i="1"/>
  <c r="S448" i="1"/>
  <c r="S538" i="1"/>
  <c r="S901" i="1"/>
  <c r="S442" i="1"/>
  <c r="S936" i="1"/>
  <c r="S419" i="1"/>
  <c r="S547" i="1"/>
  <c r="S512" i="1"/>
  <c r="S520" i="1"/>
  <c r="S405" i="1"/>
  <c r="S657" i="1"/>
  <c r="S396" i="1"/>
  <c r="S855" i="1"/>
  <c r="S708" i="1"/>
  <c r="S559" i="1"/>
  <c r="S504" i="1"/>
  <c r="S382" i="1"/>
  <c r="S590" i="1"/>
  <c r="S372" i="1"/>
  <c r="S544" i="1"/>
  <c r="S982" i="1"/>
  <c r="S362" i="1"/>
  <c r="S911" i="1"/>
  <c r="S788" i="1"/>
  <c r="S356" i="1"/>
  <c r="S361" i="1"/>
  <c r="S369" i="1"/>
  <c r="S724" i="1"/>
  <c r="S631" i="1"/>
  <c r="S340" i="1"/>
  <c r="S573" i="1"/>
  <c r="S466" i="1"/>
  <c r="S996" i="1"/>
  <c r="S327" i="1"/>
  <c r="S564" i="1"/>
  <c r="S322" i="1"/>
  <c r="S311" i="1"/>
  <c r="S801" i="1"/>
  <c r="S635" i="1"/>
  <c r="S297" i="1"/>
  <c r="S292" i="1"/>
  <c r="S608" i="1"/>
  <c r="S281" i="1"/>
  <c r="S553" i="1"/>
  <c r="S267" i="1"/>
  <c r="S365" i="1"/>
  <c r="S260" i="1"/>
  <c r="S430" i="1"/>
  <c r="S869" i="1"/>
  <c r="S283" i="1"/>
  <c r="S979" i="1"/>
  <c r="S256" i="1"/>
  <c r="S244" i="1"/>
  <c r="S307" i="1"/>
  <c r="S230" i="1"/>
  <c r="S709" i="1"/>
  <c r="S712" i="1"/>
  <c r="S225" i="1"/>
  <c r="S436" i="1"/>
  <c r="S494" i="1"/>
  <c r="S214" i="1"/>
  <c r="S960" i="1"/>
  <c r="S210" i="1"/>
  <c r="S645" i="1"/>
  <c r="S247" i="1"/>
  <c r="S263" i="1"/>
  <c r="S533" i="1"/>
  <c r="S196" i="1"/>
  <c r="S591" i="1"/>
  <c r="S772" i="1"/>
  <c r="S248" i="1"/>
  <c r="S189" i="1"/>
  <c r="S308" i="1"/>
  <c r="S179" i="1"/>
  <c r="S883" i="1"/>
  <c r="S171" i="1"/>
  <c r="S633" i="1"/>
  <c r="S410" i="1"/>
  <c r="S751" i="1"/>
  <c r="S166" i="1"/>
  <c r="S669" i="1"/>
  <c r="S160" i="1"/>
  <c r="S180" i="1"/>
  <c r="S484" i="1"/>
  <c r="S971" i="1"/>
  <c r="S153" i="1"/>
  <c r="S523" i="1"/>
  <c r="S877" i="1"/>
  <c r="S570" i="1"/>
  <c r="S642" i="1"/>
  <c r="S958" i="1"/>
  <c r="S879" i="1"/>
  <c r="S139" i="1"/>
  <c r="S989" i="1"/>
  <c r="S135" i="1"/>
  <c r="S508" i="1"/>
  <c r="S584" i="1"/>
  <c r="S686" i="1"/>
  <c r="S131" i="1"/>
  <c r="S605" i="1"/>
  <c r="S152" i="1"/>
  <c r="S300" i="1"/>
  <c r="S452" i="1"/>
  <c r="S116" i="1"/>
  <c r="S819" i="1"/>
  <c r="S112" i="1"/>
  <c r="S282" i="1"/>
  <c r="S389" i="1"/>
  <c r="S802" i="1"/>
  <c r="S107" i="1"/>
  <c r="S931" i="1"/>
  <c r="S103" i="1"/>
  <c r="S332" i="1"/>
  <c r="S710" i="1"/>
  <c r="S98" i="1"/>
  <c r="S866" i="1"/>
  <c r="S93" i="1"/>
  <c r="S678" i="1"/>
  <c r="S89" i="1"/>
  <c r="S265" i="1"/>
  <c r="S1001" i="1"/>
  <c r="S914" i="1"/>
  <c r="S816" i="1"/>
  <c r="S85" i="1"/>
  <c r="S126" i="1"/>
  <c r="S320" i="1"/>
  <c r="S685" i="1"/>
  <c r="S832" i="1"/>
  <c r="S79" i="1"/>
  <c r="S411" i="1"/>
  <c r="S521" i="1"/>
  <c r="S775" i="1"/>
  <c r="S75" i="1"/>
  <c r="S596" i="1"/>
  <c r="S165" i="1"/>
  <c r="S70" i="1"/>
  <c r="S693" i="1"/>
  <c r="S747" i="1"/>
  <c r="S66" i="1"/>
  <c r="S674" i="1"/>
  <c r="S199" i="1"/>
  <c r="S57" i="1"/>
  <c r="S83" i="1"/>
  <c r="S231" i="1"/>
  <c r="S53" i="1"/>
  <c r="S821" i="1"/>
  <c r="S938" i="1"/>
  <c r="S48" i="1"/>
  <c r="S617" i="1"/>
  <c r="S43" i="1"/>
  <c r="S167" i="1"/>
  <c r="S202" i="1"/>
  <c r="S262" i="1"/>
  <c r="S39" i="1"/>
  <c r="S99" i="1"/>
  <c r="S887" i="1"/>
  <c r="S35" i="1"/>
  <c r="S546" i="1"/>
  <c r="S27" i="1"/>
  <c r="S746" i="1"/>
  <c r="S23" i="1"/>
  <c r="S159" i="1"/>
  <c r="S294" i="1"/>
  <c r="S777" i="1"/>
  <c r="S19" i="1"/>
  <c r="S181" i="1"/>
  <c r="S15" i="1"/>
  <c r="S707" i="1"/>
  <c r="S932" i="1"/>
  <c r="S11" i="1"/>
  <c r="S416" i="1"/>
  <c r="S7" i="1"/>
  <c r="S491" i="1"/>
  <c r="S3" i="1"/>
  <c r="S224" i="1"/>
  <c r="I435" i="4"/>
  <c r="Q431" i="4"/>
  <c r="I431" i="4"/>
  <c r="N427" i="4"/>
  <c r="J427" i="4" s="1"/>
  <c r="I427" i="4"/>
  <c r="I423" i="4"/>
  <c r="Q419" i="4"/>
  <c r="I419" i="4"/>
  <c r="N415" i="4"/>
  <c r="J415" i="4" s="1"/>
  <c r="I415" i="4"/>
  <c r="I411" i="4"/>
  <c r="I407" i="4"/>
  <c r="N403" i="4"/>
  <c r="J403" i="4" s="1"/>
  <c r="I403" i="4"/>
  <c r="I399" i="4"/>
  <c r="I395" i="4"/>
  <c r="N391" i="4"/>
  <c r="J391" i="4"/>
  <c r="I391" i="4"/>
  <c r="I387" i="4"/>
  <c r="I383" i="4"/>
  <c r="N379" i="4"/>
  <c r="J379" i="4"/>
  <c r="I379" i="4"/>
  <c r="I375" i="4"/>
  <c r="I371" i="4"/>
  <c r="N367" i="4"/>
  <c r="J367" i="4" s="1"/>
  <c r="I367" i="4"/>
  <c r="I363" i="4"/>
  <c r="Q359" i="4"/>
  <c r="I359" i="4"/>
  <c r="N355" i="4"/>
  <c r="J355" i="4" s="1"/>
  <c r="I355" i="4"/>
  <c r="I351" i="4"/>
  <c r="I347" i="4"/>
  <c r="N343" i="4"/>
  <c r="J343" i="4" s="1"/>
  <c r="I343" i="4"/>
  <c r="I339" i="4"/>
  <c r="Q335" i="4"/>
  <c r="I335" i="4"/>
  <c r="N331" i="4"/>
  <c r="J331" i="4" s="1"/>
  <c r="I331" i="4"/>
  <c r="I327" i="4"/>
  <c r="I323" i="4"/>
  <c r="N319" i="4"/>
  <c r="J319" i="4"/>
  <c r="I319" i="4"/>
  <c r="I315" i="4"/>
  <c r="Q311" i="4"/>
  <c r="I311" i="4"/>
  <c r="N307" i="4"/>
  <c r="J307" i="4"/>
  <c r="I307" i="4"/>
  <c r="I303" i="4"/>
  <c r="Q299" i="4"/>
  <c r="I299" i="4"/>
  <c r="N295" i="4"/>
  <c r="J295" i="4"/>
  <c r="I295" i="4"/>
  <c r="I291" i="4"/>
  <c r="Q287" i="4"/>
  <c r="I287" i="4"/>
  <c r="N283" i="4"/>
  <c r="J283" i="4"/>
  <c r="I283" i="4"/>
  <c r="I279" i="4"/>
  <c r="I275" i="4"/>
  <c r="N271" i="4"/>
  <c r="J271" i="4"/>
  <c r="I271" i="4"/>
  <c r="Q263" i="4"/>
  <c r="I263" i="4"/>
  <c r="N259" i="4"/>
  <c r="J259" i="4" s="1"/>
  <c r="I259" i="4"/>
  <c r="I255" i="4"/>
  <c r="I251" i="4"/>
  <c r="N247" i="4"/>
  <c r="J247" i="4" s="1"/>
  <c r="I247" i="4"/>
  <c r="I243" i="4"/>
  <c r="Q239" i="4"/>
  <c r="I239" i="4"/>
  <c r="N235" i="4"/>
  <c r="J235" i="4" s="1"/>
  <c r="I235" i="4"/>
  <c r="I231" i="4"/>
  <c r="Q227" i="4"/>
  <c r="I227" i="4"/>
  <c r="N223" i="4"/>
  <c r="J223" i="4" s="1"/>
  <c r="I223" i="4"/>
  <c r="I219" i="4"/>
  <c r="I215" i="4"/>
  <c r="N211" i="4"/>
  <c r="J211" i="4"/>
  <c r="I211" i="4"/>
  <c r="I207" i="4"/>
  <c r="I203" i="4"/>
  <c r="N199" i="4"/>
  <c r="J199" i="4"/>
  <c r="I199" i="4"/>
  <c r="I195" i="4"/>
  <c r="Q191" i="4"/>
  <c r="I191" i="4"/>
  <c r="N187" i="4"/>
  <c r="I187" i="4"/>
  <c r="J187" i="4"/>
  <c r="I183" i="4"/>
  <c r="I179" i="4"/>
  <c r="N175" i="4"/>
  <c r="J175" i="4" s="1"/>
  <c r="I175" i="4"/>
  <c r="I171" i="4"/>
  <c r="Q167" i="4"/>
  <c r="I167" i="4"/>
  <c r="N163" i="4"/>
  <c r="J163" i="4" s="1"/>
  <c r="I163" i="4"/>
  <c r="I159" i="4"/>
  <c r="I155" i="4"/>
  <c r="N151" i="4"/>
  <c r="J151" i="4" s="1"/>
  <c r="I151" i="4"/>
  <c r="I147" i="4"/>
  <c r="I143" i="4"/>
  <c r="N139" i="4"/>
  <c r="I139" i="4"/>
  <c r="Q131" i="4"/>
  <c r="I131" i="4"/>
  <c r="N127" i="4"/>
  <c r="J127" i="4" s="1"/>
  <c r="I127" i="4"/>
  <c r="Q119" i="4"/>
  <c r="I119" i="4"/>
  <c r="N115" i="4"/>
  <c r="J115" i="4"/>
  <c r="I115" i="4"/>
  <c r="I107" i="4"/>
  <c r="N103" i="4"/>
  <c r="J103" i="4"/>
  <c r="I103" i="4"/>
  <c r="I99" i="4"/>
  <c r="I95" i="4"/>
  <c r="N91" i="4"/>
  <c r="J91" i="4"/>
  <c r="I91" i="4"/>
  <c r="I87" i="4"/>
  <c r="I83" i="4"/>
  <c r="N79" i="4"/>
  <c r="J79" i="4" s="1"/>
  <c r="I79" i="4"/>
  <c r="M838" i="1"/>
  <c r="S876" i="1"/>
  <c r="S963" i="1"/>
  <c r="S765" i="1"/>
  <c r="S822" i="1"/>
  <c r="S844" i="1"/>
  <c r="S837" i="1"/>
  <c r="S700" i="1"/>
  <c r="S811" i="1"/>
  <c r="S692" i="1"/>
  <c r="S662" i="1"/>
  <c r="S682" i="1"/>
  <c r="S632" i="1"/>
  <c r="S926" i="1"/>
  <c r="S652" i="1"/>
  <c r="S619" i="1"/>
  <c r="S750" i="1"/>
  <c r="S601" i="1"/>
  <c r="S610" i="1"/>
  <c r="S589" i="1"/>
  <c r="S687" i="1"/>
  <c r="S728" i="1"/>
  <c r="S558" i="1"/>
  <c r="S920" i="1"/>
  <c r="S981" i="1"/>
  <c r="S540" i="1"/>
  <c r="S897" i="1"/>
  <c r="S599" i="1"/>
  <c r="S532" i="1"/>
  <c r="S985" i="1"/>
  <c r="S483" i="1"/>
  <c r="S577" i="1"/>
  <c r="S458" i="1"/>
  <c r="S447" i="1"/>
  <c r="S563" i="1"/>
  <c r="S849" i="1"/>
  <c r="S760" i="1"/>
  <c r="S434" i="1"/>
  <c r="S648" i="1"/>
  <c r="S852" i="1"/>
  <c r="S418" i="1"/>
  <c r="S928" i="1"/>
  <c r="S404" i="1"/>
  <c r="S621" i="1"/>
  <c r="S399" i="1"/>
  <c r="S463" i="1"/>
  <c r="S626" i="1"/>
  <c r="S381" i="1"/>
  <c r="S908" i="1"/>
  <c r="S366" i="1"/>
  <c r="S834" i="1"/>
  <c r="S995" i="1"/>
  <c r="S360" i="1"/>
  <c r="S355" i="1"/>
  <c r="S885" i="1"/>
  <c r="S367" i="1"/>
  <c r="S350" i="1"/>
  <c r="S842" i="1"/>
  <c r="S344" i="1"/>
  <c r="S969" i="1"/>
  <c r="S339" i="1"/>
  <c r="S592" i="1"/>
  <c r="S325" i="1"/>
  <c r="S465" i="1"/>
  <c r="S809" i="1"/>
  <c r="S933" i="1"/>
  <c r="S754" i="1"/>
  <c r="S934" i="1"/>
  <c r="S807" i="1"/>
  <c r="S496" i="1"/>
  <c r="S318" i="1"/>
  <c r="S374" i="1"/>
  <c r="S306" i="1"/>
  <c r="S649" i="1"/>
  <c r="S903" i="1"/>
  <c r="S296" i="1"/>
  <c r="S524" i="1"/>
  <c r="S736" i="1"/>
  <c r="S291" i="1"/>
  <c r="S918" i="1"/>
  <c r="S279" i="1"/>
  <c r="S310" i="1"/>
  <c r="S266" i="1"/>
  <c r="S407" i="1"/>
  <c r="S253" i="1"/>
  <c r="S805" i="1"/>
  <c r="S243" i="1"/>
  <c r="S907" i="1"/>
  <c r="S228" i="1"/>
  <c r="S640" i="1"/>
  <c r="S650" i="1"/>
  <c r="S220" i="1"/>
  <c r="S302" i="1"/>
  <c r="S213" i="1"/>
  <c r="S514" i="1"/>
  <c r="S769" i="1"/>
  <c r="S209" i="1"/>
  <c r="S799" i="1"/>
  <c r="S255" i="1"/>
  <c r="S193" i="1"/>
  <c r="S439" i="1"/>
  <c r="S580" i="1"/>
  <c r="S628" i="1"/>
  <c r="S498" i="1"/>
  <c r="S745" i="1"/>
  <c r="S216" i="1"/>
  <c r="S186" i="1"/>
  <c r="S178" i="1"/>
  <c r="S551" i="1"/>
  <c r="S923" i="1"/>
  <c r="S174" i="1"/>
  <c r="S337" i="1"/>
  <c r="S429" i="1"/>
  <c r="S170" i="1"/>
  <c r="S290" i="1"/>
  <c r="S899" i="1"/>
  <c r="S656" i="1"/>
  <c r="S164" i="1"/>
  <c r="S385" i="1"/>
  <c r="S753" i="1"/>
  <c r="S927" i="1"/>
  <c r="S142" i="1"/>
  <c r="S937" i="1"/>
  <c r="S998" i="1"/>
  <c r="S138" i="1"/>
  <c r="S507" i="1"/>
  <c r="S336" i="1"/>
  <c r="S545" i="1"/>
  <c r="S967" i="1"/>
  <c r="S134" i="1"/>
  <c r="S408" i="1"/>
  <c r="S334" i="1"/>
  <c r="S695" i="1"/>
  <c r="S964" i="1"/>
  <c r="S156" i="1"/>
  <c r="S130" i="1"/>
  <c r="S425" i="1"/>
  <c r="S477" i="1"/>
  <c r="S125" i="1"/>
  <c r="S145" i="1"/>
  <c r="S941" i="1"/>
  <c r="S698" i="1"/>
  <c r="S115" i="1"/>
  <c r="S277" i="1"/>
  <c r="S421" i="1"/>
  <c r="S848" i="1"/>
  <c r="S924" i="1"/>
  <c r="S110" i="1"/>
  <c r="S955" i="1"/>
  <c r="S860" i="1"/>
  <c r="S233" i="1"/>
  <c r="S106" i="1"/>
  <c r="S123" i="1"/>
  <c r="S97" i="1"/>
  <c r="S561" i="1"/>
  <c r="S478" i="1"/>
  <c r="S791" i="1"/>
  <c r="S92" i="1"/>
  <c r="S624" i="1"/>
  <c r="S882" i="1"/>
  <c r="S88" i="1"/>
  <c r="S229" i="1"/>
  <c r="S185" i="1"/>
  <c r="S556" i="1"/>
  <c r="S490" i="1"/>
  <c r="S716" i="1"/>
  <c r="S73" i="1"/>
  <c r="S286" i="1"/>
  <c r="S420" i="1"/>
  <c r="S679" i="1"/>
  <c r="S69" i="1"/>
  <c r="S305" i="1"/>
  <c r="S817" i="1"/>
  <c r="S187" i="1"/>
  <c r="S999" i="1"/>
  <c r="S65" i="1"/>
  <c r="S157" i="1"/>
  <c r="S487" i="1"/>
  <c r="S60" i="1"/>
  <c r="S742" i="1"/>
  <c r="S56" i="1"/>
  <c r="S351" i="1"/>
  <c r="S845" i="1"/>
  <c r="S195" i="1"/>
  <c r="S203" i="1"/>
  <c r="S52" i="1"/>
  <c r="S96" i="1"/>
  <c r="S455" i="1"/>
  <c r="S537" i="1"/>
  <c r="S446" i="1"/>
  <c r="S61" i="1"/>
  <c r="S46" i="1"/>
  <c r="S370" i="1"/>
  <c r="S285" i="1"/>
  <c r="S42" i="1"/>
  <c r="S471" i="1"/>
  <c r="S38" i="1"/>
  <c r="S74" i="1"/>
  <c r="S694" i="1"/>
  <c r="S34" i="1"/>
  <c r="S789" i="1"/>
  <c r="S864" i="1"/>
  <c r="S929" i="1"/>
  <c r="S696" i="1"/>
  <c r="S26" i="1"/>
  <c r="S663" i="1"/>
  <c r="S22" i="1"/>
  <c r="S486" i="1"/>
  <c r="S275" i="1"/>
  <c r="S18" i="1"/>
  <c r="S576" i="1"/>
  <c r="S313" i="1"/>
  <c r="S953" i="1"/>
  <c r="S744" i="1"/>
  <c r="S14" i="1"/>
  <c r="S82" i="1"/>
  <c r="S814" i="1"/>
  <c r="S884" i="1"/>
  <c r="S2" i="1"/>
  <c r="N434" i="4"/>
  <c r="J434" i="4"/>
  <c r="I434" i="4"/>
  <c r="N430" i="4"/>
  <c r="J430" i="4"/>
  <c r="I430" i="4"/>
  <c r="N426" i="4"/>
  <c r="J426" i="4" s="1"/>
  <c r="I426" i="4"/>
  <c r="N422" i="4"/>
  <c r="J422" i="4" s="1"/>
  <c r="I422" i="4"/>
  <c r="N418" i="4"/>
  <c r="J418" i="4"/>
  <c r="I418" i="4"/>
  <c r="N414" i="4"/>
  <c r="J414" i="4"/>
  <c r="I414" i="4"/>
  <c r="N410" i="4"/>
  <c r="J410" i="4" s="1"/>
  <c r="I410" i="4"/>
  <c r="N406" i="4"/>
  <c r="J406" i="4" s="1"/>
  <c r="I406" i="4"/>
  <c r="N402" i="4"/>
  <c r="J402" i="4"/>
  <c r="I402" i="4"/>
  <c r="N398" i="4"/>
  <c r="J398" i="4"/>
  <c r="I398" i="4"/>
  <c r="N394" i="4"/>
  <c r="J394" i="4" s="1"/>
  <c r="I394" i="4"/>
  <c r="N390" i="4"/>
  <c r="J390" i="4" s="1"/>
  <c r="I390" i="4"/>
  <c r="N386" i="4"/>
  <c r="J386" i="4"/>
  <c r="I386" i="4"/>
  <c r="N382" i="4"/>
  <c r="J382" i="4"/>
  <c r="I382" i="4"/>
  <c r="N378" i="4"/>
  <c r="J378" i="4" s="1"/>
  <c r="I378" i="4"/>
  <c r="N374" i="4"/>
  <c r="J374" i="4" s="1"/>
  <c r="I374" i="4"/>
  <c r="N370" i="4"/>
  <c r="J370" i="4"/>
  <c r="I370" i="4"/>
  <c r="N366" i="4"/>
  <c r="J366" i="4"/>
  <c r="I366" i="4"/>
  <c r="N362" i="4"/>
  <c r="J362" i="4" s="1"/>
  <c r="I362" i="4"/>
  <c r="N358" i="4"/>
  <c r="J358" i="4" s="1"/>
  <c r="I358" i="4"/>
  <c r="N354" i="4"/>
  <c r="J354" i="4"/>
  <c r="I354" i="4"/>
  <c r="N350" i="4"/>
  <c r="J350" i="4"/>
  <c r="I350" i="4"/>
  <c r="N346" i="4"/>
  <c r="J346" i="4" s="1"/>
  <c r="I346" i="4"/>
  <c r="N342" i="4"/>
  <c r="J342" i="4" s="1"/>
  <c r="I342" i="4"/>
  <c r="N338" i="4"/>
  <c r="J338" i="4"/>
  <c r="I338" i="4"/>
  <c r="N334" i="4"/>
  <c r="J334" i="4"/>
  <c r="I334" i="4"/>
  <c r="N330" i="4"/>
  <c r="J330" i="4" s="1"/>
  <c r="I330" i="4"/>
  <c r="N326" i="4"/>
  <c r="J326" i="4" s="1"/>
  <c r="I326" i="4"/>
  <c r="N322" i="4"/>
  <c r="J322" i="4"/>
  <c r="I322" i="4"/>
  <c r="N318" i="4"/>
  <c r="J318" i="4"/>
  <c r="I318" i="4"/>
  <c r="N314" i="4"/>
  <c r="J314" i="4" s="1"/>
  <c r="I314" i="4"/>
  <c r="N310" i="4"/>
  <c r="J310" i="4" s="1"/>
  <c r="I310" i="4"/>
  <c r="N306" i="4"/>
  <c r="J306" i="4"/>
  <c r="I306" i="4"/>
  <c r="N302" i="4"/>
  <c r="J302" i="4"/>
  <c r="I302" i="4"/>
  <c r="N298" i="4"/>
  <c r="J298" i="4" s="1"/>
  <c r="I298" i="4"/>
  <c r="N294" i="4"/>
  <c r="J294" i="4" s="1"/>
  <c r="I294" i="4"/>
  <c r="N290" i="4"/>
  <c r="J290" i="4"/>
  <c r="I290" i="4"/>
  <c r="N286" i="4"/>
  <c r="J286" i="4"/>
  <c r="I286" i="4"/>
  <c r="N282" i="4"/>
  <c r="J282" i="4" s="1"/>
  <c r="I282" i="4"/>
  <c r="N278" i="4"/>
  <c r="J278" i="4" s="1"/>
  <c r="I278" i="4"/>
  <c r="N274" i="4"/>
  <c r="J274" i="4"/>
  <c r="I274" i="4"/>
  <c r="N270" i="4"/>
  <c r="J270" i="4"/>
  <c r="I270" i="4"/>
  <c r="N266" i="4"/>
  <c r="J266" i="4" s="1"/>
  <c r="N262" i="4"/>
  <c r="J262" i="4"/>
  <c r="I262" i="4"/>
  <c r="N258" i="4"/>
  <c r="J258" i="4"/>
  <c r="I258" i="4"/>
  <c r="N254" i="4"/>
  <c r="J254" i="4" s="1"/>
  <c r="I254" i="4"/>
  <c r="N250" i="4"/>
  <c r="J250" i="4" s="1"/>
  <c r="I250" i="4"/>
  <c r="N246" i="4"/>
  <c r="J246" i="4"/>
  <c r="I246" i="4"/>
  <c r="N242" i="4"/>
  <c r="J242" i="4"/>
  <c r="I242" i="4"/>
  <c r="N238" i="4"/>
  <c r="J238" i="4" s="1"/>
  <c r="I238" i="4"/>
  <c r="N234" i="4"/>
  <c r="J234" i="4" s="1"/>
  <c r="I234" i="4"/>
  <c r="N230" i="4"/>
  <c r="J230" i="4"/>
  <c r="I230" i="4"/>
  <c r="N226" i="4"/>
  <c r="J226" i="4"/>
  <c r="I226" i="4"/>
  <c r="N222" i="4"/>
  <c r="J222" i="4" s="1"/>
  <c r="I222" i="4"/>
  <c r="N218" i="4"/>
  <c r="J218" i="4" s="1"/>
  <c r="I218" i="4"/>
  <c r="N214" i="4"/>
  <c r="J214" i="4"/>
  <c r="I214" i="4"/>
  <c r="N210" i="4"/>
  <c r="J210" i="4"/>
  <c r="I210" i="4"/>
  <c r="N206" i="4"/>
  <c r="J206" i="4" s="1"/>
  <c r="I206" i="4"/>
  <c r="N202" i="4"/>
  <c r="J202" i="4" s="1"/>
  <c r="I202" i="4"/>
  <c r="N198" i="4"/>
  <c r="J198" i="4"/>
  <c r="I198" i="4"/>
  <c r="N194" i="4"/>
  <c r="J194" i="4"/>
  <c r="I194" i="4"/>
  <c r="N190" i="4"/>
  <c r="J190" i="4" s="1"/>
  <c r="I190" i="4"/>
  <c r="N186" i="4"/>
  <c r="J186" i="4" s="1"/>
  <c r="I186" i="4"/>
  <c r="N182" i="4"/>
  <c r="J182" i="4"/>
  <c r="I182" i="4"/>
  <c r="N178" i="4"/>
  <c r="J178" i="4"/>
  <c r="I178" i="4"/>
  <c r="N174" i="4"/>
  <c r="J174" i="4" s="1"/>
  <c r="I174" i="4"/>
  <c r="N170" i="4"/>
  <c r="J170" i="4" s="1"/>
  <c r="I170" i="4"/>
  <c r="N166" i="4"/>
  <c r="J166" i="4"/>
  <c r="I166" i="4"/>
  <c r="N162" i="4"/>
  <c r="J162" i="4"/>
  <c r="I162" i="4"/>
  <c r="N158" i="4"/>
  <c r="J158" i="4" s="1"/>
  <c r="I158" i="4"/>
  <c r="N154" i="4"/>
  <c r="J154" i="4" s="1"/>
  <c r="I154" i="4"/>
  <c r="N150" i="4"/>
  <c r="J150" i="4"/>
  <c r="I150" i="4"/>
  <c r="N146" i="4"/>
  <c r="J146" i="4"/>
  <c r="I146" i="4"/>
  <c r="N142" i="4"/>
  <c r="I142" i="4"/>
  <c r="N138" i="4"/>
  <c r="I138" i="4"/>
  <c r="N134" i="4"/>
  <c r="I134" i="4"/>
  <c r="N130" i="4"/>
  <c r="J130" i="4"/>
  <c r="I130" i="4"/>
  <c r="N126" i="4"/>
  <c r="J126" i="4"/>
  <c r="I126" i="4"/>
  <c r="N122" i="4"/>
  <c r="I122" i="4"/>
  <c r="N118" i="4"/>
  <c r="J118" i="4"/>
  <c r="I118" i="4"/>
  <c r="N114" i="4"/>
  <c r="J114" i="4"/>
  <c r="I114" i="4"/>
  <c r="N110" i="4"/>
  <c r="J110" i="4" s="1"/>
  <c r="I110" i="4"/>
  <c r="N106" i="4"/>
  <c r="J106" i="4" s="1"/>
  <c r="I106" i="4"/>
  <c r="N102" i="4"/>
  <c r="J102" i="4"/>
  <c r="I102" i="4"/>
  <c r="N98" i="4"/>
  <c r="J98" i="4"/>
  <c r="I98" i="4"/>
  <c r="N94" i="4"/>
  <c r="J94" i="4" s="1"/>
  <c r="I94" i="4"/>
  <c r="N90" i="4"/>
  <c r="J90" i="4" s="1"/>
  <c r="I90" i="4"/>
  <c r="N86" i="4"/>
  <c r="J86" i="4"/>
  <c r="I86" i="4"/>
  <c r="N82" i="4"/>
  <c r="J82" i="4"/>
  <c r="I82" i="4"/>
  <c r="N78" i="4"/>
  <c r="J78" i="4" s="1"/>
  <c r="I78" i="4"/>
  <c r="K757" i="1"/>
  <c r="S785" i="1"/>
  <c r="S850" i="1"/>
  <c r="S990" i="1"/>
  <c r="S886" i="1"/>
  <c r="S759" i="1"/>
  <c r="S786" i="1"/>
  <c r="S735" i="1"/>
  <c r="S718" i="1"/>
  <c r="S726" i="1"/>
  <c r="S681" i="1"/>
  <c r="S659" i="1"/>
  <c r="S639" i="1"/>
  <c r="S962" i="1"/>
  <c r="S987" i="1"/>
  <c r="S627" i="1"/>
  <c r="S616" i="1"/>
  <c r="S966" i="1"/>
  <c r="S986" i="1"/>
  <c r="S567" i="1"/>
  <c r="S536" i="1"/>
  <c r="S737" i="1"/>
  <c r="S529" i="1"/>
  <c r="S581" i="1"/>
  <c r="S518" i="1"/>
  <c r="S833" i="1"/>
  <c r="S643" i="1"/>
  <c r="S847" i="1"/>
  <c r="S493" i="1"/>
  <c r="S730" i="1"/>
  <c r="S476" i="1"/>
  <c r="S594" i="1"/>
  <c r="S758" i="1"/>
  <c r="S892" i="1"/>
  <c r="S461" i="1"/>
  <c r="S673" i="1"/>
  <c r="S457" i="1"/>
  <c r="S683" i="1"/>
  <c r="S539" i="1"/>
  <c r="S440" i="1"/>
  <c r="S586" i="1"/>
  <c r="S878" i="1"/>
  <c r="S433" i="1"/>
  <c r="S890" i="1"/>
  <c r="S423" i="1"/>
  <c r="S783" i="1"/>
  <c r="S417" i="1"/>
  <c r="S470" i="1"/>
  <c r="S880" i="1"/>
  <c r="S403" i="1"/>
  <c r="S867" i="1"/>
  <c r="S398" i="1"/>
  <c r="S510" i="1"/>
  <c r="S120" i="1"/>
  <c r="S379" i="1"/>
  <c r="S499" i="1"/>
  <c r="S731" i="1"/>
  <c r="S676" i="1"/>
  <c r="S359" i="1"/>
  <c r="S943" i="1"/>
  <c r="S349" i="1"/>
  <c r="S739" i="1"/>
  <c r="S343" i="1"/>
  <c r="S672" i="1"/>
  <c r="S557" i="1"/>
  <c r="S338" i="1"/>
  <c r="S329" i="1"/>
  <c r="S961" i="1"/>
  <c r="S939" i="1"/>
  <c r="S994" i="1"/>
  <c r="S324" i="1"/>
  <c r="S813" i="1"/>
  <c r="S295" i="1"/>
  <c r="S427" i="1"/>
  <c r="S288" i="1"/>
  <c r="S509" i="1"/>
  <c r="S820" i="1"/>
  <c r="S276" i="1"/>
  <c r="S393" i="1"/>
  <c r="S691" i="1"/>
  <c r="S723" i="1"/>
  <c r="S270" i="1"/>
  <c r="S868" i="1"/>
  <c r="S480" i="1"/>
  <c r="S930" i="1"/>
  <c r="S740" i="1"/>
  <c r="S904" i="1"/>
  <c r="S944" i="1"/>
  <c r="S997" i="1"/>
  <c r="S242" i="1"/>
  <c r="S993" i="1"/>
  <c r="S234" i="1"/>
  <c r="S227" i="1"/>
  <c r="S326" i="1"/>
  <c r="S951" i="1"/>
  <c r="S219" i="1"/>
  <c r="S289" i="1"/>
  <c r="S375" i="1"/>
  <c r="S871" i="1"/>
  <c r="S634" i="1"/>
  <c r="S212" i="1"/>
  <c r="S437" i="1"/>
  <c r="S689" i="1"/>
  <c r="S206" i="1"/>
  <c r="S973" i="1"/>
  <c r="S988" i="1"/>
  <c r="S198" i="1"/>
  <c r="S192" i="1"/>
  <c r="S280" i="1"/>
  <c r="S177" i="1"/>
  <c r="S513" i="1"/>
  <c r="S888" i="1"/>
  <c r="S173" i="1"/>
  <c r="S602" i="1"/>
  <c r="S169" i="1"/>
  <c r="S618" i="1"/>
  <c r="S163" i="1"/>
  <c r="S284" i="1"/>
  <c r="S330" i="1"/>
  <c r="S155" i="1"/>
  <c r="S188" i="1"/>
  <c r="S380" i="1"/>
  <c r="S240" i="1"/>
  <c r="S141" i="1"/>
  <c r="S278" i="1"/>
  <c r="S893" i="1"/>
  <c r="S137" i="1"/>
  <c r="S515" i="1"/>
  <c r="S133" i="1"/>
  <c r="S664" i="1"/>
  <c r="S824" i="1"/>
  <c r="S129" i="1"/>
  <c r="S565" i="1"/>
  <c r="S597" i="1"/>
  <c r="S763" i="1"/>
  <c r="S122" i="1"/>
  <c r="S387" i="1"/>
  <c r="S118" i="1"/>
  <c r="S803" i="1"/>
  <c r="S114" i="1"/>
  <c r="S358" i="1"/>
  <c r="S147" i="1"/>
  <c r="S215" i="1"/>
  <c r="S105" i="1"/>
  <c r="S373" i="1"/>
  <c r="S184" i="1"/>
  <c r="S101" i="1"/>
  <c r="S428" i="1"/>
  <c r="S95" i="1"/>
  <c r="S146" i="1"/>
  <c r="S321" i="1"/>
  <c r="S957" i="1"/>
  <c r="S670" i="1"/>
  <c r="S87" i="1"/>
  <c r="S208" i="1"/>
  <c r="S272" i="1"/>
  <c r="S347" i="1"/>
  <c r="S598" i="1"/>
  <c r="S148" i="1"/>
  <c r="S81" i="1"/>
  <c r="S77" i="1"/>
  <c r="S246" i="1"/>
  <c r="S475" i="1"/>
  <c r="S665" i="1"/>
  <c r="S719" i="1"/>
  <c r="S191" i="1"/>
  <c r="S68" i="1"/>
  <c r="S653" i="1"/>
  <c r="S771" i="1"/>
  <c r="S64" i="1"/>
  <c r="S795" i="1"/>
  <c r="S59" i="1"/>
  <c r="S762" i="1"/>
  <c r="S55" i="1"/>
  <c r="S238" i="1"/>
  <c r="S972" i="1"/>
  <c r="S51" i="1"/>
  <c r="S223" i="1"/>
  <c r="S629" i="1"/>
  <c r="S818" i="1"/>
  <c r="S647" i="1"/>
  <c r="S45" i="1"/>
  <c r="S341" i="1"/>
  <c r="S41" i="1"/>
  <c r="S865" i="1"/>
  <c r="S47" i="1"/>
  <c r="S37" i="1"/>
  <c r="S873" i="1"/>
  <c r="S33" i="1"/>
  <c r="S541" i="1"/>
  <c r="S25" i="1"/>
  <c r="S840" i="1"/>
  <c r="S200" i="1"/>
  <c r="S992" i="1"/>
  <c r="S21" i="1"/>
  <c r="S485" i="1"/>
  <c r="S798" i="1"/>
  <c r="S17" i="1"/>
  <c r="S415" i="1"/>
  <c r="S502" i="1"/>
  <c r="S522" i="1"/>
  <c r="S9" i="1"/>
  <c r="S472" i="1"/>
  <c r="S506" i="1"/>
  <c r="S909" i="1"/>
  <c r="S5" i="1"/>
  <c r="S543" i="1"/>
  <c r="S636" i="1"/>
  <c r="N433" i="4"/>
  <c r="K433" i="4" s="1"/>
  <c r="I433" i="4"/>
  <c r="I429" i="4"/>
  <c r="Q425" i="4"/>
  <c r="I425" i="4"/>
  <c r="N421" i="4"/>
  <c r="K421" i="4" s="1"/>
  <c r="I421" i="4"/>
  <c r="J421" i="4"/>
  <c r="I417" i="4"/>
  <c r="Q413" i="4"/>
  <c r="I413" i="4"/>
  <c r="N409" i="4"/>
  <c r="K409" i="4" s="1"/>
  <c r="I409" i="4"/>
  <c r="J409" i="4"/>
  <c r="I405" i="4"/>
  <c r="Q401" i="4"/>
  <c r="I401" i="4"/>
  <c r="N397" i="4"/>
  <c r="K397" i="4" s="1"/>
  <c r="I397" i="4"/>
  <c r="J397" i="4"/>
  <c r="I393" i="4"/>
  <c r="Q389" i="4"/>
  <c r="I389" i="4"/>
  <c r="N385" i="4"/>
  <c r="K385" i="4" s="1"/>
  <c r="I385" i="4"/>
  <c r="J385" i="4"/>
  <c r="I381" i="4"/>
  <c r="Q377" i="4"/>
  <c r="I377" i="4"/>
  <c r="N373" i="4"/>
  <c r="K373" i="4" s="1"/>
  <c r="I373" i="4"/>
  <c r="J373" i="4"/>
  <c r="I369" i="4"/>
  <c r="I365" i="4"/>
  <c r="N361" i="4"/>
  <c r="K361" i="4" s="1"/>
  <c r="J361" i="4"/>
  <c r="I361" i="4"/>
  <c r="I357" i="4"/>
  <c r="Q353" i="4"/>
  <c r="I353" i="4"/>
  <c r="N349" i="4"/>
  <c r="K349" i="4" s="1"/>
  <c r="J349" i="4"/>
  <c r="I349" i="4"/>
  <c r="I345" i="4"/>
  <c r="I341" i="4"/>
  <c r="N337" i="4"/>
  <c r="K337" i="4" s="1"/>
  <c r="I337" i="4"/>
  <c r="I333" i="4"/>
  <c r="Q329" i="4"/>
  <c r="I329" i="4"/>
  <c r="N325" i="4"/>
  <c r="J325" i="4" s="1"/>
  <c r="I325" i="4"/>
  <c r="I321" i="4"/>
  <c r="Q317" i="4"/>
  <c r="I317" i="4"/>
  <c r="N313" i="4"/>
  <c r="J313" i="4" s="1"/>
  <c r="I313" i="4"/>
  <c r="I309" i="4"/>
  <c r="I305" i="4"/>
  <c r="N301" i="4"/>
  <c r="K301" i="4" s="1"/>
  <c r="I301" i="4"/>
  <c r="J301" i="4"/>
  <c r="I297" i="4"/>
  <c r="I293" i="4"/>
  <c r="N289" i="4"/>
  <c r="K289" i="4" s="1"/>
  <c r="I289" i="4"/>
  <c r="I285" i="4"/>
  <c r="I281" i="4"/>
  <c r="N277" i="4"/>
  <c r="K277" i="4" s="1"/>
  <c r="J277" i="4"/>
  <c r="I277" i="4"/>
  <c r="I273" i="4"/>
  <c r="Q269" i="4"/>
  <c r="I269" i="4"/>
  <c r="N265" i="4"/>
  <c r="K265" i="4" s="1"/>
  <c r="J265" i="4"/>
  <c r="I261" i="4"/>
  <c r="I257" i="4"/>
  <c r="N253" i="4"/>
  <c r="K253" i="4" s="1"/>
  <c r="J253" i="4"/>
  <c r="I253" i="4"/>
  <c r="I249" i="4"/>
  <c r="Q245" i="4"/>
  <c r="I245" i="4"/>
  <c r="N241" i="4"/>
  <c r="K241" i="4" s="1"/>
  <c r="J241" i="4"/>
  <c r="I241" i="4"/>
  <c r="I237" i="4"/>
  <c r="I233" i="4"/>
  <c r="N229" i="4"/>
  <c r="K229" i="4" s="1"/>
  <c r="I229" i="4"/>
  <c r="I225" i="4"/>
  <c r="I221" i="4"/>
  <c r="N217" i="4"/>
  <c r="K217" i="4" s="1"/>
  <c r="J217" i="4"/>
  <c r="I217" i="4"/>
  <c r="I213" i="4"/>
  <c r="I209" i="4"/>
  <c r="N205" i="4"/>
  <c r="K205" i="4" s="1"/>
  <c r="I205" i="4"/>
  <c r="I201" i="4"/>
  <c r="I197" i="4"/>
  <c r="N193" i="4"/>
  <c r="K193" i="4" s="1"/>
  <c r="J193" i="4"/>
  <c r="I193" i="4"/>
  <c r="I189" i="4"/>
  <c r="Q185" i="4"/>
  <c r="I185" i="4"/>
  <c r="N181" i="4"/>
  <c r="K181" i="4" s="1"/>
  <c r="J181" i="4"/>
  <c r="I181" i="4"/>
  <c r="I177" i="4"/>
  <c r="Q173" i="4"/>
  <c r="I173" i="4"/>
  <c r="N169" i="4"/>
  <c r="K169" i="4" s="1"/>
  <c r="J169" i="4"/>
  <c r="I169" i="4"/>
  <c r="I165" i="4"/>
  <c r="I161" i="4"/>
  <c r="N157" i="4"/>
  <c r="J157" i="4" s="1"/>
  <c r="I157" i="4"/>
  <c r="I153" i="4"/>
  <c r="I149" i="4"/>
  <c r="N145" i="4"/>
  <c r="J145" i="4"/>
  <c r="I145" i="4"/>
  <c r="Q137" i="4"/>
  <c r="I137" i="4"/>
  <c r="N133" i="4"/>
  <c r="J133" i="4" s="1"/>
  <c r="I133" i="4"/>
  <c r="I129" i="4"/>
  <c r="Q125" i="4"/>
  <c r="I125" i="4"/>
  <c r="N121" i="4"/>
  <c r="K121" i="4" s="1"/>
  <c r="J121" i="4"/>
  <c r="I121" i="4"/>
  <c r="I117" i="4"/>
  <c r="I113" i="4"/>
  <c r="N109" i="4"/>
  <c r="J109" i="4" s="1"/>
  <c r="I109" i="4"/>
  <c r="I105" i="4"/>
  <c r="Q101" i="4"/>
  <c r="I101" i="4"/>
  <c r="N97" i="4"/>
  <c r="J97" i="4" s="1"/>
  <c r="I97" i="4"/>
  <c r="I93" i="4"/>
  <c r="I89" i="4"/>
  <c r="N85" i="4"/>
  <c r="J85" i="4"/>
  <c r="I85" i="4"/>
  <c r="I81" i="4"/>
  <c r="K427" i="4"/>
  <c r="K415" i="4"/>
  <c r="K403" i="4"/>
  <c r="K391" i="4"/>
  <c r="K379" i="4"/>
  <c r="K367" i="4"/>
  <c r="K355" i="4"/>
  <c r="K343" i="4"/>
  <c r="K331" i="4"/>
  <c r="K319" i="4"/>
  <c r="K307" i="4"/>
  <c r="K295" i="4"/>
  <c r="K283" i="4"/>
  <c r="K271" i="4"/>
  <c r="K259" i="4"/>
  <c r="K247" i="4"/>
  <c r="K235" i="4"/>
  <c r="K223" i="4"/>
  <c r="K211" i="4"/>
  <c r="K199" i="4"/>
  <c r="K187" i="4"/>
  <c r="K175" i="4"/>
  <c r="K163" i="4"/>
  <c r="K151" i="4"/>
  <c r="K127" i="4"/>
  <c r="K79" i="4"/>
  <c r="K806" i="1"/>
  <c r="S797" i="1"/>
  <c r="S872" i="1"/>
  <c r="S965" i="1"/>
  <c r="S767" i="1"/>
  <c r="S729" i="1"/>
  <c r="S906" i="1"/>
  <c r="S717" i="1"/>
  <c r="S854" i="1"/>
  <c r="S702" i="1"/>
  <c r="S895" i="1"/>
  <c r="S684" i="1"/>
  <c r="S800" i="1"/>
  <c r="S975" i="1"/>
  <c r="S667" i="1"/>
  <c r="S764" i="1"/>
  <c r="S158" i="1"/>
  <c r="S658" i="1"/>
  <c r="S768" i="1"/>
  <c r="S638" i="1"/>
  <c r="S680" i="1"/>
  <c r="S615" i="1"/>
  <c r="S917" i="1"/>
  <c r="S804" i="1"/>
  <c r="S607" i="1"/>
  <c r="S761" i="1"/>
  <c r="S748" i="1"/>
  <c r="S595" i="1"/>
  <c r="S829" i="1"/>
  <c r="S143" i="1"/>
  <c r="S583" i="1"/>
  <c r="S794" i="1"/>
  <c r="S704" i="1"/>
  <c r="S517" i="1"/>
  <c r="S954" i="1"/>
  <c r="S473" i="1"/>
  <c r="S482" i="1"/>
  <c r="S566" i="1"/>
  <c r="S535" i="1"/>
  <c r="S575" i="1"/>
  <c r="S587" i="1"/>
  <c r="S449" i="1"/>
  <c r="S781" i="1"/>
  <c r="S443" i="1"/>
  <c r="S530" i="1"/>
  <c r="S562" i="1"/>
  <c r="S438" i="1"/>
  <c r="S827" i="1"/>
  <c r="S431" i="1"/>
  <c r="S741" i="1"/>
  <c r="S773" i="1"/>
  <c r="S651" i="1"/>
  <c r="S467" i="1"/>
  <c r="S422" i="1"/>
  <c r="S432" i="1"/>
  <c r="S489" i="1"/>
  <c r="S414" i="1"/>
  <c r="S406" i="1"/>
  <c r="S582" i="1"/>
  <c r="S836" i="1"/>
  <c r="S401" i="1"/>
  <c r="S870" i="1"/>
  <c r="S991" i="1"/>
  <c r="S984" i="1"/>
  <c r="S495" i="1"/>
  <c r="S531" i="1"/>
  <c r="S397" i="1"/>
  <c r="S392" i="1"/>
  <c r="S921" i="1"/>
  <c r="S654" i="1"/>
  <c r="S30" i="1"/>
  <c r="S395" i="1"/>
  <c r="S376" i="1"/>
  <c r="S950" i="1"/>
  <c r="S363" i="1"/>
  <c r="S571" i="1"/>
  <c r="S357" i="1"/>
  <c r="S830" i="1"/>
  <c r="S353" i="1"/>
  <c r="S474" i="1"/>
  <c r="S660" i="1"/>
  <c r="S348" i="1"/>
  <c r="S732" i="1"/>
  <c r="S335" i="1"/>
  <c r="S501" i="1"/>
  <c r="S793" i="1"/>
  <c r="S782" i="1"/>
  <c r="S898" i="1"/>
  <c r="S328" i="1"/>
  <c r="S585" i="1"/>
  <c r="S713" i="1"/>
  <c r="S323" i="1"/>
  <c r="S528" i="1"/>
  <c r="S299" i="1"/>
  <c r="S505" i="1"/>
  <c r="S287" i="1"/>
  <c r="S298" i="1"/>
  <c r="S900" i="1"/>
  <c r="S268" i="1"/>
  <c r="S331" i="1"/>
  <c r="S261" i="1"/>
  <c r="S481" i="1"/>
  <c r="S257" i="1"/>
  <c r="S377" i="1"/>
  <c r="S402" i="1"/>
  <c r="S675" i="1"/>
  <c r="S251" i="1"/>
  <c r="S810" i="1"/>
  <c r="S239" i="1"/>
  <c r="S568" i="1"/>
  <c r="S661" i="1"/>
  <c r="S232" i="1"/>
  <c r="S236" i="1"/>
  <c r="S315" i="1"/>
  <c r="S569" i="1"/>
  <c r="S226" i="1"/>
  <c r="S453" i="1"/>
  <c r="S218" i="1"/>
  <c r="S317" i="1"/>
  <c r="S205" i="1"/>
  <c r="S254" i="1"/>
  <c r="S197" i="1"/>
  <c r="S249" i="1"/>
  <c r="S655" i="1"/>
  <c r="S190" i="1"/>
  <c r="S371" i="1"/>
  <c r="S922" i="1"/>
  <c r="S856" i="1"/>
  <c r="S182" i="1"/>
  <c r="S875" i="1"/>
  <c r="S891" i="1"/>
  <c r="S207" i="1"/>
  <c r="S172" i="1"/>
  <c r="S1000" i="1"/>
  <c r="S828" i="1"/>
  <c r="S168" i="1"/>
  <c r="S241" i="1"/>
  <c r="S368" i="1"/>
  <c r="S714" i="1"/>
  <c r="S161" i="1"/>
  <c r="S250" i="1"/>
  <c r="S874" i="1"/>
  <c r="S688" i="1"/>
  <c r="S144" i="1"/>
  <c r="S611" i="1"/>
  <c r="S778" i="1"/>
  <c r="S140" i="1"/>
  <c r="S503" i="1"/>
  <c r="S572" i="1"/>
  <c r="S612" i="1"/>
  <c r="S136" i="1"/>
  <c r="S511" i="1"/>
  <c r="S526" i="1"/>
  <c r="S132" i="1"/>
  <c r="S721" i="1"/>
  <c r="S853" i="1"/>
  <c r="S128" i="1"/>
  <c r="S548" i="1"/>
  <c r="S303" i="1"/>
  <c r="S949" i="1"/>
  <c r="S121" i="1"/>
  <c r="S857" i="1"/>
  <c r="S711" i="1"/>
  <c r="S113" i="1"/>
  <c r="S346" i="1"/>
  <c r="S108" i="1"/>
  <c r="S378" i="1"/>
  <c r="S104" i="1"/>
  <c r="S124" i="1"/>
  <c r="S469" i="1"/>
  <c r="S935" i="1"/>
  <c r="S812" i="1"/>
  <c r="S269" i="1"/>
  <c r="S94" i="1"/>
  <c r="S620" i="1"/>
  <c r="S90" i="1"/>
  <c r="S445" i="1"/>
  <c r="S715" i="1"/>
  <c r="S752" i="1"/>
  <c r="S86" i="1"/>
  <c r="S309" i="1"/>
  <c r="S319" i="1"/>
  <c r="S80" i="1"/>
  <c r="S222" i="1"/>
  <c r="S71" i="1"/>
  <c r="S980" i="1"/>
  <c r="S221" i="1"/>
  <c r="S194" i="1"/>
  <c r="S646" i="1"/>
  <c r="S862" i="1"/>
  <c r="S959" i="1"/>
  <c r="S67" i="1"/>
  <c r="S861" i="1"/>
  <c r="S835" i="1"/>
  <c r="S63" i="1"/>
  <c r="S162" i="1"/>
  <c r="S58" i="1"/>
  <c r="S388" i="1"/>
  <c r="S913" i="1"/>
  <c r="S54" i="1"/>
  <c r="S774" i="1"/>
  <c r="S912" i="1"/>
  <c r="S44" i="1"/>
  <c r="S84" i="1"/>
  <c r="S217" i="1"/>
  <c r="S304" i="1"/>
  <c r="S40" i="1"/>
  <c r="S910" i="1"/>
  <c r="S36" i="1"/>
  <c r="S554" i="1"/>
  <c r="S630" i="1"/>
  <c r="S32" i="1"/>
  <c r="S264" i="1"/>
  <c r="S28" i="1"/>
  <c r="S245" i="1"/>
  <c r="S604" i="1"/>
  <c r="S24" i="1"/>
  <c r="S976" i="1"/>
  <c r="S20" i="1"/>
  <c r="S50" i="1"/>
  <c r="S312" i="1"/>
  <c r="S111" i="1"/>
  <c r="S16" i="1"/>
  <c r="S12" i="1"/>
  <c r="S390" i="1"/>
  <c r="S8" i="1"/>
  <c r="S603" i="1"/>
  <c r="S945" i="1"/>
  <c r="S894" i="1"/>
  <c r="S780" i="1"/>
  <c r="S4" i="1"/>
  <c r="S479" i="1"/>
  <c r="S550" i="1"/>
  <c r="N432" i="4"/>
  <c r="K432" i="4" s="1"/>
  <c r="I432" i="4"/>
  <c r="J432" i="4"/>
  <c r="N428" i="4"/>
  <c r="K428" i="4" s="1"/>
  <c r="I428" i="4"/>
  <c r="N424" i="4"/>
  <c r="K424" i="4" s="1"/>
  <c r="J424" i="4"/>
  <c r="I424" i="4"/>
  <c r="N420" i="4"/>
  <c r="J420" i="4" s="1"/>
  <c r="I420" i="4"/>
  <c r="N416" i="4"/>
  <c r="K416" i="4" s="1"/>
  <c r="J416" i="4"/>
  <c r="I416" i="4"/>
  <c r="N412" i="4"/>
  <c r="K412" i="4" s="1"/>
  <c r="I412" i="4"/>
  <c r="J412" i="4"/>
  <c r="N408" i="4"/>
  <c r="K408" i="4" s="1"/>
  <c r="J408" i="4"/>
  <c r="I408" i="4"/>
  <c r="N404" i="4"/>
  <c r="J404" i="4" s="1"/>
  <c r="I404" i="4"/>
  <c r="N400" i="4"/>
  <c r="K400" i="4" s="1"/>
  <c r="J400" i="4"/>
  <c r="I400" i="4"/>
  <c r="N396" i="4"/>
  <c r="K396" i="4" s="1"/>
  <c r="I396" i="4"/>
  <c r="N392" i="4"/>
  <c r="K392" i="4" s="1"/>
  <c r="J392" i="4"/>
  <c r="I392" i="4"/>
  <c r="N388" i="4"/>
  <c r="J388" i="4" s="1"/>
  <c r="I388" i="4"/>
  <c r="N384" i="4"/>
  <c r="K384" i="4" s="1"/>
  <c r="J384" i="4"/>
  <c r="I384" i="4"/>
  <c r="N380" i="4"/>
  <c r="K380" i="4" s="1"/>
  <c r="I380" i="4"/>
  <c r="N376" i="4"/>
  <c r="K376" i="4" s="1"/>
  <c r="J376" i="4"/>
  <c r="I376" i="4"/>
  <c r="N372" i="4"/>
  <c r="J372" i="4" s="1"/>
  <c r="I372" i="4"/>
  <c r="N368" i="4"/>
  <c r="K368" i="4" s="1"/>
  <c r="J368" i="4"/>
  <c r="I368" i="4"/>
  <c r="N364" i="4"/>
  <c r="K364" i="4" s="1"/>
  <c r="I364" i="4"/>
  <c r="N360" i="4"/>
  <c r="K360" i="4" s="1"/>
  <c r="J360" i="4"/>
  <c r="I360" i="4"/>
  <c r="N356" i="4"/>
  <c r="J356" i="4" s="1"/>
  <c r="I356" i="4"/>
  <c r="N352" i="4"/>
  <c r="K352" i="4" s="1"/>
  <c r="J352" i="4"/>
  <c r="I352" i="4"/>
  <c r="N348" i="4"/>
  <c r="K348" i="4" s="1"/>
  <c r="I348" i="4"/>
  <c r="N344" i="4"/>
  <c r="K344" i="4" s="1"/>
  <c r="J344" i="4"/>
  <c r="I344" i="4"/>
  <c r="N340" i="4"/>
  <c r="J340" i="4" s="1"/>
  <c r="I340" i="4"/>
  <c r="N336" i="4"/>
  <c r="K336" i="4" s="1"/>
  <c r="J336" i="4"/>
  <c r="I336" i="4"/>
  <c r="N332" i="4"/>
  <c r="K332" i="4" s="1"/>
  <c r="I332" i="4"/>
  <c r="N328" i="4"/>
  <c r="K328" i="4" s="1"/>
  <c r="J328" i="4"/>
  <c r="I328" i="4"/>
  <c r="N324" i="4"/>
  <c r="J324" i="4" s="1"/>
  <c r="I324" i="4"/>
  <c r="N320" i="4"/>
  <c r="K320" i="4" s="1"/>
  <c r="J320" i="4"/>
  <c r="I320" i="4"/>
  <c r="N316" i="4"/>
  <c r="K316" i="4" s="1"/>
  <c r="I316" i="4"/>
  <c r="J316" i="4"/>
  <c r="N312" i="4"/>
  <c r="K312" i="4" s="1"/>
  <c r="J312" i="4"/>
  <c r="I312" i="4"/>
  <c r="N308" i="4"/>
  <c r="J308" i="4" s="1"/>
  <c r="I308" i="4"/>
  <c r="N304" i="4"/>
  <c r="K304" i="4" s="1"/>
  <c r="J304" i="4"/>
  <c r="I304" i="4"/>
  <c r="N300" i="4"/>
  <c r="K300" i="4" s="1"/>
  <c r="I300" i="4"/>
  <c r="J300" i="4"/>
  <c r="N296" i="4"/>
  <c r="K296" i="4" s="1"/>
  <c r="J296" i="4"/>
  <c r="I296" i="4"/>
  <c r="N292" i="4"/>
  <c r="J292" i="4" s="1"/>
  <c r="I292" i="4"/>
  <c r="N288" i="4"/>
  <c r="K288" i="4" s="1"/>
  <c r="J288" i="4"/>
  <c r="I288" i="4"/>
  <c r="N284" i="4"/>
  <c r="K284" i="4" s="1"/>
  <c r="I284" i="4"/>
  <c r="J284" i="4"/>
  <c r="N280" i="4"/>
  <c r="K280" i="4" s="1"/>
  <c r="J280" i="4"/>
  <c r="N276" i="4"/>
  <c r="K276" i="4" s="1"/>
  <c r="J276" i="4"/>
  <c r="I276" i="4"/>
  <c r="N272" i="4"/>
  <c r="K272" i="4" s="1"/>
  <c r="I272" i="4"/>
  <c r="N268" i="4"/>
  <c r="K268" i="4" s="1"/>
  <c r="J268" i="4"/>
  <c r="N264" i="4"/>
  <c r="K264" i="4" s="1"/>
  <c r="J264" i="4"/>
  <c r="N260" i="4"/>
  <c r="K260" i="4" s="1"/>
  <c r="J260" i="4"/>
  <c r="I260" i="4"/>
  <c r="N256" i="4"/>
  <c r="K256" i="4" s="1"/>
  <c r="I256" i="4"/>
  <c r="N252" i="4"/>
  <c r="K252" i="4" s="1"/>
  <c r="J252" i="4"/>
  <c r="I252" i="4"/>
  <c r="N248" i="4"/>
  <c r="K248" i="4" s="1"/>
  <c r="I248" i="4"/>
  <c r="N244" i="4"/>
  <c r="K244" i="4" s="1"/>
  <c r="J244" i="4"/>
  <c r="I244" i="4"/>
  <c r="N240" i="4"/>
  <c r="K240" i="4" s="1"/>
  <c r="I240" i="4"/>
  <c r="N236" i="4"/>
  <c r="K236" i="4" s="1"/>
  <c r="J236" i="4"/>
  <c r="I236" i="4"/>
  <c r="N232" i="4"/>
  <c r="K232" i="4" s="1"/>
  <c r="I232" i="4"/>
  <c r="N228" i="4"/>
  <c r="K228" i="4" s="1"/>
  <c r="J228" i="4"/>
  <c r="I228" i="4"/>
  <c r="N224" i="4"/>
  <c r="K224" i="4" s="1"/>
  <c r="I224" i="4"/>
  <c r="N220" i="4"/>
  <c r="K220" i="4" s="1"/>
  <c r="J220" i="4"/>
  <c r="I220" i="4"/>
  <c r="N216" i="4"/>
  <c r="K216" i="4" s="1"/>
  <c r="I216" i="4"/>
  <c r="N212" i="4"/>
  <c r="K212" i="4" s="1"/>
  <c r="J212" i="4"/>
  <c r="I212" i="4"/>
  <c r="N208" i="4"/>
  <c r="K208" i="4" s="1"/>
  <c r="I208" i="4"/>
  <c r="N204" i="4"/>
  <c r="K204" i="4" s="1"/>
  <c r="J204" i="4"/>
  <c r="I204" i="4"/>
  <c r="N200" i="4"/>
  <c r="K200" i="4" s="1"/>
  <c r="I200" i="4"/>
  <c r="N196" i="4"/>
  <c r="K196" i="4" s="1"/>
  <c r="J196" i="4"/>
  <c r="I196" i="4"/>
  <c r="N192" i="4"/>
  <c r="K192" i="4" s="1"/>
  <c r="I192" i="4"/>
  <c r="N188" i="4"/>
  <c r="K188" i="4" s="1"/>
  <c r="J188" i="4"/>
  <c r="I188" i="4"/>
  <c r="N184" i="4"/>
  <c r="K184" i="4" s="1"/>
  <c r="I184" i="4"/>
  <c r="N180" i="4"/>
  <c r="K180" i="4" s="1"/>
  <c r="I180" i="4"/>
  <c r="N176" i="4"/>
  <c r="K176" i="4" s="1"/>
  <c r="I176" i="4"/>
  <c r="N172" i="4"/>
  <c r="K172" i="4" s="1"/>
  <c r="J172" i="4"/>
  <c r="I172" i="4"/>
  <c r="N168" i="4"/>
  <c r="K168" i="4" s="1"/>
  <c r="I168" i="4"/>
  <c r="N164" i="4"/>
  <c r="K164" i="4" s="1"/>
  <c r="I164" i="4"/>
  <c r="N160" i="4"/>
  <c r="J160" i="4" s="1"/>
  <c r="I160" i="4"/>
  <c r="N156" i="4"/>
  <c r="J156" i="4"/>
  <c r="I156" i="4"/>
  <c r="N152" i="4"/>
  <c r="J152" i="4" s="1"/>
  <c r="I152" i="4"/>
  <c r="N148" i="4"/>
  <c r="K148" i="4" s="1"/>
  <c r="I148" i="4"/>
  <c r="N144" i="4"/>
  <c r="J144" i="4" s="1"/>
  <c r="I144" i="4"/>
  <c r="N140" i="4"/>
  <c r="I140" i="4"/>
  <c r="N136" i="4"/>
  <c r="I136" i="4"/>
  <c r="N132" i="4"/>
  <c r="K132" i="4" s="1"/>
  <c r="I132" i="4"/>
  <c r="J132" i="4"/>
  <c r="N128" i="4"/>
  <c r="I128" i="4"/>
  <c r="N124" i="4"/>
  <c r="K124" i="4" s="1"/>
  <c r="I124" i="4"/>
  <c r="N120" i="4"/>
  <c r="J120" i="4" s="1"/>
  <c r="I120" i="4"/>
  <c r="N116" i="4"/>
  <c r="K116" i="4" s="1"/>
  <c r="J116" i="4"/>
  <c r="I116" i="4"/>
  <c r="N112" i="4"/>
  <c r="J112" i="4" s="1"/>
  <c r="I112" i="4"/>
  <c r="N108" i="4"/>
  <c r="J108" i="4"/>
  <c r="I108" i="4"/>
  <c r="N104" i="4"/>
  <c r="K104" i="4" s="1"/>
  <c r="I104" i="4"/>
  <c r="N100" i="4"/>
  <c r="K100" i="4" s="1"/>
  <c r="J100" i="4"/>
  <c r="I100" i="4"/>
  <c r="N96" i="4"/>
  <c r="J96" i="4" s="1"/>
  <c r="I96" i="4"/>
  <c r="N92" i="4"/>
  <c r="J92" i="4"/>
  <c r="I92" i="4"/>
  <c r="N88" i="4"/>
  <c r="J88" i="4" s="1"/>
  <c r="I88" i="4"/>
  <c r="N84" i="4"/>
  <c r="K84" i="4" s="1"/>
  <c r="J84" i="4"/>
  <c r="I84" i="4"/>
  <c r="N80" i="4"/>
  <c r="K80" i="4" s="1"/>
  <c r="I80" i="4"/>
  <c r="K434" i="4"/>
  <c r="K430" i="4"/>
  <c r="K426" i="4"/>
  <c r="K422" i="4"/>
  <c r="K418" i="4"/>
  <c r="K414" i="4"/>
  <c r="K410" i="4"/>
  <c r="K406" i="4"/>
  <c r="K402" i="4"/>
  <c r="K398" i="4"/>
  <c r="K394" i="4"/>
  <c r="K390" i="4"/>
  <c r="K386" i="4"/>
  <c r="K382" i="4"/>
  <c r="K378" i="4"/>
  <c r="K374" i="4"/>
  <c r="K370" i="4"/>
  <c r="K366" i="4"/>
  <c r="K362" i="4"/>
  <c r="K358" i="4"/>
  <c r="K354" i="4"/>
  <c r="K350" i="4"/>
  <c r="K346" i="4"/>
  <c r="K342" i="4"/>
  <c r="K338" i="4"/>
  <c r="K334" i="4"/>
  <c r="K330" i="4"/>
  <c r="K326" i="4"/>
  <c r="K322" i="4"/>
  <c r="K318" i="4"/>
  <c r="K314" i="4"/>
  <c r="K310" i="4"/>
  <c r="K306" i="4"/>
  <c r="K302" i="4"/>
  <c r="K298" i="4"/>
  <c r="K294" i="4"/>
  <c r="K290" i="4"/>
  <c r="K286" i="4"/>
  <c r="K282" i="4"/>
  <c r="K278" i="4"/>
  <c r="K274" i="4"/>
  <c r="K270" i="4"/>
  <c r="K266" i="4"/>
  <c r="K262" i="4"/>
  <c r="K258" i="4"/>
  <c r="K254" i="4"/>
  <c r="K250" i="4"/>
  <c r="K246" i="4"/>
  <c r="K242" i="4"/>
  <c r="K238" i="4"/>
  <c r="K234" i="4"/>
  <c r="K230" i="4"/>
  <c r="K226" i="4"/>
  <c r="K222" i="4"/>
  <c r="K218" i="4"/>
  <c r="K214" i="4"/>
  <c r="K210" i="4"/>
  <c r="K206" i="4"/>
  <c r="K202" i="4"/>
  <c r="K198" i="4"/>
  <c r="K194" i="4"/>
  <c r="K190" i="4"/>
  <c r="K186" i="4"/>
  <c r="K182" i="4"/>
  <c r="K178" i="4"/>
  <c r="K174" i="4"/>
  <c r="K170" i="4"/>
  <c r="K166" i="4"/>
  <c r="K162" i="4"/>
  <c r="K158" i="4"/>
  <c r="K154" i="4"/>
  <c r="K150" i="4"/>
  <c r="K146" i="4"/>
  <c r="K142" i="4"/>
  <c r="K138" i="4"/>
  <c r="K134" i="4"/>
  <c r="K130" i="4"/>
  <c r="K126" i="4"/>
  <c r="K122" i="4"/>
  <c r="K118" i="4"/>
  <c r="K114" i="4"/>
  <c r="K110" i="4"/>
  <c r="K106" i="4"/>
  <c r="K102" i="4"/>
  <c r="K98" i="4"/>
  <c r="K94" i="4"/>
  <c r="K90" i="4"/>
  <c r="K86" i="4"/>
  <c r="K82" i="4"/>
  <c r="K78" i="4"/>
  <c r="K157" i="4"/>
  <c r="K145" i="4"/>
  <c r="K133" i="4"/>
  <c r="K85" i="4"/>
  <c r="K156" i="4"/>
  <c r="K152" i="4"/>
  <c r="K140" i="4"/>
  <c r="K136" i="4"/>
  <c r="K128" i="4"/>
  <c r="K120" i="4"/>
  <c r="K108" i="4"/>
  <c r="K92" i="4"/>
  <c r="K88" i="4"/>
  <c r="K139" i="4"/>
  <c r="K115" i="4"/>
  <c r="K103" i="4"/>
  <c r="K91" i="4"/>
  <c r="R932" i="1"/>
  <c r="P932" i="1"/>
  <c r="P886" i="1"/>
  <c r="R886" i="1"/>
  <c r="P873" i="1"/>
  <c r="R873" i="1"/>
  <c r="P972" i="1"/>
  <c r="P969" i="1"/>
  <c r="P965" i="1"/>
  <c r="P962" i="1"/>
  <c r="P959" i="1"/>
  <c r="P955" i="1"/>
  <c r="P952" i="1"/>
  <c r="P883" i="1"/>
  <c r="R883" i="1"/>
  <c r="P870" i="1"/>
  <c r="R870" i="1"/>
  <c r="K72" i="4"/>
  <c r="R950" i="1"/>
  <c r="R936" i="1"/>
  <c r="P936" i="1"/>
  <c r="P899" i="1"/>
  <c r="R899" i="1"/>
  <c r="R891" i="1"/>
  <c r="P891" i="1"/>
  <c r="P880" i="1"/>
  <c r="R880" i="1"/>
  <c r="P867" i="1"/>
  <c r="R867" i="1"/>
  <c r="K74" i="4"/>
  <c r="R934" i="1"/>
  <c r="P934" i="1"/>
  <c r="P877" i="1"/>
  <c r="R877" i="1"/>
  <c r="P861" i="1"/>
  <c r="P859" i="1"/>
  <c r="P853" i="1"/>
  <c r="P848" i="1"/>
  <c r="P845" i="1"/>
  <c r="P479" i="1"/>
  <c r="R477" i="1"/>
  <c r="P471" i="1"/>
  <c r="R416" i="1"/>
  <c r="R373" i="1"/>
  <c r="R351" i="1"/>
  <c r="P284" i="1"/>
  <c r="R269" i="1"/>
  <c r="R215" i="1"/>
  <c r="P147" i="1"/>
  <c r="P96" i="1"/>
  <c r="P74" i="1"/>
  <c r="N76" i="4"/>
  <c r="K76" i="4" s="1"/>
  <c r="I76" i="4"/>
  <c r="N72" i="4"/>
  <c r="J72" i="4" s="1"/>
  <c r="I72" i="4"/>
  <c r="I66" i="4"/>
  <c r="N66" i="4"/>
  <c r="J66" i="4" s="1"/>
  <c r="Q66" i="4"/>
  <c r="I58" i="4"/>
  <c r="N58" i="4"/>
  <c r="J58" i="4" s="1"/>
  <c r="Q58" i="4"/>
  <c r="I50" i="4"/>
  <c r="N50" i="4"/>
  <c r="J50" i="4" s="1"/>
  <c r="Q50" i="4"/>
  <c r="I42" i="4"/>
  <c r="N42" i="4"/>
  <c r="J42" i="4" s="1"/>
  <c r="Q42" i="4"/>
  <c r="I34" i="4"/>
  <c r="N34" i="4"/>
  <c r="J34" i="4" s="1"/>
  <c r="Q34" i="4"/>
  <c r="I26" i="4"/>
  <c r="N26" i="4"/>
  <c r="J26" i="4" s="1"/>
  <c r="Q26" i="4"/>
  <c r="K18" i="4"/>
  <c r="R695" i="1"/>
  <c r="R661" i="1"/>
  <c r="P598" i="1"/>
  <c r="R596" i="1"/>
  <c r="P581" i="1"/>
  <c r="P575" i="1"/>
  <c r="R572" i="1"/>
  <c r="R547" i="1"/>
  <c r="P491" i="1"/>
  <c r="R489" i="1"/>
  <c r="P468" i="1"/>
  <c r="P436" i="1"/>
  <c r="P389" i="1"/>
  <c r="P332" i="1"/>
  <c r="R326" i="1"/>
  <c r="P312" i="1"/>
  <c r="P303" i="1"/>
  <c r="Q64" i="4"/>
  <c r="I64" i="4"/>
  <c r="N64" i="4"/>
  <c r="K64" i="4" s="1"/>
  <c r="I56" i="4"/>
  <c r="N56" i="4"/>
  <c r="K56" i="4" s="1"/>
  <c r="K54" i="4"/>
  <c r="I48" i="4"/>
  <c r="N48" i="4"/>
  <c r="K48" i="4" s="1"/>
  <c r="Q40" i="4"/>
  <c r="I40" i="4"/>
  <c r="N40" i="4"/>
  <c r="K40" i="4" s="1"/>
  <c r="Q32" i="4"/>
  <c r="I32" i="4"/>
  <c r="N32" i="4"/>
  <c r="K32" i="4" s="1"/>
  <c r="I22" i="4"/>
  <c r="N22" i="4"/>
  <c r="K22" i="4" s="1"/>
  <c r="Q22" i="4"/>
  <c r="R907" i="1"/>
  <c r="R895" i="1"/>
  <c r="P854" i="1"/>
  <c r="R815" i="1"/>
  <c r="R691" i="1"/>
  <c r="P680" i="1"/>
  <c r="R679" i="1"/>
  <c r="R618" i="1"/>
  <c r="R604" i="1"/>
  <c r="P591" i="1"/>
  <c r="R568" i="1"/>
  <c r="R544" i="1"/>
  <c r="R184" i="1"/>
  <c r="Q76" i="4"/>
  <c r="N74" i="4"/>
  <c r="J74" i="4" s="1"/>
  <c r="Q72" i="4"/>
  <c r="N70" i="4"/>
  <c r="J69" i="4"/>
  <c r="K68" i="4"/>
  <c r="J64" i="4"/>
  <c r="J63" i="4"/>
  <c r="I62" i="4"/>
  <c r="N62" i="4"/>
  <c r="J62" i="4" s="1"/>
  <c r="Q62" i="4"/>
  <c r="Q57" i="4"/>
  <c r="J56" i="4"/>
  <c r="J55" i="4"/>
  <c r="I54" i="4"/>
  <c r="N54" i="4"/>
  <c r="J54" i="4" s="1"/>
  <c r="Q54" i="4"/>
  <c r="Q49" i="4"/>
  <c r="J48" i="4"/>
  <c r="J47" i="4"/>
  <c r="I46" i="4"/>
  <c r="N46" i="4"/>
  <c r="J46" i="4" s="1"/>
  <c r="Q46" i="4"/>
  <c r="J40" i="4"/>
  <c r="J39" i="4"/>
  <c r="I38" i="4"/>
  <c r="N38" i="4"/>
  <c r="J38" i="4" s="1"/>
  <c r="Q38" i="4"/>
  <c r="J32" i="4"/>
  <c r="J31" i="4"/>
  <c r="I30" i="4"/>
  <c r="N30" i="4"/>
  <c r="J30" i="4" s="1"/>
  <c r="Q30" i="4"/>
  <c r="J23" i="4"/>
  <c r="J19" i="4"/>
  <c r="P884" i="1"/>
  <c r="P881" i="1"/>
  <c r="P878" i="1"/>
  <c r="P874" i="1"/>
  <c r="P871" i="1"/>
  <c r="P868" i="1"/>
  <c r="P865" i="1"/>
  <c r="P851" i="1"/>
  <c r="R837" i="1"/>
  <c r="R809" i="1"/>
  <c r="P683" i="1"/>
  <c r="P633" i="1"/>
  <c r="P586" i="1"/>
  <c r="P583" i="1"/>
  <c r="P577" i="1"/>
  <c r="R561" i="1"/>
  <c r="P453" i="1"/>
  <c r="P425" i="1"/>
  <c r="R390" i="1"/>
  <c r="P368" i="1"/>
  <c r="P337" i="1"/>
  <c r="R320" i="1"/>
  <c r="P315" i="1"/>
  <c r="R304" i="1"/>
  <c r="R229" i="1"/>
  <c r="R167" i="1"/>
  <c r="P126" i="1"/>
  <c r="P47" i="1"/>
  <c r="N75" i="4"/>
  <c r="K75" i="4" s="1"/>
  <c r="N71" i="4"/>
  <c r="K71" i="4" s="1"/>
  <c r="Q69" i="4"/>
  <c r="I68" i="4"/>
  <c r="N68" i="4"/>
  <c r="J68" i="4" s="1"/>
  <c r="K66" i="4"/>
  <c r="Q60" i="4"/>
  <c r="I60" i="4"/>
  <c r="N60" i="4"/>
  <c r="J60" i="4" s="1"/>
  <c r="K58" i="4"/>
  <c r="Q55" i="4"/>
  <c r="I52" i="4"/>
  <c r="N52" i="4"/>
  <c r="J52" i="4" s="1"/>
  <c r="K50" i="4"/>
  <c r="Q47" i="4"/>
  <c r="Q44" i="4"/>
  <c r="I44" i="4"/>
  <c r="N44" i="4"/>
  <c r="J44" i="4" s="1"/>
  <c r="K42" i="4"/>
  <c r="Q36" i="4"/>
  <c r="I36" i="4"/>
  <c r="N36" i="4"/>
  <c r="J36" i="4" s="1"/>
  <c r="K34" i="4"/>
  <c r="Q28" i="4"/>
  <c r="I28" i="4"/>
  <c r="N28" i="4"/>
  <c r="J28" i="4" s="1"/>
  <c r="K26" i="4"/>
  <c r="N24" i="4"/>
  <c r="J24" i="4" s="1"/>
  <c r="I24" i="4"/>
  <c r="N20" i="4"/>
  <c r="J20" i="4" s="1"/>
  <c r="I20" i="4"/>
  <c r="Q18" i="4"/>
  <c r="N16" i="4"/>
  <c r="J16" i="4" s="1"/>
  <c r="I16" i="4"/>
  <c r="Q14" i="4"/>
  <c r="N12" i="4"/>
  <c r="J12" i="4" s="1"/>
  <c r="I12" i="4"/>
  <c r="Q10" i="4"/>
  <c r="N8" i="4"/>
  <c r="J8" i="4" s="1"/>
  <c r="I8" i="4"/>
  <c r="Q6" i="4"/>
  <c r="N4" i="4"/>
  <c r="J4" i="4" s="1"/>
  <c r="I4" i="4"/>
  <c r="J18" i="4"/>
  <c r="J10" i="4"/>
  <c r="Q7" i="4"/>
  <c r="Q3" i="4"/>
  <c r="J2" i="4"/>
  <c r="N18" i="4"/>
  <c r="N14" i="4"/>
  <c r="K14" i="4" s="1"/>
  <c r="N10" i="4"/>
  <c r="K10" i="4" s="1"/>
  <c r="N6" i="4"/>
  <c r="K6" i="4" s="1"/>
  <c r="N2" i="4"/>
  <c r="K2" i="4" s="1"/>
  <c r="K997" i="1"/>
  <c r="M997" i="1"/>
  <c r="M990" i="1"/>
  <c r="K990" i="1"/>
  <c r="K984" i="1"/>
  <c r="M984" i="1"/>
  <c r="M978" i="1"/>
  <c r="K978" i="1"/>
  <c r="K947" i="1"/>
  <c r="M947" i="1"/>
  <c r="M915" i="1"/>
  <c r="K915" i="1"/>
  <c r="M727" i="1"/>
  <c r="M613" i="1"/>
  <c r="M424" i="1"/>
  <c r="M725" i="1"/>
  <c r="M247" i="1"/>
  <c r="K174" i="1"/>
  <c r="M122" i="1"/>
  <c r="M995" i="1"/>
  <c r="K995" i="1"/>
  <c r="M976" i="1"/>
  <c r="K976" i="1"/>
  <c r="M902" i="1"/>
  <c r="K902" i="1"/>
  <c r="K792" i="1"/>
  <c r="M792" i="1"/>
  <c r="M718" i="1"/>
  <c r="K718" i="1"/>
  <c r="M690" i="1"/>
  <c r="K690" i="1"/>
  <c r="M619" i="1"/>
  <c r="K619" i="1"/>
  <c r="M607" i="1"/>
  <c r="K607" i="1"/>
  <c r="M567" i="1"/>
  <c r="K567" i="1"/>
  <c r="K516" i="1"/>
  <c r="K443" i="1"/>
  <c r="K422" i="1"/>
  <c r="M383" i="1"/>
  <c r="M348" i="1"/>
  <c r="M994" i="1"/>
  <c r="K994" i="1"/>
  <c r="K981" i="1"/>
  <c r="M981" i="1"/>
  <c r="K968" i="1"/>
  <c r="M968" i="1"/>
  <c r="K896" i="1"/>
  <c r="M896" i="1"/>
  <c r="K843" i="1"/>
  <c r="M843" i="1"/>
  <c r="M825" i="1"/>
  <c r="K825" i="1"/>
  <c r="K790" i="1"/>
  <c r="M790" i="1"/>
  <c r="M766" i="1"/>
  <c r="K766" i="1"/>
  <c r="K717" i="1"/>
  <c r="M717" i="1"/>
  <c r="M700" i="1"/>
  <c r="K700" i="1"/>
  <c r="M684" i="1"/>
  <c r="K684" i="1"/>
  <c r="K662" i="1"/>
  <c r="M662" i="1"/>
  <c r="M637" i="1"/>
  <c r="K637" i="1"/>
  <c r="M616" i="1"/>
  <c r="K616" i="1"/>
  <c r="M606" i="1"/>
  <c r="K606" i="1"/>
  <c r="M540" i="1"/>
  <c r="M497" i="1"/>
  <c r="M999" i="1"/>
  <c r="K999" i="1"/>
  <c r="M993" i="1"/>
  <c r="K993" i="1"/>
  <c r="M986" i="1"/>
  <c r="K986" i="1"/>
  <c r="K980" i="1"/>
  <c r="M980" i="1"/>
  <c r="M956" i="1"/>
  <c r="K956" i="1"/>
  <c r="M919" i="1"/>
  <c r="K919" i="1"/>
  <c r="M876" i="1"/>
  <c r="K876" i="1"/>
  <c r="M841" i="1"/>
  <c r="K841" i="1"/>
  <c r="M823" i="1"/>
  <c r="K823" i="1"/>
  <c r="M785" i="1"/>
  <c r="K785" i="1"/>
  <c r="M765" i="1"/>
  <c r="K765" i="1"/>
  <c r="M735" i="1"/>
  <c r="K735" i="1"/>
  <c r="K706" i="1"/>
  <c r="M706" i="1"/>
  <c r="M699" i="1"/>
  <c r="K699" i="1"/>
  <c r="M677" i="1"/>
  <c r="K677" i="1"/>
  <c r="M659" i="1"/>
  <c r="K659" i="1"/>
  <c r="M632" i="1"/>
  <c r="K632" i="1"/>
  <c r="K615" i="1"/>
  <c r="M615" i="1"/>
  <c r="K601" i="1"/>
  <c r="M601" i="1"/>
  <c r="M579" i="1"/>
  <c r="K579" i="1"/>
  <c r="K560" i="1"/>
  <c r="M560" i="1"/>
  <c r="M536" i="1"/>
  <c r="K536" i="1"/>
  <c r="M525" i="1"/>
  <c r="K525" i="1"/>
  <c r="K493" i="1"/>
  <c r="M493" i="1"/>
  <c r="M473" i="1"/>
  <c r="K473" i="1"/>
  <c r="K458" i="1"/>
  <c r="M458" i="1"/>
  <c r="K449" i="1"/>
  <c r="M449" i="1"/>
  <c r="M441" i="1"/>
  <c r="K441" i="1"/>
  <c r="K431" i="1"/>
  <c r="M431" i="1"/>
  <c r="K418" i="1"/>
  <c r="M418" i="1"/>
  <c r="K406" i="1"/>
  <c r="M406" i="1"/>
  <c r="M399" i="1"/>
  <c r="K399" i="1"/>
  <c r="K392" i="1"/>
  <c r="M392" i="1"/>
  <c r="M381" i="1"/>
  <c r="K381" i="1"/>
  <c r="M360" i="1"/>
  <c r="K360" i="1"/>
  <c r="M353" i="1"/>
  <c r="K353" i="1"/>
  <c r="M344" i="1"/>
  <c r="K344" i="1"/>
  <c r="M335" i="1"/>
  <c r="K335" i="1"/>
  <c r="K325" i="1"/>
  <c r="M325" i="1"/>
  <c r="M314" i="1"/>
  <c r="K314" i="1"/>
  <c r="M296" i="1"/>
  <c r="K296" i="1"/>
  <c r="M287" i="1"/>
  <c r="K287" i="1"/>
  <c r="K271" i="1"/>
  <c r="M271" i="1"/>
  <c r="M260" i="1"/>
  <c r="K260" i="1"/>
  <c r="M252" i="1"/>
  <c r="K252" i="1"/>
  <c r="M239" i="1"/>
  <c r="K239" i="1"/>
  <c r="K228" i="1"/>
  <c r="M228" i="1"/>
  <c r="M218" i="1"/>
  <c r="K218" i="1"/>
  <c r="M209" i="1"/>
  <c r="K209" i="1"/>
  <c r="M196" i="1"/>
  <c r="K196" i="1"/>
  <c r="M185" i="1"/>
  <c r="M176" i="1"/>
  <c r="K170" i="1"/>
  <c r="M149" i="1"/>
  <c r="M139" i="1"/>
  <c r="K133" i="1"/>
  <c r="M118" i="1"/>
  <c r="M112" i="1"/>
  <c r="M105" i="1"/>
  <c r="M98" i="1"/>
  <c r="K85" i="1"/>
  <c r="M76" i="1"/>
  <c r="K69" i="1"/>
  <c r="K63" i="1"/>
  <c r="M56" i="1"/>
  <c r="K42" i="1"/>
  <c r="K36" i="1"/>
  <c r="M23" i="1"/>
  <c r="M17" i="1"/>
  <c r="M11" i="1"/>
  <c r="M5" i="1"/>
  <c r="K974" i="1"/>
  <c r="L974" i="1" s="1"/>
  <c r="K641" i="1"/>
  <c r="K555" i="1"/>
  <c r="K404" i="1"/>
  <c r="M279" i="1"/>
  <c r="M205" i="1"/>
  <c r="M570" i="1"/>
  <c r="K137" i="1"/>
  <c r="M998" i="1"/>
  <c r="K998" i="1"/>
  <c r="M992" i="1"/>
  <c r="K992" i="1"/>
  <c r="M985" i="1"/>
  <c r="K985" i="1"/>
  <c r="M979" i="1"/>
  <c r="K979" i="1"/>
  <c r="M948" i="1"/>
  <c r="K948" i="1"/>
  <c r="M916" i="1"/>
  <c r="K916" i="1"/>
  <c r="K863" i="1"/>
  <c r="M863" i="1"/>
  <c r="K839" i="1"/>
  <c r="M839" i="1"/>
  <c r="M808" i="1"/>
  <c r="K808" i="1"/>
  <c r="M784" i="1"/>
  <c r="K784" i="1"/>
  <c r="M759" i="1"/>
  <c r="K759" i="1"/>
  <c r="K729" i="1"/>
  <c r="M729" i="1"/>
  <c r="K705" i="1"/>
  <c r="M705" i="1"/>
  <c r="M697" i="1"/>
  <c r="K697" i="1"/>
  <c r="M671" i="1"/>
  <c r="K671" i="1"/>
  <c r="M644" i="1"/>
  <c r="K644" i="1"/>
  <c r="K627" i="1"/>
  <c r="M627" i="1"/>
  <c r="K614" i="1"/>
  <c r="M614" i="1"/>
  <c r="M578" i="1"/>
  <c r="M558" i="1"/>
  <c r="M464" i="1"/>
  <c r="K457" i="1"/>
  <c r="M417" i="1"/>
  <c r="K405" i="1"/>
  <c r="M398" i="1"/>
  <c r="M391" i="1"/>
  <c r="K372" i="1"/>
  <c r="M359" i="1"/>
  <c r="K343" i="1"/>
  <c r="K324" i="1"/>
  <c r="K311" i="1"/>
  <c r="K295" i="1"/>
  <c r="M270" i="1"/>
  <c r="K259" i="1"/>
  <c r="M251" i="1"/>
  <c r="M237" i="1"/>
  <c r="M227" i="1"/>
  <c r="M214" i="1"/>
  <c r="M183" i="1"/>
  <c r="K169" i="1"/>
  <c r="M160" i="1"/>
  <c r="M144" i="1"/>
  <c r="M138" i="1"/>
  <c r="K132" i="1"/>
  <c r="M117" i="1"/>
  <c r="M110" i="1"/>
  <c r="M104" i="1"/>
  <c r="M97" i="1"/>
  <c r="M90" i="1"/>
  <c r="K81" i="1"/>
  <c r="K75" i="1"/>
  <c r="M68" i="1"/>
  <c r="K62" i="1"/>
  <c r="K55" i="1"/>
  <c r="K48" i="1"/>
  <c r="M29" i="1"/>
  <c r="M22" i="1"/>
  <c r="K16" i="1"/>
  <c r="K10" i="1"/>
  <c r="M975" i="1"/>
  <c r="N975" i="1" s="1"/>
  <c r="K623" i="1"/>
  <c r="M462" i="1"/>
  <c r="M357" i="1"/>
  <c r="M258" i="1"/>
  <c r="K192" i="1"/>
  <c r="M34" i="1"/>
  <c r="K15" i="1"/>
  <c r="K9" i="1"/>
  <c r="M3" i="1"/>
  <c r="M991" i="1"/>
  <c r="N991" i="1" s="1"/>
  <c r="M151" i="1"/>
  <c r="M488" i="1"/>
  <c r="K397" i="1"/>
  <c r="K342" i="1"/>
  <c r="M235" i="1"/>
  <c r="M168" i="1"/>
  <c r="M109" i="1"/>
  <c r="M103" i="1"/>
  <c r="K95" i="1"/>
  <c r="M73" i="1"/>
  <c r="M67" i="1"/>
  <c r="K60" i="1"/>
  <c r="K54" i="1"/>
  <c r="M46" i="1"/>
  <c r="M40" i="1"/>
  <c r="M996" i="1"/>
  <c r="K996" i="1"/>
  <c r="M989" i="1"/>
  <c r="K989" i="1"/>
  <c r="K983" i="1"/>
  <c r="M983" i="1"/>
  <c r="M977" i="1"/>
  <c r="K977" i="1"/>
  <c r="K846" i="1"/>
  <c r="M846" i="1"/>
  <c r="M905" i="1"/>
  <c r="K905" i="1"/>
  <c r="M204" i="1"/>
  <c r="K204" i="1"/>
  <c r="L533" i="1" s="1"/>
  <c r="M942" i="1"/>
  <c r="K942" i="1"/>
  <c r="K797" i="1"/>
  <c r="M797" i="1"/>
  <c r="K770" i="1"/>
  <c r="M770" i="1"/>
  <c r="K756" i="1"/>
  <c r="M756" i="1"/>
  <c r="M722" i="1"/>
  <c r="K722" i="1"/>
  <c r="M702" i="1"/>
  <c r="K702" i="1"/>
  <c r="M692" i="1"/>
  <c r="K692" i="1"/>
  <c r="M667" i="1"/>
  <c r="K667" i="1"/>
  <c r="M639" i="1"/>
  <c r="K639" i="1"/>
  <c r="M622" i="1"/>
  <c r="K622" i="1"/>
  <c r="M609" i="1"/>
  <c r="K609" i="1"/>
  <c r="K593" i="1"/>
  <c r="M593" i="1"/>
  <c r="K120" i="1"/>
  <c r="M120" i="1"/>
  <c r="M552" i="1"/>
  <c r="K552" i="1"/>
  <c r="K532" i="1"/>
  <c r="M532" i="1"/>
  <c r="M517" i="1"/>
  <c r="K517" i="1"/>
  <c r="M483" i="1"/>
  <c r="K483" i="1"/>
  <c r="M461" i="1"/>
  <c r="K461" i="1"/>
  <c r="K454" i="1"/>
  <c r="M454" i="1"/>
  <c r="M444" i="1"/>
  <c r="K444" i="1"/>
  <c r="M435" i="1"/>
  <c r="K435" i="1"/>
  <c r="M423" i="1"/>
  <c r="K423" i="1"/>
  <c r="M413" i="1"/>
  <c r="K413" i="1"/>
  <c r="M403" i="1"/>
  <c r="K403" i="1"/>
  <c r="K396" i="1"/>
  <c r="M396" i="1"/>
  <c r="K384" i="1"/>
  <c r="M384" i="1"/>
  <c r="K364" i="1"/>
  <c r="M364" i="1"/>
  <c r="M356" i="1"/>
  <c r="K356" i="1"/>
  <c r="M349" i="1"/>
  <c r="K349" i="1"/>
  <c r="K340" i="1"/>
  <c r="M340" i="1"/>
  <c r="M329" i="1"/>
  <c r="K329" i="1"/>
  <c r="M322" i="1"/>
  <c r="K322" i="1"/>
  <c r="K301" i="1"/>
  <c r="M301" i="1"/>
  <c r="K292" i="1"/>
  <c r="M292" i="1"/>
  <c r="K276" i="1"/>
  <c r="M276" i="1"/>
  <c r="K244" i="1"/>
  <c r="K234" i="1"/>
  <c r="M225" i="1"/>
  <c r="M212" i="1"/>
  <c r="K201" i="1"/>
  <c r="K179" i="1"/>
  <c r="M166" i="1"/>
  <c r="K136" i="1"/>
  <c r="K130" i="1"/>
  <c r="M115" i="1"/>
  <c r="K108" i="1"/>
  <c r="K102" i="1"/>
  <c r="M94" i="1"/>
  <c r="M88" i="1"/>
  <c r="M79" i="1"/>
  <c r="K72" i="1"/>
  <c r="M59" i="1"/>
  <c r="M53" i="1"/>
  <c r="M45" i="1"/>
  <c r="M39" i="1"/>
  <c r="M33" i="1"/>
  <c r="M27" i="1"/>
  <c r="K20" i="1"/>
  <c r="K14" i="1"/>
  <c r="K8" i="1"/>
  <c r="K907" i="1"/>
  <c r="L907" i="1" s="1"/>
  <c r="M703" i="1"/>
  <c r="K595" i="1"/>
  <c r="M456" i="1"/>
  <c r="M350" i="1"/>
  <c r="K268" i="1"/>
  <c r="M182" i="1"/>
  <c r="M116" i="1"/>
  <c r="M982" i="1"/>
  <c r="K982" i="1"/>
  <c r="K30" i="1"/>
  <c r="M30" i="1"/>
  <c r="M753" i="1"/>
  <c r="K753" i="1"/>
  <c r="M666" i="1"/>
  <c r="K666" i="1"/>
  <c r="K542" i="1"/>
  <c r="M542" i="1"/>
  <c r="K480" i="1"/>
  <c r="K434" i="1"/>
  <c r="K831" i="1"/>
  <c r="M355" i="1"/>
  <c r="K339" i="1"/>
  <c r="K299" i="1"/>
  <c r="K291" i="1"/>
  <c r="M274" i="1"/>
  <c r="K266" i="1"/>
  <c r="K256" i="1"/>
  <c r="M243" i="1"/>
  <c r="M232" i="1"/>
  <c r="M220" i="1"/>
  <c r="M211" i="1"/>
  <c r="K198" i="1"/>
  <c r="M189" i="1"/>
  <c r="M178" i="1"/>
  <c r="M172" i="1"/>
  <c r="K164" i="1"/>
  <c r="K153" i="1"/>
  <c r="K141" i="1"/>
  <c r="K135" i="1"/>
  <c r="K129" i="1"/>
  <c r="M152" i="1"/>
  <c r="M107" i="1"/>
  <c r="K101" i="1"/>
  <c r="K93" i="1"/>
  <c r="K87" i="1"/>
  <c r="M78" i="1"/>
  <c r="M71" i="1"/>
  <c r="M65" i="1"/>
  <c r="K58" i="1"/>
  <c r="M52" i="1"/>
  <c r="K44" i="1"/>
  <c r="K38" i="1"/>
  <c r="K32" i="1"/>
  <c r="K25" i="1"/>
  <c r="K19" i="1"/>
  <c r="M13" i="1"/>
  <c r="K7" i="1"/>
  <c r="M26" i="1"/>
  <c r="M668" i="1"/>
  <c r="K574" i="1"/>
  <c r="K414" i="1"/>
  <c r="M293" i="1"/>
  <c r="M226" i="1"/>
  <c r="M155" i="1"/>
  <c r="K131" i="1"/>
  <c r="M1001" i="1"/>
  <c r="K1001" i="1"/>
  <c r="M988" i="1"/>
  <c r="K988" i="1"/>
  <c r="M500" i="1"/>
  <c r="K500" i="1"/>
  <c r="L664" i="1" s="1"/>
  <c r="M826" i="1"/>
  <c r="K826" i="1"/>
  <c r="M767" i="1"/>
  <c r="K767" i="1"/>
  <c r="M701" i="1"/>
  <c r="K701" i="1"/>
  <c r="M638" i="1"/>
  <c r="K638" i="1"/>
  <c r="M589" i="1"/>
  <c r="K589" i="1"/>
  <c r="K529" i="1"/>
  <c r="K451" i="1"/>
  <c r="M412" i="1"/>
  <c r="K363" i="1"/>
  <c r="K328" i="1"/>
  <c r="M1000" i="1"/>
  <c r="K1000" i="1"/>
  <c r="M987" i="1"/>
  <c r="K987" i="1"/>
  <c r="M158" i="1"/>
  <c r="K158" i="1"/>
  <c r="L927" i="1" s="1"/>
  <c r="M749" i="1"/>
  <c r="K749" i="1"/>
  <c r="M143" i="1"/>
  <c r="M527" i="1"/>
  <c r="M476" i="1"/>
  <c r="K419" i="1"/>
  <c r="M382" i="1"/>
  <c r="M354" i="1"/>
  <c r="M345" i="1"/>
  <c r="K338" i="1"/>
  <c r="K316" i="1"/>
  <c r="K297" i="1"/>
  <c r="K288" i="1"/>
  <c r="K273" i="1"/>
  <c r="M242" i="1"/>
  <c r="K219" i="1"/>
  <c r="K210" i="1"/>
  <c r="M177" i="1"/>
  <c r="K171" i="1"/>
  <c r="K163" i="1"/>
  <c r="M150" i="1"/>
  <c r="M134" i="1"/>
  <c r="M128" i="1"/>
  <c r="M113" i="1"/>
  <c r="M70" i="1"/>
  <c r="K37" i="1"/>
  <c r="K31" i="1"/>
  <c r="M24" i="1"/>
  <c r="M18" i="1"/>
  <c r="K588" i="1"/>
  <c r="M588" i="1"/>
  <c r="M459" i="1"/>
  <c r="K450" i="1"/>
  <c r="M442" i="1"/>
  <c r="M433" i="1"/>
  <c r="M409" i="1"/>
  <c r="M400" i="1"/>
  <c r="M394" i="1"/>
  <c r="M362" i="1"/>
  <c r="M327" i="1"/>
  <c r="M261" i="1"/>
  <c r="M253" i="1"/>
  <c r="M230" i="1"/>
  <c r="M197" i="1"/>
  <c r="M186" i="1"/>
  <c r="M140" i="1"/>
  <c r="M119" i="1"/>
  <c r="M106" i="1"/>
  <c r="M100" i="1"/>
  <c r="M92" i="1"/>
  <c r="M86" i="1"/>
  <c r="M77" i="1"/>
  <c r="M64" i="1"/>
  <c r="M57" i="1"/>
  <c r="M51" i="1"/>
  <c r="M43" i="1"/>
  <c r="M12" i="1"/>
  <c r="M6" i="1"/>
  <c r="K6" i="1"/>
  <c r="K43" i="1"/>
  <c r="K97" i="1"/>
  <c r="K139" i="1"/>
  <c r="K13" i="1"/>
  <c r="K56" i="1"/>
  <c r="K98" i="1"/>
  <c r="K51" i="1"/>
  <c r="K22" i="1"/>
  <c r="K65" i="1"/>
  <c r="K107" i="1"/>
  <c r="K570" i="1"/>
  <c r="K122" i="1"/>
  <c r="K176" i="1"/>
  <c r="K242" i="1"/>
  <c r="K398" i="1"/>
  <c r="K464" i="1"/>
  <c r="K578" i="1"/>
  <c r="K177" i="1"/>
  <c r="K225" i="1"/>
  <c r="K279" i="1"/>
  <c r="K345" i="1"/>
  <c r="K417" i="1"/>
  <c r="K34" i="1"/>
  <c r="K70" i="1"/>
  <c r="K112" i="1"/>
  <c r="K160" i="1"/>
  <c r="K214" i="1"/>
  <c r="K274" i="1"/>
  <c r="K152" i="1"/>
  <c r="L693" i="1" s="1"/>
  <c r="K253" i="1"/>
  <c r="K725" i="1"/>
  <c r="L930" i="1" s="1"/>
  <c r="K703" i="1"/>
  <c r="K668" i="1"/>
  <c r="K540" i="1"/>
  <c r="K151" i="1"/>
  <c r="L83" i="1" s="1"/>
  <c r="K400" i="1"/>
  <c r="K348" i="1"/>
  <c r="K456" i="1"/>
  <c r="M32" i="1"/>
  <c r="M10" i="1"/>
  <c r="M131" i="1"/>
  <c r="M9" i="1"/>
  <c r="M130" i="1"/>
  <c r="M299" i="1"/>
  <c r="M419" i="1"/>
  <c r="M858" i="1"/>
  <c r="M42" i="1"/>
  <c r="M102" i="1"/>
  <c r="M192" i="1"/>
  <c r="M372" i="1"/>
  <c r="M31" i="1"/>
  <c r="M163" i="1"/>
  <c r="M397" i="1"/>
  <c r="M595" i="1"/>
  <c r="M757" i="1"/>
  <c r="M338" i="1"/>
  <c r="M404" i="1"/>
  <c r="M776" i="1"/>
  <c r="M2" i="1"/>
  <c r="M63" i="1"/>
  <c r="M129" i="1"/>
  <c r="M219" i="1"/>
  <c r="M291" i="1"/>
  <c r="M266" i="1"/>
  <c r="K971" i="1"/>
  <c r="L971" i="1" s="1"/>
  <c r="M971" i="1"/>
  <c r="N971" i="1" s="1"/>
  <c r="K963" i="1"/>
  <c r="L963" i="1" s="1"/>
  <c r="M962" i="1"/>
  <c r="N962" i="1" s="1"/>
  <c r="K953" i="1"/>
  <c r="L953" i="1" s="1"/>
  <c r="M952" i="1"/>
  <c r="N952" i="1" s="1"/>
  <c r="M945" i="1"/>
  <c r="N945" i="1" s="1"/>
  <c r="K932" i="1"/>
  <c r="L932" i="1" s="1"/>
  <c r="M929" i="1"/>
  <c r="N929" i="1" s="1"/>
  <c r="M925" i="1"/>
  <c r="N925" i="1" s="1"/>
  <c r="P910" i="1"/>
  <c r="R910" i="1"/>
  <c r="M904" i="1"/>
  <c r="N904" i="1" s="1"/>
  <c r="K836" i="1"/>
  <c r="L836" i="1" s="1"/>
  <c r="M161" i="1"/>
  <c r="M127" i="1"/>
  <c r="M91" i="1"/>
  <c r="M85" i="1"/>
  <c r="M49" i="1"/>
  <c r="M36" i="1"/>
  <c r="M696" i="1"/>
  <c r="K12" i="1"/>
  <c r="K49" i="1"/>
  <c r="K103" i="1"/>
  <c r="K104" i="1"/>
  <c r="K57" i="1"/>
  <c r="K29" i="1"/>
  <c r="K71" i="1"/>
  <c r="K113" i="1"/>
  <c r="K149" i="1"/>
  <c r="K128" i="1"/>
  <c r="K182" i="1"/>
  <c r="K350" i="1"/>
  <c r="K476" i="1"/>
  <c r="K183" i="1"/>
  <c r="K237" i="1"/>
  <c r="K357" i="1"/>
  <c r="K3" i="1"/>
  <c r="L3" i="1" s="1"/>
  <c r="K40" i="1"/>
  <c r="K76" i="1"/>
  <c r="K118" i="1"/>
  <c r="K166" i="1"/>
  <c r="K220" i="1"/>
  <c r="K227" i="1"/>
  <c r="K293" i="1"/>
  <c r="K497" i="1"/>
  <c r="K5" i="1"/>
  <c r="L5" i="1" s="1"/>
  <c r="K78" i="1"/>
  <c r="K186" i="1"/>
  <c r="K127" i="1"/>
  <c r="K409" i="1"/>
  <c r="K613" i="1"/>
  <c r="K727" i="1"/>
  <c r="K558" i="1"/>
  <c r="K838" i="1"/>
  <c r="K354" i="1"/>
  <c r="M38" i="1"/>
  <c r="M16" i="1"/>
  <c r="M137" i="1"/>
  <c r="M15" i="1"/>
  <c r="M136" i="1"/>
  <c r="M316" i="1"/>
  <c r="M574" i="1"/>
  <c r="M311" i="1"/>
  <c r="M623" i="1"/>
  <c r="M48" i="1"/>
  <c r="M108" i="1"/>
  <c r="M198" i="1"/>
  <c r="M288" i="1"/>
  <c r="M37" i="1"/>
  <c r="M169" i="1"/>
  <c r="M295" i="1"/>
  <c r="M44" i="1"/>
  <c r="M422" i="1"/>
  <c r="M806" i="1"/>
  <c r="M8" i="1"/>
  <c r="M69" i="1"/>
  <c r="M135" i="1"/>
  <c r="M297" i="1"/>
  <c r="M973" i="1"/>
  <c r="N973" i="1" s="1"/>
  <c r="K961" i="1"/>
  <c r="L961" i="1" s="1"/>
  <c r="M951" i="1"/>
  <c r="N951" i="1" s="1"/>
  <c r="K945" i="1"/>
  <c r="L945" i="1" s="1"/>
  <c r="M944" i="1"/>
  <c r="N944" i="1" s="1"/>
  <c r="M939" i="1"/>
  <c r="N939" i="1" s="1"/>
  <c r="M937" i="1"/>
  <c r="N937" i="1" s="1"/>
  <c r="K929" i="1"/>
  <c r="L929" i="1" s="1"/>
  <c r="P922" i="1"/>
  <c r="R922" i="1"/>
  <c r="M914" i="1"/>
  <c r="N914" i="1" s="1"/>
  <c r="K913" i="1"/>
  <c r="L913" i="1" s="1"/>
  <c r="K909" i="1"/>
  <c r="L909" i="1" s="1"/>
  <c r="M600" i="1"/>
  <c r="K534" i="1"/>
  <c r="M519" i="1"/>
  <c r="M492" i="1"/>
  <c r="M448" i="1"/>
  <c r="M440" i="1"/>
  <c r="M426" i="1"/>
  <c r="K426" i="1"/>
  <c r="K352" i="1"/>
  <c r="M343" i="1"/>
  <c r="M333" i="1"/>
  <c r="M281" i="1"/>
  <c r="M259" i="1"/>
  <c r="M206" i="1"/>
  <c r="M193" i="1"/>
  <c r="M175" i="1"/>
  <c r="M132" i="1"/>
  <c r="M125" i="1"/>
  <c r="M62" i="1"/>
  <c r="M41" i="1"/>
  <c r="M35" i="1"/>
  <c r="M4" i="1"/>
  <c r="K18" i="1"/>
  <c r="K67" i="1"/>
  <c r="K109" i="1"/>
  <c r="K68" i="1"/>
  <c r="K110" i="1"/>
  <c r="K27" i="1"/>
  <c r="K105" i="1"/>
  <c r="K26" i="1"/>
  <c r="K35" i="1"/>
  <c r="K77" i="1"/>
  <c r="K119" i="1"/>
  <c r="K155" i="1"/>
  <c r="K134" i="1"/>
  <c r="K206" i="1"/>
  <c r="K488" i="1"/>
  <c r="K189" i="1"/>
  <c r="K243" i="1"/>
  <c r="K46" i="1"/>
  <c r="K88" i="1"/>
  <c r="K172" i="1"/>
  <c r="K226" i="1"/>
  <c r="K359" i="1"/>
  <c r="K527" i="1"/>
  <c r="K11" i="1"/>
  <c r="K90" i="1"/>
  <c r="K138" i="1"/>
  <c r="K258" i="1"/>
  <c r="K205" i="1"/>
  <c r="K433" i="1"/>
  <c r="K143" i="1"/>
  <c r="K424" i="1"/>
  <c r="K519" i="1"/>
  <c r="M95" i="1"/>
  <c r="M443" i="1"/>
  <c r="M54" i="1"/>
  <c r="M210" i="1"/>
  <c r="M324" i="1"/>
  <c r="M516" i="1"/>
  <c r="M55" i="1"/>
  <c r="M451" i="1"/>
  <c r="M75" i="1"/>
  <c r="M171" i="1"/>
  <c r="M339" i="1"/>
  <c r="M974" i="1"/>
  <c r="N974" i="1" s="1"/>
  <c r="K970" i="1"/>
  <c r="L970" i="1" s="1"/>
  <c r="M969" i="1"/>
  <c r="N969" i="1" s="1"/>
  <c r="K960" i="1"/>
  <c r="L960" i="1" s="1"/>
  <c r="M959" i="1"/>
  <c r="N959" i="1" s="1"/>
  <c r="M950" i="1"/>
  <c r="N950" i="1" s="1"/>
  <c r="K938" i="1"/>
  <c r="L938" i="1" s="1"/>
  <c r="P931" i="1"/>
  <c r="R931" i="1"/>
  <c r="M930" i="1"/>
  <c r="N930" i="1" s="1"/>
  <c r="M926" i="1"/>
  <c r="N926" i="1" s="1"/>
  <c r="K925" i="1"/>
  <c r="L925" i="1" s="1"/>
  <c r="K921" i="1"/>
  <c r="L921" i="1" s="1"/>
  <c r="R917" i="1"/>
  <c r="P917" i="1"/>
  <c r="M911" i="1"/>
  <c r="N911" i="1" s="1"/>
  <c r="M910" i="1"/>
  <c r="N910" i="1" s="1"/>
  <c r="K910" i="1"/>
  <c r="L910" i="1" s="1"/>
  <c r="M901" i="1"/>
  <c r="N901" i="1" s="1"/>
  <c r="M894" i="1"/>
  <c r="N894" i="1" s="1"/>
  <c r="M641" i="1"/>
  <c r="M555" i="1"/>
  <c r="M549" i="1"/>
  <c r="M518" i="1"/>
  <c r="K462" i="1"/>
  <c r="M447" i="1"/>
  <c r="M438" i="1"/>
  <c r="K438" i="1"/>
  <c r="M386" i="1"/>
  <c r="M366" i="1"/>
  <c r="K366" i="1"/>
  <c r="M323" i="1"/>
  <c r="M306" i="1"/>
  <c r="K306" i="1"/>
  <c r="M213" i="1"/>
  <c r="M174" i="1"/>
  <c r="M89" i="1"/>
  <c r="M80" i="1"/>
  <c r="M28" i="1"/>
  <c r="M21" i="1"/>
  <c r="K24" i="1"/>
  <c r="K73" i="1"/>
  <c r="K115" i="1"/>
  <c r="K175" i="1"/>
  <c r="K80" i="1"/>
  <c r="K116" i="1"/>
  <c r="K33" i="1"/>
  <c r="K117" i="1"/>
  <c r="K4" i="1"/>
  <c r="K41" i="1"/>
  <c r="K89" i="1"/>
  <c r="K125" i="1"/>
  <c r="K161" i="1"/>
  <c r="K140" i="1"/>
  <c r="K212" i="1"/>
  <c r="K362" i="1"/>
  <c r="K518" i="1"/>
  <c r="K261" i="1"/>
  <c r="K327" i="1"/>
  <c r="K52" i="1"/>
  <c r="K94" i="1"/>
  <c r="K178" i="1"/>
  <c r="K232" i="1"/>
  <c r="K251" i="1"/>
  <c r="K383" i="1"/>
  <c r="K549" i="1"/>
  <c r="L265" i="1" s="1"/>
  <c r="K17" i="1"/>
  <c r="K144" i="1"/>
  <c r="K270" i="1"/>
  <c r="K211" i="1"/>
  <c r="K355" i="1"/>
  <c r="K600" i="1"/>
  <c r="K442" i="1"/>
  <c r="M101" i="1"/>
  <c r="M352" i="1"/>
  <c r="M534" i="1"/>
  <c r="M60" i="1"/>
  <c r="M342" i="1"/>
  <c r="M414" i="1"/>
  <c r="M457" i="1"/>
  <c r="M170" i="1"/>
  <c r="M81" i="1"/>
  <c r="R991" i="1"/>
  <c r="P974" i="1"/>
  <c r="K967" i="1"/>
  <c r="L967" i="1" s="1"/>
  <c r="K958" i="1"/>
  <c r="L958" i="1" s="1"/>
  <c r="K950" i="1"/>
  <c r="L950" i="1" s="1"/>
  <c r="M949" i="1"/>
  <c r="N949" i="1" s="1"/>
  <c r="M943" i="1"/>
  <c r="N943" i="1" s="1"/>
  <c r="M936" i="1"/>
  <c r="N936" i="1" s="1"/>
  <c r="M934" i="1"/>
  <c r="N934" i="1" s="1"/>
  <c r="K930" i="1"/>
  <c r="L385" i="1" s="1"/>
  <c r="R927" i="1"/>
  <c r="P927" i="1"/>
  <c r="M923" i="1"/>
  <c r="N923" i="1" s="1"/>
  <c r="M922" i="1"/>
  <c r="N922" i="1" s="1"/>
  <c r="K922" i="1"/>
  <c r="L922" i="1" s="1"/>
  <c r="R908" i="1"/>
  <c r="P908" i="1"/>
  <c r="M906" i="1"/>
  <c r="N906" i="1" s="1"/>
  <c r="M267" i="1"/>
  <c r="M257" i="1"/>
  <c r="M244" i="1"/>
  <c r="M234" i="1"/>
  <c r="M201" i="1"/>
  <c r="M190" i="1"/>
  <c r="M173" i="1"/>
  <c r="M154" i="1"/>
  <c r="M142" i="1"/>
  <c r="M121" i="1"/>
  <c r="M72" i="1"/>
  <c r="M66" i="1"/>
  <c r="M20" i="1"/>
  <c r="M14" i="1"/>
  <c r="K50" i="1"/>
  <c r="L50" i="1" s="1"/>
  <c r="K82" i="1"/>
  <c r="L82" i="1" s="1"/>
  <c r="K96" i="1"/>
  <c r="L96" i="1" s="1"/>
  <c r="M167" i="1"/>
  <c r="N167" i="1" s="1"/>
  <c r="K184" i="1"/>
  <c r="L184" i="1" s="1"/>
  <c r="K47" i="1"/>
  <c r="L47" i="1" s="1"/>
  <c r="M124" i="1"/>
  <c r="N124" i="1" s="1"/>
  <c r="K126" i="1"/>
  <c r="L126" i="1" s="1"/>
  <c r="K145" i="1"/>
  <c r="L145" i="1" s="1"/>
  <c r="K159" i="1"/>
  <c r="L159" i="1" s="1"/>
  <c r="M184" i="1"/>
  <c r="N184" i="1" s="1"/>
  <c r="M187" i="1"/>
  <c r="N187" i="1" s="1"/>
  <c r="K188" i="1"/>
  <c r="L188" i="1" s="1"/>
  <c r="K191" i="1"/>
  <c r="L191" i="1" s="1"/>
  <c r="K200" i="1"/>
  <c r="L200" i="1" s="1"/>
  <c r="K215" i="1"/>
  <c r="L215" i="1" s="1"/>
  <c r="K224" i="1"/>
  <c r="L224" i="1" s="1"/>
  <c r="K231" i="1"/>
  <c r="L231" i="1" s="1"/>
  <c r="K246" i="1"/>
  <c r="L246" i="1" s="1"/>
  <c r="K249" i="1"/>
  <c r="L249" i="1" s="1"/>
  <c r="K265" i="1"/>
  <c r="L904" i="1" s="1"/>
  <c r="K272" i="1"/>
  <c r="L272" i="1" s="1"/>
  <c r="M50" i="1"/>
  <c r="N50" i="1" s="1"/>
  <c r="K74" i="1"/>
  <c r="L74" i="1" s="1"/>
  <c r="M82" i="1"/>
  <c r="N82" i="1" s="1"/>
  <c r="K84" i="1"/>
  <c r="L84" i="1" s="1"/>
  <c r="M145" i="1"/>
  <c r="N145" i="1" s="1"/>
  <c r="M159" i="1"/>
  <c r="N159" i="1" s="1"/>
  <c r="M162" i="1"/>
  <c r="N162" i="1" s="1"/>
  <c r="K165" i="1"/>
  <c r="L165" i="1" s="1"/>
  <c r="K167" i="1"/>
  <c r="L167" i="1" s="1"/>
  <c r="M191" i="1"/>
  <c r="N191" i="1" s="1"/>
  <c r="K194" i="1"/>
  <c r="L194" i="1" s="1"/>
  <c r="K203" i="1"/>
  <c r="L203" i="1" s="1"/>
  <c r="M215" i="1"/>
  <c r="N215" i="1" s="1"/>
  <c r="K216" i="1"/>
  <c r="L216" i="1" s="1"/>
  <c r="K233" i="1"/>
  <c r="L233" i="1" s="1"/>
  <c r="K238" i="1"/>
  <c r="L238" i="1" s="1"/>
  <c r="K250" i="1"/>
  <c r="L250" i="1" s="1"/>
  <c r="K255" i="1"/>
  <c r="L255" i="1" s="1"/>
  <c r="M96" i="1"/>
  <c r="N96" i="1" s="1"/>
  <c r="K111" i="1"/>
  <c r="L111" i="1" s="1"/>
  <c r="K123" i="1"/>
  <c r="L123" i="1" s="1"/>
  <c r="M146" i="1"/>
  <c r="N146" i="1" s="1"/>
  <c r="K147" i="1"/>
  <c r="L147" i="1" s="1"/>
  <c r="K148" i="1"/>
  <c r="L148" i="1" s="1"/>
  <c r="M194" i="1"/>
  <c r="N194" i="1" s="1"/>
  <c r="M216" i="1"/>
  <c r="N216" i="1" s="1"/>
  <c r="K289" i="1"/>
  <c r="L289" i="1" s="1"/>
  <c r="K307" i="1"/>
  <c r="L307" i="1" s="1"/>
  <c r="K317" i="1"/>
  <c r="L317" i="1" s="1"/>
  <c r="K202" i="1"/>
  <c r="L202" i="1" s="1"/>
  <c r="K222" i="1"/>
  <c r="L222" i="1" s="1"/>
  <c r="M229" i="1"/>
  <c r="N229" i="1" s="1"/>
  <c r="K263" i="1"/>
  <c r="L263" i="1" s="1"/>
  <c r="M269" i="1"/>
  <c r="N269" i="1" s="1"/>
  <c r="M275" i="1"/>
  <c r="N275" i="1" s="1"/>
  <c r="M277" i="1"/>
  <c r="N277" i="1" s="1"/>
  <c r="M278" i="1"/>
  <c r="N278" i="1" s="1"/>
  <c r="M280" i="1"/>
  <c r="N280" i="1" s="1"/>
  <c r="M282" i="1"/>
  <c r="N282" i="1" s="1"/>
  <c r="M283" i="1"/>
  <c r="N283" i="1" s="1"/>
  <c r="M284" i="1"/>
  <c r="N284" i="1" s="1"/>
  <c r="K285" i="1"/>
  <c r="L285" i="1" s="1"/>
  <c r="K294" i="1"/>
  <c r="L294" i="1" s="1"/>
  <c r="M303" i="1"/>
  <c r="N303" i="1" s="1"/>
  <c r="K304" i="1"/>
  <c r="L304" i="1" s="1"/>
  <c r="M310" i="1"/>
  <c r="N310" i="1" s="1"/>
  <c r="K319" i="1"/>
  <c r="L319" i="1" s="1"/>
  <c r="K326" i="1"/>
  <c r="L326" i="1" s="1"/>
  <c r="M123" i="1"/>
  <c r="N123" i="1" s="1"/>
  <c r="M200" i="1"/>
  <c r="N200" i="1" s="1"/>
  <c r="M294" i="1"/>
  <c r="N294" i="1" s="1"/>
  <c r="M148" i="1"/>
  <c r="N148" i="1" s="1"/>
  <c r="K195" i="1"/>
  <c r="L195" i="1" s="1"/>
  <c r="K248" i="1"/>
  <c r="L248" i="1" s="1"/>
  <c r="M255" i="1"/>
  <c r="N255" i="1" s="1"/>
  <c r="M285" i="1"/>
  <c r="N285" i="1" s="1"/>
  <c r="K286" i="1"/>
  <c r="L286" i="1" s="1"/>
  <c r="K300" i="1"/>
  <c r="L300" i="1" s="1"/>
  <c r="M304" i="1"/>
  <c r="N304" i="1" s="1"/>
  <c r="K305" i="1"/>
  <c r="L305" i="1" s="1"/>
  <c r="K309" i="1"/>
  <c r="L309" i="1" s="1"/>
  <c r="K229" i="1"/>
  <c r="L229" i="1" s="1"/>
  <c r="K283" i="1"/>
  <c r="L283" i="1" s="1"/>
  <c r="M302" i="1"/>
  <c r="N302" i="1" s="1"/>
  <c r="K269" i="1"/>
  <c r="L269" i="1" s="1"/>
  <c r="K282" i="1"/>
  <c r="L282" i="1" s="1"/>
  <c r="K308" i="1"/>
  <c r="L308" i="1" s="1"/>
  <c r="K310" i="1"/>
  <c r="L310" i="1" s="1"/>
  <c r="K337" i="1"/>
  <c r="L337" i="1" s="1"/>
  <c r="K368" i="1"/>
  <c r="L368" i="1" s="1"/>
  <c r="M407" i="1"/>
  <c r="N407" i="1" s="1"/>
  <c r="M238" i="1"/>
  <c r="N238" i="1" s="1"/>
  <c r="K280" i="1"/>
  <c r="L280" i="1" s="1"/>
  <c r="M236" i="1"/>
  <c r="N236" i="1" s="1"/>
  <c r="K278" i="1"/>
  <c r="L278" i="1" s="1"/>
  <c r="K321" i="1"/>
  <c r="L321" i="1" s="1"/>
  <c r="M341" i="1"/>
  <c r="N341" i="1" s="1"/>
  <c r="K346" i="1"/>
  <c r="L346" i="1" s="1"/>
  <c r="K347" i="1"/>
  <c r="L347" i="1" s="1"/>
  <c r="M369" i="1"/>
  <c r="N369" i="1" s="1"/>
  <c r="K370" i="1"/>
  <c r="L370" i="1" s="1"/>
  <c r="K371" i="1"/>
  <c r="L371" i="1" s="1"/>
  <c r="M377" i="1"/>
  <c r="N377" i="1" s="1"/>
  <c r="K378" i="1"/>
  <c r="L378" i="1" s="1"/>
  <c r="M393" i="1"/>
  <c r="N393" i="1" s="1"/>
  <c r="K395" i="1"/>
  <c r="K425" i="1"/>
  <c r="L425" i="1" s="1"/>
  <c r="K429" i="1"/>
  <c r="L429" i="1" s="1"/>
  <c r="K436" i="1"/>
  <c r="L436" i="1" s="1"/>
  <c r="K445" i="1"/>
  <c r="L445" i="1" s="1"/>
  <c r="K453" i="1"/>
  <c r="L453" i="1" s="1"/>
  <c r="K465" i="1"/>
  <c r="L465" i="1" s="1"/>
  <c r="K468" i="1"/>
  <c r="L468" i="1" s="1"/>
  <c r="M207" i="1"/>
  <c r="N207" i="1" s="1"/>
  <c r="K277" i="1"/>
  <c r="L277" i="1" s="1"/>
  <c r="M317" i="1"/>
  <c r="N317" i="1" s="1"/>
  <c r="K331" i="1"/>
  <c r="K332" i="1"/>
  <c r="L332" i="1" s="1"/>
  <c r="M387" i="1"/>
  <c r="N387" i="1" s="1"/>
  <c r="M410" i="1"/>
  <c r="N410" i="1" s="1"/>
  <c r="M420" i="1"/>
  <c r="N420" i="1" s="1"/>
  <c r="M337" i="1"/>
  <c r="N337" i="1" s="1"/>
  <c r="K374" i="1"/>
  <c r="L374" i="1" s="1"/>
  <c r="K387" i="1"/>
  <c r="L387" i="1" s="1"/>
  <c r="M472" i="1"/>
  <c r="N472" i="1" s="1"/>
  <c r="K475" i="1"/>
  <c r="L475" i="1" s="1"/>
  <c r="M482" i="1"/>
  <c r="N482" i="1" s="1"/>
  <c r="M495" i="1"/>
  <c r="N495" i="1" s="1"/>
  <c r="K361" i="1"/>
  <c r="L361" i="1" s="1"/>
  <c r="K303" i="1"/>
  <c r="L303" i="1" s="1"/>
  <c r="K415" i="1"/>
  <c r="L415" i="1" s="1"/>
  <c r="M416" i="1"/>
  <c r="N416" i="1" s="1"/>
  <c r="K420" i="1"/>
  <c r="L420" i="1" s="1"/>
  <c r="M479" i="1"/>
  <c r="N479" i="1" s="1"/>
  <c r="K481" i="1"/>
  <c r="L481" i="1" s="1"/>
  <c r="K486" i="1"/>
  <c r="L486" i="1" s="1"/>
  <c r="K494" i="1"/>
  <c r="L494" i="1" s="1"/>
  <c r="K499" i="1"/>
  <c r="L499" i="1" s="1"/>
  <c r="K505" i="1"/>
  <c r="L505" i="1" s="1"/>
  <c r="K509" i="1"/>
  <c r="L509" i="1" s="1"/>
  <c r="K514" i="1"/>
  <c r="L514" i="1" s="1"/>
  <c r="K522" i="1"/>
  <c r="L522" i="1" s="1"/>
  <c r="K530" i="1"/>
  <c r="L530" i="1" s="1"/>
  <c r="K537" i="1"/>
  <c r="L537" i="1" s="1"/>
  <c r="K284" i="1"/>
  <c r="L284" i="1" s="1"/>
  <c r="K375" i="1"/>
  <c r="L375" i="1" s="1"/>
  <c r="M376" i="1"/>
  <c r="N376" i="1" s="1"/>
  <c r="K377" i="1"/>
  <c r="L377" i="1" s="1"/>
  <c r="M388" i="1"/>
  <c r="N388" i="1" s="1"/>
  <c r="K410" i="1"/>
  <c r="L410" i="1" s="1"/>
  <c r="K432" i="1"/>
  <c r="L432" i="1" s="1"/>
  <c r="K463" i="1"/>
  <c r="L463" i="1" s="1"/>
  <c r="K478" i="1"/>
  <c r="L478" i="1" s="1"/>
  <c r="M481" i="1"/>
  <c r="N481" i="1" s="1"/>
  <c r="K482" i="1"/>
  <c r="L482" i="1" s="1"/>
  <c r="M506" i="1"/>
  <c r="N506" i="1" s="1"/>
  <c r="M515" i="1"/>
  <c r="N515" i="1" s="1"/>
  <c r="M531" i="1"/>
  <c r="N531" i="1" s="1"/>
  <c r="M351" i="1"/>
  <c r="N351" i="1" s="1"/>
  <c r="K358" i="1"/>
  <c r="L358" i="1" s="1"/>
  <c r="M368" i="1"/>
  <c r="N368" i="1" s="1"/>
  <c r="M429" i="1"/>
  <c r="N429" i="1" s="1"/>
  <c r="M453" i="1"/>
  <c r="N453" i="1" s="1"/>
  <c r="K491" i="1"/>
  <c r="L491" i="1" s="1"/>
  <c r="K428" i="1"/>
  <c r="L428" i="1" s="1"/>
  <c r="K452" i="1"/>
  <c r="L452" i="1" s="1"/>
  <c r="K470" i="1"/>
  <c r="L470" i="1" s="1"/>
  <c r="K471" i="1"/>
  <c r="L471" i="1" s="1"/>
  <c r="M486" i="1"/>
  <c r="N486" i="1" s="1"/>
  <c r="K489" i="1"/>
  <c r="L489" i="1" s="1"/>
  <c r="M494" i="1"/>
  <c r="N494" i="1" s="1"/>
  <c r="K495" i="1"/>
  <c r="L495" i="1" s="1"/>
  <c r="M544" i="1"/>
  <c r="N544" i="1" s="1"/>
  <c r="M556" i="1"/>
  <c r="N556" i="1" s="1"/>
  <c r="M568" i="1"/>
  <c r="N568" i="1" s="1"/>
  <c r="M425" i="1"/>
  <c r="N425" i="1" s="1"/>
  <c r="M445" i="1"/>
  <c r="N445" i="1" s="1"/>
  <c r="M468" i="1"/>
  <c r="N468" i="1" s="1"/>
  <c r="M471" i="1"/>
  <c r="N471" i="1" s="1"/>
  <c r="M487" i="1"/>
  <c r="N487" i="1" s="1"/>
  <c r="K548" i="1"/>
  <c r="L548" i="1" s="1"/>
  <c r="K562" i="1"/>
  <c r="L562" i="1" s="1"/>
  <c r="K573" i="1"/>
  <c r="L573" i="1" s="1"/>
  <c r="K275" i="1"/>
  <c r="L275" i="1" s="1"/>
  <c r="M332" i="1"/>
  <c r="N332" i="1" s="1"/>
  <c r="K421" i="1"/>
  <c r="L421" i="1" s="1"/>
  <c r="K439" i="1"/>
  <c r="L439" i="1" s="1"/>
  <c r="K467" i="1"/>
  <c r="L467" i="1" s="1"/>
  <c r="M499" i="1"/>
  <c r="N499" i="1" s="1"/>
  <c r="K501" i="1"/>
  <c r="L501" i="1" s="1"/>
  <c r="K502" i="1"/>
  <c r="L502" i="1" s="1"/>
  <c r="K504" i="1"/>
  <c r="L504" i="1" s="1"/>
  <c r="M509" i="1"/>
  <c r="N509" i="1" s="1"/>
  <c r="K510" i="1"/>
  <c r="L510" i="1" s="1"/>
  <c r="K511" i="1"/>
  <c r="L511" i="1" s="1"/>
  <c r="K513" i="1"/>
  <c r="L513" i="1" s="1"/>
  <c r="M522" i="1"/>
  <c r="N522" i="1" s="1"/>
  <c r="K523" i="1"/>
  <c r="L523" i="1" s="1"/>
  <c r="K524" i="1"/>
  <c r="L524" i="1" s="1"/>
  <c r="M537" i="1"/>
  <c r="N537" i="1" s="1"/>
  <c r="K539" i="1"/>
  <c r="L539" i="1" s="1"/>
  <c r="M548" i="1"/>
  <c r="N548" i="1" s="1"/>
  <c r="K550" i="1"/>
  <c r="L550" i="1" s="1"/>
  <c r="K551" i="1"/>
  <c r="L551" i="1" s="1"/>
  <c r="M562" i="1"/>
  <c r="N562" i="1" s="1"/>
  <c r="K563" i="1"/>
  <c r="L563" i="1" s="1"/>
  <c r="K564" i="1"/>
  <c r="L564" i="1" s="1"/>
  <c r="M573" i="1"/>
  <c r="N573" i="1" s="1"/>
  <c r="K575" i="1"/>
  <c r="L575" i="1" s="1"/>
  <c r="K585" i="1"/>
  <c r="L585" i="1" s="1"/>
  <c r="K389" i="1"/>
  <c r="L389" i="1" s="1"/>
  <c r="M390" i="1"/>
  <c r="N390" i="1" s="1"/>
  <c r="K393" i="1"/>
  <c r="L393" i="1" s="1"/>
  <c r="M501" i="1"/>
  <c r="N501" i="1" s="1"/>
  <c r="K506" i="1"/>
  <c r="L506" i="1" s="1"/>
  <c r="K520" i="1"/>
  <c r="L520" i="1" s="1"/>
  <c r="M526" i="1"/>
  <c r="N526" i="1" s="1"/>
  <c r="M554" i="1"/>
  <c r="N554" i="1" s="1"/>
  <c r="M583" i="1"/>
  <c r="N583" i="1" s="1"/>
  <c r="M602" i="1"/>
  <c r="N602" i="1" s="1"/>
  <c r="M618" i="1"/>
  <c r="N618" i="1" s="1"/>
  <c r="M465" i="1"/>
  <c r="N465" i="1" s="1"/>
  <c r="M505" i="1"/>
  <c r="N505" i="1" s="1"/>
  <c r="M510" i="1"/>
  <c r="N510" i="1" s="1"/>
  <c r="K515" i="1"/>
  <c r="L515" i="1" s="1"/>
  <c r="K533" i="1"/>
  <c r="M541" i="1"/>
  <c r="N541" i="1" s="1"/>
  <c r="K543" i="1"/>
  <c r="L543" i="1" s="1"/>
  <c r="K544" i="1"/>
  <c r="L544" i="1" s="1"/>
  <c r="M550" i="1"/>
  <c r="N550" i="1" s="1"/>
  <c r="M436" i="1"/>
  <c r="N436" i="1" s="1"/>
  <c r="M514" i="1"/>
  <c r="N514" i="1" s="1"/>
  <c r="M523" i="1"/>
  <c r="N523" i="1" s="1"/>
  <c r="K531" i="1"/>
  <c r="L531" i="1" s="1"/>
  <c r="M543" i="1"/>
  <c r="N543" i="1" s="1"/>
  <c r="K479" i="1"/>
  <c r="L479" i="1" s="1"/>
  <c r="M530" i="1"/>
  <c r="N530" i="1" s="1"/>
  <c r="M538" i="1"/>
  <c r="N538" i="1" s="1"/>
  <c r="M565" i="1"/>
  <c r="N565" i="1" s="1"/>
  <c r="K566" i="1"/>
  <c r="L566" i="1" s="1"/>
  <c r="K568" i="1"/>
  <c r="L568" i="1" s="1"/>
  <c r="K576" i="1"/>
  <c r="L576" i="1" s="1"/>
  <c r="M580" i="1"/>
  <c r="N580" i="1" s="1"/>
  <c r="K581" i="1"/>
  <c r="L581" i="1" s="1"/>
  <c r="K590" i="1"/>
  <c r="L590" i="1" s="1"/>
  <c r="M592" i="1"/>
  <c r="N592" i="1" s="1"/>
  <c r="M599" i="1"/>
  <c r="N599" i="1" s="1"/>
  <c r="K604" i="1"/>
  <c r="L604" i="1" s="1"/>
  <c r="K608" i="1"/>
  <c r="L608" i="1" s="1"/>
  <c r="K621" i="1"/>
  <c r="L621" i="1" s="1"/>
  <c r="K625" i="1"/>
  <c r="L625" i="1" s="1"/>
  <c r="M503" i="1"/>
  <c r="N503" i="1" s="1"/>
  <c r="M566" i="1"/>
  <c r="N566" i="1" s="1"/>
  <c r="M585" i="1"/>
  <c r="N585" i="1" s="1"/>
  <c r="M597" i="1"/>
  <c r="N597" i="1" s="1"/>
  <c r="K602" i="1"/>
  <c r="L602" i="1" s="1"/>
  <c r="M608" i="1"/>
  <c r="N608" i="1" s="1"/>
  <c r="M611" i="1"/>
  <c r="N611" i="1" s="1"/>
  <c r="K618" i="1"/>
  <c r="L618" i="1" s="1"/>
  <c r="M625" i="1"/>
  <c r="N625" i="1" s="1"/>
  <c r="M628" i="1"/>
  <c r="N628" i="1" s="1"/>
  <c r="K507" i="1"/>
  <c r="L507" i="1" s="1"/>
  <c r="M512" i="1"/>
  <c r="N512" i="1" s="1"/>
  <c r="M553" i="1"/>
  <c r="N553" i="1" s="1"/>
  <c r="K554" i="1"/>
  <c r="L554" i="1" s="1"/>
  <c r="K556" i="1"/>
  <c r="L556" i="1" s="1"/>
  <c r="M563" i="1"/>
  <c r="N563" i="1" s="1"/>
  <c r="M581" i="1"/>
  <c r="N581" i="1" s="1"/>
  <c r="K583" i="1"/>
  <c r="L583" i="1" s="1"/>
  <c r="K586" i="1"/>
  <c r="L586" i="1" s="1"/>
  <c r="M594" i="1"/>
  <c r="N594" i="1" s="1"/>
  <c r="M604" i="1"/>
  <c r="N604" i="1" s="1"/>
  <c r="M621" i="1"/>
  <c r="N621" i="1" s="1"/>
  <c r="K646" i="1"/>
  <c r="L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60" i="1"/>
  <c r="N660" i="1" s="1"/>
  <c r="K661" i="1"/>
  <c r="L661" i="1" s="1"/>
  <c r="M665" i="1"/>
  <c r="N665" i="1" s="1"/>
  <c r="K669" i="1"/>
  <c r="L669" i="1" s="1"/>
  <c r="M674" i="1"/>
  <c r="N674" i="1" s="1"/>
  <c r="K675" i="1"/>
  <c r="L675" i="1" s="1"/>
  <c r="K679" i="1"/>
  <c r="L679" i="1" s="1"/>
  <c r="M683" i="1"/>
  <c r="N683" i="1" s="1"/>
  <c r="M686" i="1"/>
  <c r="N686" i="1" s="1"/>
  <c r="M629" i="1"/>
  <c r="N629" i="1" s="1"/>
  <c r="K643" i="1"/>
  <c r="L643" i="1" s="1"/>
  <c r="M669" i="1"/>
  <c r="N669" i="1" s="1"/>
  <c r="M681" i="1"/>
  <c r="N681" i="1" s="1"/>
  <c r="M691" i="1"/>
  <c r="N691" i="1" s="1"/>
  <c r="M695" i="1"/>
  <c r="N695" i="1" s="1"/>
  <c r="M707" i="1"/>
  <c r="N707" i="1" s="1"/>
  <c r="M710" i="1"/>
  <c r="N710" i="1" s="1"/>
  <c r="M713" i="1"/>
  <c r="N713" i="1" s="1"/>
  <c r="M716" i="1"/>
  <c r="N716" i="1" s="1"/>
  <c r="M643" i="1"/>
  <c r="N643" i="1" s="1"/>
  <c r="K636" i="1"/>
  <c r="L636" i="1" s="1"/>
  <c r="K633" i="1"/>
  <c r="L633" i="1" s="1"/>
  <c r="K635" i="1"/>
  <c r="L635" i="1" s="1"/>
  <c r="M636" i="1"/>
  <c r="N636" i="1" s="1"/>
  <c r="K665" i="1"/>
  <c r="L665" i="1" s="1"/>
  <c r="K673" i="1"/>
  <c r="L673" i="1" s="1"/>
  <c r="K686" i="1"/>
  <c r="L686" i="1" s="1"/>
  <c r="K631" i="1"/>
  <c r="L631" i="1" s="1"/>
  <c r="M633" i="1"/>
  <c r="N633" i="1" s="1"/>
  <c r="M634" i="1"/>
  <c r="N634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565" i="1" s="1"/>
  <c r="K654" i="1"/>
  <c r="L654" i="1" s="1"/>
  <c r="K655" i="1"/>
  <c r="L655" i="1" s="1"/>
  <c r="K656" i="1"/>
  <c r="L656" i="1" s="1"/>
  <c r="K657" i="1"/>
  <c r="L657" i="1" s="1"/>
  <c r="K658" i="1"/>
  <c r="L658" i="1" s="1"/>
  <c r="K660" i="1"/>
  <c r="L660" i="1" s="1"/>
  <c r="M673" i="1"/>
  <c r="N673" i="1" s="1"/>
  <c r="K674" i="1"/>
  <c r="L395" i="1" s="1"/>
  <c r="M678" i="1"/>
  <c r="N678" i="1" s="1"/>
  <c r="K681" i="1"/>
  <c r="L681" i="1" s="1"/>
  <c r="K683" i="1"/>
  <c r="L683" i="1" s="1"/>
  <c r="M688" i="1"/>
  <c r="N688" i="1" s="1"/>
  <c r="K691" i="1"/>
  <c r="L691" i="1" s="1"/>
  <c r="M693" i="1"/>
  <c r="N693" i="1" s="1"/>
  <c r="K695" i="1"/>
  <c r="L695" i="1" s="1"/>
  <c r="M698" i="1"/>
  <c r="N698" i="1" s="1"/>
  <c r="K707" i="1"/>
  <c r="L707" i="1" s="1"/>
  <c r="K716" i="1"/>
  <c r="L848" i="1" s="1"/>
  <c r="K730" i="1"/>
  <c r="L730" i="1" s="1"/>
  <c r="M731" i="1"/>
  <c r="N731" i="1" s="1"/>
  <c r="M809" i="1"/>
  <c r="N809" i="1" s="1"/>
  <c r="M818" i="1"/>
  <c r="N818" i="1" s="1"/>
  <c r="M830" i="1"/>
  <c r="N830" i="1" s="1"/>
  <c r="M711" i="1"/>
  <c r="N711" i="1" s="1"/>
  <c r="K726" i="1"/>
  <c r="L726" i="1" s="1"/>
  <c r="K738" i="1"/>
  <c r="L738" i="1" s="1"/>
  <c r="K710" i="1"/>
  <c r="L710" i="1" s="1"/>
  <c r="M726" i="1"/>
  <c r="N726" i="1" s="1"/>
  <c r="M738" i="1"/>
  <c r="N738" i="1" s="1"/>
  <c r="M714" i="1"/>
  <c r="N714" i="1" s="1"/>
  <c r="K721" i="1"/>
  <c r="L721" i="1" s="1"/>
  <c r="M723" i="1"/>
  <c r="N723" i="1" s="1"/>
  <c r="K734" i="1"/>
  <c r="L734" i="1" s="1"/>
  <c r="M736" i="1"/>
  <c r="N736" i="1" s="1"/>
  <c r="K713" i="1"/>
  <c r="L713" i="1" s="1"/>
  <c r="M721" i="1"/>
  <c r="N721" i="1" s="1"/>
  <c r="K733" i="1"/>
  <c r="L733" i="1" s="1"/>
  <c r="M734" i="1"/>
  <c r="N734" i="1" s="1"/>
  <c r="M801" i="1"/>
  <c r="N801" i="1" s="1"/>
  <c r="K802" i="1"/>
  <c r="L802" i="1" s="1"/>
  <c r="M807" i="1"/>
  <c r="N807" i="1" s="1"/>
  <c r="K809" i="1"/>
  <c r="L809" i="1" s="1"/>
  <c r="M812" i="1"/>
  <c r="N812" i="1" s="1"/>
  <c r="K813" i="1"/>
  <c r="L813" i="1" s="1"/>
  <c r="M817" i="1"/>
  <c r="N817" i="1" s="1"/>
  <c r="K818" i="1"/>
  <c r="L818" i="1" s="1"/>
  <c r="M821" i="1"/>
  <c r="N821" i="1" s="1"/>
  <c r="K822" i="1"/>
  <c r="L822" i="1" s="1"/>
  <c r="M829" i="1"/>
  <c r="N829" i="1" s="1"/>
  <c r="K830" i="1"/>
  <c r="L830" i="1" s="1"/>
  <c r="M834" i="1"/>
  <c r="N834" i="1" s="1"/>
  <c r="K835" i="1"/>
  <c r="L835" i="1" s="1"/>
  <c r="K845" i="1"/>
  <c r="L845" i="1" s="1"/>
  <c r="M847" i="1"/>
  <c r="N847" i="1" s="1"/>
  <c r="K849" i="1"/>
  <c r="L849" i="1" s="1"/>
  <c r="M850" i="1"/>
  <c r="N850" i="1" s="1"/>
  <c r="K852" i="1"/>
  <c r="L852" i="1" s="1"/>
  <c r="M853" i="1"/>
  <c r="N853" i="1" s="1"/>
  <c r="K855" i="1"/>
  <c r="L855" i="1" s="1"/>
  <c r="M856" i="1"/>
  <c r="N856" i="1" s="1"/>
  <c r="K859" i="1"/>
  <c r="L859" i="1" s="1"/>
  <c r="M860" i="1"/>
  <c r="N860" i="1" s="1"/>
  <c r="K862" i="1"/>
  <c r="L862" i="1" s="1"/>
  <c r="M864" i="1"/>
  <c r="N864" i="1" s="1"/>
  <c r="M708" i="1"/>
  <c r="N708" i="1" s="1"/>
  <c r="M719" i="1"/>
  <c r="N719" i="1" s="1"/>
  <c r="K731" i="1"/>
  <c r="L731" i="1" s="1"/>
  <c r="M732" i="1"/>
  <c r="N732" i="1" s="1"/>
  <c r="M802" i="1"/>
  <c r="N802" i="1" s="1"/>
  <c r="M805" i="1"/>
  <c r="N805" i="1" s="1"/>
  <c r="K824" i="1"/>
  <c r="L824" i="1" s="1"/>
  <c r="M840" i="1"/>
  <c r="N840" i="1" s="1"/>
  <c r="M842" i="1"/>
  <c r="N842" i="1" s="1"/>
  <c r="M873" i="1"/>
  <c r="N873" i="1" s="1"/>
  <c r="M883" i="1"/>
  <c r="N883" i="1" s="1"/>
  <c r="K906" i="1"/>
  <c r="L762" i="1" s="1"/>
  <c r="K908" i="1"/>
  <c r="L908" i="1" s="1"/>
  <c r="K917" i="1"/>
  <c r="L917" i="1" s="1"/>
  <c r="K920" i="1"/>
  <c r="L920" i="1" s="1"/>
  <c r="K933" i="1"/>
  <c r="K936" i="1"/>
  <c r="L936" i="1" s="1"/>
  <c r="K939" i="1"/>
  <c r="L939" i="1" s="1"/>
  <c r="K943" i="1"/>
  <c r="L943" i="1" s="1"/>
  <c r="K946" i="1"/>
  <c r="L946" i="1" s="1"/>
  <c r="K951" i="1"/>
  <c r="L951" i="1" s="1"/>
  <c r="K817" i="1"/>
  <c r="L817" i="1" s="1"/>
  <c r="M822" i="1"/>
  <c r="N822" i="1" s="1"/>
  <c r="K866" i="1"/>
  <c r="L866" i="1" s="1"/>
  <c r="K875" i="1"/>
  <c r="L875" i="1" s="1"/>
  <c r="K885" i="1"/>
  <c r="L885" i="1" s="1"/>
  <c r="M816" i="1"/>
  <c r="N816" i="1" s="1"/>
  <c r="M870" i="1"/>
  <c r="N870" i="1" s="1"/>
  <c r="M880" i="1"/>
  <c r="N880" i="1" s="1"/>
  <c r="M889" i="1"/>
  <c r="N889" i="1" s="1"/>
  <c r="K829" i="1"/>
  <c r="L829" i="1" s="1"/>
  <c r="M835" i="1"/>
  <c r="N835" i="1" s="1"/>
  <c r="K872" i="1"/>
  <c r="L872" i="1" s="1"/>
  <c r="K882" i="1"/>
  <c r="L882" i="1" s="1"/>
  <c r="K890" i="1"/>
  <c r="L890" i="1" s="1"/>
  <c r="K893" i="1"/>
  <c r="L893" i="1" s="1"/>
  <c r="K897" i="1"/>
  <c r="L897" i="1" s="1"/>
  <c r="K900" i="1"/>
  <c r="L900" i="1" s="1"/>
  <c r="M903" i="1"/>
  <c r="N903" i="1" s="1"/>
  <c r="K814" i="1"/>
  <c r="L814" i="1" s="1"/>
  <c r="M828" i="1"/>
  <c r="N828" i="1" s="1"/>
  <c r="M867" i="1"/>
  <c r="N867" i="1" s="1"/>
  <c r="M877" i="1"/>
  <c r="N877" i="1" s="1"/>
  <c r="M886" i="1"/>
  <c r="N886" i="1" s="1"/>
  <c r="K891" i="1"/>
  <c r="L891" i="1" s="1"/>
  <c r="K894" i="1"/>
  <c r="L894" i="1" s="1"/>
  <c r="K898" i="1"/>
  <c r="L898" i="1" s="1"/>
  <c r="K901" i="1"/>
  <c r="L901" i="1" s="1"/>
  <c r="K904" i="1"/>
  <c r="L865" i="1" s="1"/>
  <c r="K912" i="1"/>
  <c r="L912" i="1" s="1"/>
  <c r="K914" i="1"/>
  <c r="L914" i="1" s="1"/>
  <c r="K924" i="1"/>
  <c r="L924" i="1" s="1"/>
  <c r="K926" i="1"/>
  <c r="L926" i="1" s="1"/>
  <c r="K934" i="1"/>
  <c r="L934" i="1" s="1"/>
  <c r="K937" i="1"/>
  <c r="L221" i="1" s="1"/>
  <c r="K940" i="1"/>
  <c r="L940" i="1" s="1"/>
  <c r="K944" i="1"/>
  <c r="L944" i="1" s="1"/>
  <c r="K949" i="1"/>
  <c r="L949" i="1" s="1"/>
  <c r="K952" i="1"/>
  <c r="L952" i="1" s="1"/>
  <c r="M953" i="1"/>
  <c r="N953" i="1" s="1"/>
  <c r="K955" i="1"/>
  <c r="L955" i="1" s="1"/>
  <c r="M957" i="1"/>
  <c r="N957" i="1" s="1"/>
  <c r="K959" i="1"/>
  <c r="L959" i="1" s="1"/>
  <c r="M960" i="1"/>
  <c r="N960" i="1" s="1"/>
  <c r="K962" i="1"/>
  <c r="L962" i="1" s="1"/>
  <c r="M963" i="1"/>
  <c r="N963" i="1" s="1"/>
  <c r="K965" i="1"/>
  <c r="L965" i="1" s="1"/>
  <c r="M966" i="1"/>
  <c r="N966" i="1" s="1"/>
  <c r="K969" i="1"/>
  <c r="L969" i="1" s="1"/>
  <c r="K807" i="1"/>
  <c r="L807" i="1" s="1"/>
  <c r="M813" i="1"/>
  <c r="N813" i="1" s="1"/>
  <c r="K842" i="1"/>
  <c r="L842" i="1" s="1"/>
  <c r="K869" i="1"/>
  <c r="L869" i="1" s="1"/>
  <c r="K879" i="1"/>
  <c r="L879" i="1" s="1"/>
  <c r="K888" i="1"/>
  <c r="L888" i="1" s="1"/>
  <c r="M907" i="1"/>
  <c r="N907" i="1" s="1"/>
  <c r="M918" i="1"/>
  <c r="N918" i="1" s="1"/>
  <c r="M928" i="1"/>
  <c r="N928" i="1" s="1"/>
  <c r="K79" i="1"/>
  <c r="K121" i="1"/>
  <c r="K193" i="1"/>
  <c r="K86" i="1"/>
  <c r="K2" i="1"/>
  <c r="K39" i="1"/>
  <c r="K53" i="1"/>
  <c r="K173" i="1"/>
  <c r="K386" i="1"/>
  <c r="K440" i="1"/>
  <c r="K213" i="1"/>
  <c r="K267" i="1"/>
  <c r="K333" i="1"/>
  <c r="K447" i="1"/>
  <c r="K21" i="1"/>
  <c r="K100" i="1"/>
  <c r="K142" i="1"/>
  <c r="K190" i="1"/>
  <c r="K185" i="1"/>
  <c r="K257" i="1"/>
  <c r="K323" i="1"/>
  <c r="K23" i="1"/>
  <c r="K150" i="1"/>
  <c r="K235" i="1"/>
  <c r="K391" i="1"/>
  <c r="K492" i="1"/>
  <c r="K382" i="1"/>
  <c r="K448" i="1"/>
  <c r="M7" i="1"/>
  <c r="M179" i="1"/>
  <c r="M268" i="1"/>
  <c r="M133" i="1"/>
  <c r="M273" i="1"/>
  <c r="M405" i="1"/>
  <c r="K991" i="1"/>
  <c r="L991" i="1" s="1"/>
  <c r="K973" i="1"/>
  <c r="L973" i="1" s="1"/>
  <c r="K972" i="1"/>
  <c r="L972" i="1" s="1"/>
  <c r="K966" i="1"/>
  <c r="L966" i="1" s="1"/>
  <c r="M965" i="1"/>
  <c r="N965" i="1" s="1"/>
  <c r="K957" i="1"/>
  <c r="L957" i="1" s="1"/>
  <c r="M955" i="1"/>
  <c r="N955" i="1" s="1"/>
  <c r="K935" i="1"/>
  <c r="L935" i="1" s="1"/>
  <c r="M931" i="1"/>
  <c r="N931" i="1" s="1"/>
  <c r="K931" i="1"/>
  <c r="L931" i="1" s="1"/>
  <c r="R920" i="1"/>
  <c r="P920" i="1"/>
  <c r="K918" i="1"/>
  <c r="L918" i="1" s="1"/>
  <c r="M917" i="1"/>
  <c r="N917" i="1" s="1"/>
  <c r="M912" i="1"/>
  <c r="N912" i="1" s="1"/>
  <c r="K911" i="1"/>
  <c r="L911" i="1" s="1"/>
  <c r="M908" i="1"/>
  <c r="N908" i="1" s="1"/>
  <c r="M529" i="1"/>
  <c r="M480" i="1"/>
  <c r="K460" i="1"/>
  <c r="M434" i="1"/>
  <c r="K412" i="1"/>
  <c r="M401" i="1"/>
  <c r="M831" i="1"/>
  <c r="M363" i="1"/>
  <c r="M328" i="1"/>
  <c r="M318" i="1"/>
  <c r="K318" i="1"/>
  <c r="M256" i="1"/>
  <c r="M164" i="1"/>
  <c r="M153" i="1"/>
  <c r="M141" i="1"/>
  <c r="M114" i="1"/>
  <c r="M93" i="1"/>
  <c r="M87" i="1"/>
  <c r="M58" i="1"/>
  <c r="M25" i="1"/>
  <c r="M19" i="1"/>
  <c r="K91" i="1"/>
  <c r="K92" i="1"/>
  <c r="K45" i="1"/>
  <c r="K59" i="1"/>
  <c r="K230" i="1"/>
  <c r="K459" i="1"/>
  <c r="K28" i="1"/>
  <c r="K64" i="1"/>
  <c r="K106" i="1"/>
  <c r="K154" i="1"/>
  <c r="K197" i="1"/>
  <c r="K281" i="1"/>
  <c r="K401" i="1"/>
  <c r="K696" i="1"/>
  <c r="L933" i="1" s="1"/>
  <c r="K66" i="1"/>
  <c r="K114" i="1"/>
  <c r="K168" i="1"/>
  <c r="K247" i="1"/>
  <c r="K394" i="1"/>
  <c r="M460" i="1"/>
  <c r="M450" i="1"/>
  <c r="K975" i="1"/>
  <c r="L975" i="1" s="1"/>
  <c r="M972" i="1"/>
  <c r="N972" i="1" s="1"/>
  <c r="M970" i="1"/>
  <c r="N970" i="1" s="1"/>
  <c r="K964" i="1"/>
  <c r="L964" i="1" s="1"/>
  <c r="K954" i="1"/>
  <c r="L954" i="1" s="1"/>
  <c r="M946" i="1"/>
  <c r="N946" i="1" s="1"/>
  <c r="K941" i="1"/>
  <c r="L941" i="1" s="1"/>
  <c r="M940" i="1"/>
  <c r="N940" i="1" s="1"/>
  <c r="M933" i="1"/>
  <c r="N933" i="1" s="1"/>
  <c r="R929" i="1"/>
  <c r="P929" i="1"/>
  <c r="K928" i="1"/>
  <c r="L928" i="1" s="1"/>
  <c r="K927" i="1"/>
  <c r="M924" i="1"/>
  <c r="N924" i="1" s="1"/>
  <c r="K923" i="1"/>
  <c r="L923" i="1" s="1"/>
  <c r="M920" i="1"/>
  <c r="N920" i="1" s="1"/>
  <c r="M913" i="1"/>
  <c r="N913" i="1" s="1"/>
  <c r="K903" i="1"/>
  <c r="L903" i="1" s="1"/>
  <c r="M898" i="1"/>
  <c r="N898" i="1" s="1"/>
  <c r="M891" i="1"/>
  <c r="N891" i="1" s="1"/>
  <c r="K899" i="1"/>
  <c r="L899" i="1" s="1"/>
  <c r="K895" i="1"/>
  <c r="L895" i="1" s="1"/>
  <c r="K892" i="1"/>
  <c r="L892" i="1" s="1"/>
  <c r="K889" i="1"/>
  <c r="L889" i="1" s="1"/>
  <c r="K884" i="1"/>
  <c r="L884" i="1" s="1"/>
  <c r="M884" i="1"/>
  <c r="N884" i="1" s="1"/>
  <c r="K880" i="1"/>
  <c r="L880" i="1" s="1"/>
  <c r="K874" i="1"/>
  <c r="L874" i="1" s="1"/>
  <c r="M874" i="1"/>
  <c r="N874" i="1" s="1"/>
  <c r="K870" i="1"/>
  <c r="L870" i="1" s="1"/>
  <c r="K865" i="1"/>
  <c r="L653" i="1" s="1"/>
  <c r="K857" i="1"/>
  <c r="L857" i="1" s="1"/>
  <c r="K851" i="1"/>
  <c r="L851" i="1" s="1"/>
  <c r="K844" i="1"/>
  <c r="L844" i="1" s="1"/>
  <c r="K837" i="1"/>
  <c r="L837" i="1" s="1"/>
  <c r="P834" i="1"/>
  <c r="R834" i="1"/>
  <c r="P828" i="1"/>
  <c r="R828" i="1"/>
  <c r="K801" i="1"/>
  <c r="L801" i="1" s="1"/>
  <c r="P799" i="1"/>
  <c r="R799" i="1"/>
  <c r="K798" i="1"/>
  <c r="L798" i="1" s="1"/>
  <c r="P795" i="1"/>
  <c r="R795" i="1"/>
  <c r="K794" i="1"/>
  <c r="L794" i="1" s="1"/>
  <c r="P791" i="1"/>
  <c r="R791" i="1"/>
  <c r="K789" i="1"/>
  <c r="L789" i="1" s="1"/>
  <c r="P787" i="1"/>
  <c r="R787" i="1"/>
  <c r="K786" i="1"/>
  <c r="L786" i="1" s="1"/>
  <c r="P782" i="1"/>
  <c r="R782" i="1"/>
  <c r="K781" i="1"/>
  <c r="L781" i="1" s="1"/>
  <c r="P779" i="1"/>
  <c r="R779" i="1"/>
  <c r="K778" i="1"/>
  <c r="L778" i="1" s="1"/>
  <c r="P775" i="1"/>
  <c r="R775" i="1"/>
  <c r="K774" i="1"/>
  <c r="L774" i="1" s="1"/>
  <c r="K771" i="1"/>
  <c r="L771" i="1" s="1"/>
  <c r="K764" i="1"/>
  <c r="L764" i="1" s="1"/>
  <c r="K761" i="1"/>
  <c r="L761" i="1" s="1"/>
  <c r="K755" i="1"/>
  <c r="L755" i="1" s="1"/>
  <c r="K751" i="1"/>
  <c r="L751" i="1" s="1"/>
  <c r="K747" i="1"/>
  <c r="L747" i="1" s="1"/>
  <c r="K744" i="1"/>
  <c r="L744" i="1" s="1"/>
  <c r="K741" i="1"/>
  <c r="L741" i="1" s="1"/>
  <c r="M941" i="1"/>
  <c r="N941" i="1" s="1"/>
  <c r="M938" i="1"/>
  <c r="N938" i="1" s="1"/>
  <c r="M935" i="1"/>
  <c r="N935" i="1" s="1"/>
  <c r="M932" i="1"/>
  <c r="N932" i="1" s="1"/>
  <c r="R924" i="1"/>
  <c r="M921" i="1"/>
  <c r="N921" i="1" s="1"/>
  <c r="R912" i="1"/>
  <c r="M909" i="1"/>
  <c r="N909" i="1" s="1"/>
  <c r="P906" i="1"/>
  <c r="R901" i="1"/>
  <c r="M888" i="1"/>
  <c r="N888" i="1" s="1"/>
  <c r="M879" i="1"/>
  <c r="N879" i="1" s="1"/>
  <c r="M869" i="1"/>
  <c r="N869" i="1" s="1"/>
  <c r="K840" i="1"/>
  <c r="L331" i="1" s="1"/>
  <c r="K833" i="1"/>
  <c r="L833" i="1" s="1"/>
  <c r="M833" i="1"/>
  <c r="N833" i="1" s="1"/>
  <c r="R829" i="1"/>
  <c r="P829" i="1"/>
  <c r="M824" i="1"/>
  <c r="N824" i="1" s="1"/>
  <c r="R820" i="1"/>
  <c r="P820" i="1"/>
  <c r="K819" i="1"/>
  <c r="L819" i="1" s="1"/>
  <c r="K812" i="1"/>
  <c r="L812" i="1" s="1"/>
  <c r="P810" i="1"/>
  <c r="R810" i="1"/>
  <c r="K805" i="1"/>
  <c r="L805" i="1" s="1"/>
  <c r="K887" i="1"/>
  <c r="L887" i="1" s="1"/>
  <c r="M887" i="1"/>
  <c r="N887" i="1" s="1"/>
  <c r="K883" i="1"/>
  <c r="L883" i="1" s="1"/>
  <c r="K878" i="1"/>
  <c r="L878" i="1" s="1"/>
  <c r="M878" i="1"/>
  <c r="N878" i="1" s="1"/>
  <c r="K873" i="1"/>
  <c r="L873" i="1" s="1"/>
  <c r="K868" i="1"/>
  <c r="L868" i="1" s="1"/>
  <c r="M868" i="1"/>
  <c r="N868" i="1" s="1"/>
  <c r="K864" i="1"/>
  <c r="L864" i="1" s="1"/>
  <c r="M862" i="1"/>
  <c r="N862" i="1" s="1"/>
  <c r="K856" i="1"/>
  <c r="L856" i="1" s="1"/>
  <c r="M855" i="1"/>
  <c r="N855" i="1" s="1"/>
  <c r="K850" i="1"/>
  <c r="L850" i="1" s="1"/>
  <c r="M849" i="1"/>
  <c r="N849" i="1" s="1"/>
  <c r="K827" i="1"/>
  <c r="L827" i="1" s="1"/>
  <c r="P821" i="1"/>
  <c r="R821" i="1"/>
  <c r="P816" i="1"/>
  <c r="R816" i="1"/>
  <c r="R800" i="1"/>
  <c r="P800" i="1"/>
  <c r="K799" i="1"/>
  <c r="L799" i="1" s="1"/>
  <c r="P796" i="1"/>
  <c r="R796" i="1"/>
  <c r="K795" i="1"/>
  <c r="L795" i="1" s="1"/>
  <c r="P793" i="1"/>
  <c r="R793" i="1"/>
  <c r="K791" i="1"/>
  <c r="L791" i="1" s="1"/>
  <c r="P788" i="1"/>
  <c r="R788" i="1"/>
  <c r="K787" i="1"/>
  <c r="L787" i="1" s="1"/>
  <c r="P783" i="1"/>
  <c r="R783" i="1"/>
  <c r="K782" i="1"/>
  <c r="L782" i="1" s="1"/>
  <c r="P780" i="1"/>
  <c r="R780" i="1"/>
  <c r="K779" i="1"/>
  <c r="L779" i="1" s="1"/>
  <c r="P777" i="1"/>
  <c r="R777" i="1"/>
  <c r="K775" i="1"/>
  <c r="L775" i="1" s="1"/>
  <c r="K772" i="1"/>
  <c r="L772" i="1" s="1"/>
  <c r="K768" i="1"/>
  <c r="L768" i="1" s="1"/>
  <c r="K762" i="1"/>
  <c r="L853" i="1" s="1"/>
  <c r="K758" i="1"/>
  <c r="L758" i="1" s="1"/>
  <c r="K752" i="1"/>
  <c r="L752" i="1" s="1"/>
  <c r="K748" i="1"/>
  <c r="L748" i="1" s="1"/>
  <c r="K745" i="1"/>
  <c r="L745" i="1" s="1"/>
  <c r="K742" i="1"/>
  <c r="L742" i="1" s="1"/>
  <c r="K739" i="1"/>
  <c r="L739" i="1" s="1"/>
  <c r="M967" i="1"/>
  <c r="N967" i="1" s="1"/>
  <c r="M964" i="1"/>
  <c r="N964" i="1" s="1"/>
  <c r="M961" i="1"/>
  <c r="N961" i="1" s="1"/>
  <c r="M958" i="1"/>
  <c r="N958" i="1" s="1"/>
  <c r="M954" i="1"/>
  <c r="N954" i="1" s="1"/>
  <c r="R930" i="1"/>
  <c r="M927" i="1"/>
  <c r="N927" i="1" s="1"/>
  <c r="P926" i="1"/>
  <c r="R921" i="1"/>
  <c r="P914" i="1"/>
  <c r="R909" i="1"/>
  <c r="P904" i="1"/>
  <c r="M899" i="1"/>
  <c r="N899" i="1" s="1"/>
  <c r="M895" i="1"/>
  <c r="N895" i="1" s="1"/>
  <c r="M892" i="1"/>
  <c r="N892" i="1" s="1"/>
  <c r="M882" i="1"/>
  <c r="N882" i="1" s="1"/>
  <c r="M872" i="1"/>
  <c r="N872" i="1" s="1"/>
  <c r="K861" i="1"/>
  <c r="L861" i="1" s="1"/>
  <c r="K854" i="1"/>
  <c r="L854" i="1" s="1"/>
  <c r="K848" i="1"/>
  <c r="K834" i="1"/>
  <c r="L834" i="1" s="1"/>
  <c r="P832" i="1"/>
  <c r="R832" i="1"/>
  <c r="K828" i="1"/>
  <c r="L828" i="1" s="1"/>
  <c r="K820" i="1"/>
  <c r="L820" i="1" s="1"/>
  <c r="M820" i="1"/>
  <c r="N820" i="1" s="1"/>
  <c r="R817" i="1"/>
  <c r="P817" i="1"/>
  <c r="M814" i="1"/>
  <c r="N814" i="1" s="1"/>
  <c r="R811" i="1"/>
  <c r="P811" i="1"/>
  <c r="K810" i="1"/>
  <c r="L810" i="1" s="1"/>
  <c r="P804" i="1"/>
  <c r="R804" i="1"/>
  <c r="M803" i="1"/>
  <c r="N803" i="1" s="1"/>
  <c r="K803" i="1"/>
  <c r="L803" i="1" s="1"/>
  <c r="R925" i="1"/>
  <c r="R913" i="1"/>
  <c r="R903" i="1"/>
  <c r="M900" i="1"/>
  <c r="N900" i="1" s="1"/>
  <c r="M897" i="1"/>
  <c r="N897" i="1" s="1"/>
  <c r="M893" i="1"/>
  <c r="N893" i="1" s="1"/>
  <c r="M890" i="1"/>
  <c r="N890" i="1" s="1"/>
  <c r="P887" i="1"/>
  <c r="K886" i="1"/>
  <c r="L886" i="1" s="1"/>
  <c r="K881" i="1"/>
  <c r="L881" i="1" s="1"/>
  <c r="M881" i="1"/>
  <c r="N881" i="1" s="1"/>
  <c r="K877" i="1"/>
  <c r="L877" i="1" s="1"/>
  <c r="K871" i="1"/>
  <c r="L871" i="1" s="1"/>
  <c r="M871" i="1"/>
  <c r="N871" i="1" s="1"/>
  <c r="K867" i="1"/>
  <c r="L867" i="1" s="1"/>
  <c r="P840" i="1"/>
  <c r="R840" i="1"/>
  <c r="R827" i="1"/>
  <c r="K815" i="1"/>
  <c r="L815" i="1" s="1"/>
  <c r="P812" i="1"/>
  <c r="R812" i="1"/>
  <c r="K800" i="1"/>
  <c r="L800" i="1" s="1"/>
  <c r="R798" i="1"/>
  <c r="P798" i="1"/>
  <c r="K796" i="1"/>
  <c r="L796" i="1" s="1"/>
  <c r="R794" i="1"/>
  <c r="P794" i="1"/>
  <c r="K793" i="1"/>
  <c r="L793" i="1" s="1"/>
  <c r="R789" i="1"/>
  <c r="P789" i="1"/>
  <c r="K788" i="1"/>
  <c r="L788" i="1" s="1"/>
  <c r="R786" i="1"/>
  <c r="P786" i="1"/>
  <c r="K783" i="1"/>
  <c r="L783" i="1" s="1"/>
  <c r="R781" i="1"/>
  <c r="P781" i="1"/>
  <c r="K780" i="1"/>
  <c r="L780" i="1" s="1"/>
  <c r="R778" i="1"/>
  <c r="P778" i="1"/>
  <c r="K777" i="1"/>
  <c r="L777" i="1" s="1"/>
  <c r="K773" i="1"/>
  <c r="L773" i="1" s="1"/>
  <c r="K769" i="1"/>
  <c r="L769" i="1" s="1"/>
  <c r="K763" i="1"/>
  <c r="L763" i="1" s="1"/>
  <c r="K760" i="1"/>
  <c r="L760" i="1" s="1"/>
  <c r="K754" i="1"/>
  <c r="L754" i="1" s="1"/>
  <c r="K750" i="1"/>
  <c r="L750" i="1" s="1"/>
  <c r="K746" i="1"/>
  <c r="L746" i="1" s="1"/>
  <c r="K743" i="1"/>
  <c r="L743" i="1" s="1"/>
  <c r="K740" i="1"/>
  <c r="L740" i="1" s="1"/>
  <c r="K737" i="1"/>
  <c r="L737" i="1" s="1"/>
  <c r="K724" i="1"/>
  <c r="L724" i="1" s="1"/>
  <c r="K720" i="1"/>
  <c r="L720" i="1" s="1"/>
  <c r="P923" i="1"/>
  <c r="P911" i="1"/>
  <c r="P900" i="1"/>
  <c r="P897" i="1"/>
  <c r="P893" i="1"/>
  <c r="P890" i="1"/>
  <c r="M885" i="1"/>
  <c r="N885" i="1" s="1"/>
  <c r="M875" i="1"/>
  <c r="N875" i="1" s="1"/>
  <c r="M866" i="1"/>
  <c r="N866" i="1" s="1"/>
  <c r="K860" i="1"/>
  <c r="L860" i="1" s="1"/>
  <c r="M859" i="1"/>
  <c r="N859" i="1" s="1"/>
  <c r="K853" i="1"/>
  <c r="L906" i="1" s="1"/>
  <c r="M852" i="1"/>
  <c r="N852" i="1" s="1"/>
  <c r="K847" i="1"/>
  <c r="L847" i="1" s="1"/>
  <c r="M845" i="1"/>
  <c r="N845" i="1" s="1"/>
  <c r="M836" i="1"/>
  <c r="N836" i="1" s="1"/>
  <c r="R833" i="1"/>
  <c r="P833" i="1"/>
  <c r="K832" i="1"/>
  <c r="L832" i="1" s="1"/>
  <c r="K821" i="1"/>
  <c r="L821" i="1" s="1"/>
  <c r="P819" i="1"/>
  <c r="R819" i="1"/>
  <c r="K816" i="1"/>
  <c r="L816" i="1" s="1"/>
  <c r="K811" i="1"/>
  <c r="L811" i="1" s="1"/>
  <c r="M811" i="1"/>
  <c r="N811" i="1" s="1"/>
  <c r="R807" i="1"/>
  <c r="P807" i="1"/>
  <c r="K804" i="1"/>
  <c r="L804" i="1" s="1"/>
  <c r="P805" i="1"/>
  <c r="R805" i="1"/>
  <c r="P733" i="1"/>
  <c r="R733" i="1"/>
  <c r="K728" i="1"/>
  <c r="L728" i="1" s="1"/>
  <c r="P720" i="1"/>
  <c r="R720" i="1"/>
  <c r="K711" i="1"/>
  <c r="L711" i="1" s="1"/>
  <c r="K694" i="1"/>
  <c r="L694" i="1" s="1"/>
  <c r="K676" i="1"/>
  <c r="L676" i="1" s="1"/>
  <c r="M661" i="1"/>
  <c r="N661" i="1" s="1"/>
  <c r="M640" i="1"/>
  <c r="N640" i="1" s="1"/>
  <c r="P736" i="1"/>
  <c r="R736" i="1"/>
  <c r="M730" i="1"/>
  <c r="N730" i="1" s="1"/>
  <c r="P723" i="1"/>
  <c r="R723" i="1"/>
  <c r="K712" i="1"/>
  <c r="L712" i="1" s="1"/>
  <c r="M712" i="1"/>
  <c r="N712" i="1" s="1"/>
  <c r="P709" i="1"/>
  <c r="R709" i="1"/>
  <c r="K689" i="1"/>
  <c r="L689" i="1" s="1"/>
  <c r="K663" i="1"/>
  <c r="L663" i="1" s="1"/>
  <c r="R774" i="1"/>
  <c r="P774" i="1"/>
  <c r="P773" i="1"/>
  <c r="R773" i="1"/>
  <c r="P772" i="1"/>
  <c r="R772" i="1"/>
  <c r="R771" i="1"/>
  <c r="P771" i="1"/>
  <c r="P769" i="1"/>
  <c r="R769" i="1"/>
  <c r="P768" i="1"/>
  <c r="R768" i="1"/>
  <c r="R764" i="1"/>
  <c r="P764" i="1"/>
  <c r="P763" i="1"/>
  <c r="R763" i="1"/>
  <c r="P762" i="1"/>
  <c r="R762" i="1"/>
  <c r="R761" i="1"/>
  <c r="P761" i="1"/>
  <c r="P760" i="1"/>
  <c r="R760" i="1"/>
  <c r="P758" i="1"/>
  <c r="R758" i="1"/>
  <c r="R755" i="1"/>
  <c r="P755" i="1"/>
  <c r="P754" i="1"/>
  <c r="R754" i="1"/>
  <c r="P752" i="1"/>
  <c r="R752" i="1"/>
  <c r="R751" i="1"/>
  <c r="P751" i="1"/>
  <c r="P750" i="1"/>
  <c r="R750" i="1"/>
  <c r="P748" i="1"/>
  <c r="R748" i="1"/>
  <c r="R747" i="1"/>
  <c r="P747" i="1"/>
  <c r="P746" i="1"/>
  <c r="R746" i="1"/>
  <c r="P745" i="1"/>
  <c r="R745" i="1"/>
  <c r="R744" i="1"/>
  <c r="P744" i="1"/>
  <c r="P743" i="1"/>
  <c r="R743" i="1"/>
  <c r="P742" i="1"/>
  <c r="R742" i="1"/>
  <c r="R741" i="1"/>
  <c r="P741" i="1"/>
  <c r="P740" i="1"/>
  <c r="R740" i="1"/>
  <c r="P739" i="1"/>
  <c r="R739" i="1"/>
  <c r="P737" i="1"/>
  <c r="R737" i="1"/>
  <c r="K732" i="1"/>
  <c r="L732" i="1" s="1"/>
  <c r="P724" i="1"/>
  <c r="R724" i="1"/>
  <c r="K719" i="1"/>
  <c r="L719" i="1" s="1"/>
  <c r="K708" i="1"/>
  <c r="L708" i="1" s="1"/>
  <c r="K685" i="1"/>
  <c r="L685" i="1" s="1"/>
  <c r="K678" i="1"/>
  <c r="L678" i="1" s="1"/>
  <c r="K642" i="1"/>
  <c r="L642" i="1" s="1"/>
  <c r="M865" i="1"/>
  <c r="N865" i="1" s="1"/>
  <c r="M861" i="1"/>
  <c r="N861" i="1" s="1"/>
  <c r="M857" i="1"/>
  <c r="N857" i="1" s="1"/>
  <c r="M854" i="1"/>
  <c r="N854" i="1" s="1"/>
  <c r="M851" i="1"/>
  <c r="N851" i="1" s="1"/>
  <c r="M848" i="1"/>
  <c r="N848" i="1" s="1"/>
  <c r="M844" i="1"/>
  <c r="N844" i="1" s="1"/>
  <c r="M837" i="1"/>
  <c r="N837" i="1" s="1"/>
  <c r="P836" i="1"/>
  <c r="M827" i="1"/>
  <c r="N827" i="1" s="1"/>
  <c r="P824" i="1"/>
  <c r="M815" i="1"/>
  <c r="N815" i="1" s="1"/>
  <c r="P814" i="1"/>
  <c r="M804" i="1"/>
  <c r="N804" i="1" s="1"/>
  <c r="P803" i="1"/>
  <c r="M800" i="1"/>
  <c r="N800" i="1" s="1"/>
  <c r="M799" i="1"/>
  <c r="N799" i="1" s="1"/>
  <c r="M798" i="1"/>
  <c r="N798" i="1" s="1"/>
  <c r="M796" i="1"/>
  <c r="N796" i="1" s="1"/>
  <c r="M795" i="1"/>
  <c r="N795" i="1" s="1"/>
  <c r="M794" i="1"/>
  <c r="N794" i="1" s="1"/>
  <c r="M793" i="1"/>
  <c r="N793" i="1" s="1"/>
  <c r="M791" i="1"/>
  <c r="N791" i="1" s="1"/>
  <c r="M789" i="1"/>
  <c r="N789" i="1" s="1"/>
  <c r="M788" i="1"/>
  <c r="N788" i="1" s="1"/>
  <c r="M787" i="1"/>
  <c r="N787" i="1" s="1"/>
  <c r="M786" i="1"/>
  <c r="N786" i="1" s="1"/>
  <c r="M783" i="1"/>
  <c r="N783" i="1" s="1"/>
  <c r="M782" i="1"/>
  <c r="N782" i="1" s="1"/>
  <c r="M781" i="1"/>
  <c r="N781" i="1" s="1"/>
  <c r="M780" i="1"/>
  <c r="N780" i="1" s="1"/>
  <c r="M779" i="1"/>
  <c r="N779" i="1" s="1"/>
  <c r="M778" i="1"/>
  <c r="N778" i="1" s="1"/>
  <c r="M777" i="1"/>
  <c r="N777" i="1" s="1"/>
  <c r="M775" i="1"/>
  <c r="N775" i="1" s="1"/>
  <c r="M774" i="1"/>
  <c r="N774" i="1" s="1"/>
  <c r="M773" i="1"/>
  <c r="N773" i="1" s="1"/>
  <c r="M772" i="1"/>
  <c r="N772" i="1" s="1"/>
  <c r="M771" i="1"/>
  <c r="N771" i="1" s="1"/>
  <c r="M769" i="1"/>
  <c r="N769" i="1" s="1"/>
  <c r="M768" i="1"/>
  <c r="N768" i="1" s="1"/>
  <c r="M764" i="1"/>
  <c r="N764" i="1" s="1"/>
  <c r="M763" i="1"/>
  <c r="N763" i="1" s="1"/>
  <c r="M762" i="1"/>
  <c r="N762" i="1" s="1"/>
  <c r="M761" i="1"/>
  <c r="N761" i="1" s="1"/>
  <c r="M760" i="1"/>
  <c r="N760" i="1" s="1"/>
  <c r="M758" i="1"/>
  <c r="N758" i="1" s="1"/>
  <c r="M755" i="1"/>
  <c r="N755" i="1" s="1"/>
  <c r="M754" i="1"/>
  <c r="N754" i="1" s="1"/>
  <c r="M752" i="1"/>
  <c r="N752" i="1" s="1"/>
  <c r="M751" i="1"/>
  <c r="N751" i="1" s="1"/>
  <c r="M750" i="1"/>
  <c r="N750" i="1" s="1"/>
  <c r="M748" i="1"/>
  <c r="N748" i="1" s="1"/>
  <c r="M747" i="1"/>
  <c r="N747" i="1" s="1"/>
  <c r="M746" i="1"/>
  <c r="N746" i="1" s="1"/>
  <c r="M745" i="1"/>
  <c r="N745" i="1" s="1"/>
  <c r="M744" i="1"/>
  <c r="N744" i="1" s="1"/>
  <c r="M743" i="1"/>
  <c r="N743" i="1" s="1"/>
  <c r="M742" i="1"/>
  <c r="N742" i="1" s="1"/>
  <c r="M741" i="1"/>
  <c r="N741" i="1" s="1"/>
  <c r="M740" i="1"/>
  <c r="N740" i="1" s="1"/>
  <c r="M739" i="1"/>
  <c r="N739" i="1" s="1"/>
  <c r="M733" i="1"/>
  <c r="N733" i="1" s="1"/>
  <c r="P728" i="1"/>
  <c r="R728" i="1"/>
  <c r="M720" i="1"/>
  <c r="N720" i="1" s="1"/>
  <c r="P715" i="1"/>
  <c r="R715" i="1"/>
  <c r="K709" i="1"/>
  <c r="L709" i="1" s="1"/>
  <c r="M709" i="1"/>
  <c r="N709" i="1" s="1"/>
  <c r="K698" i="1"/>
  <c r="L698" i="1" s="1"/>
  <c r="M679" i="1"/>
  <c r="N679" i="1" s="1"/>
  <c r="K670" i="1"/>
  <c r="L670" i="1" s="1"/>
  <c r="K664" i="1"/>
  <c r="L591" i="1" s="1"/>
  <c r="P835" i="1"/>
  <c r="R835" i="1"/>
  <c r="M832" i="1"/>
  <c r="N832" i="1" s="1"/>
  <c r="P822" i="1"/>
  <c r="R822" i="1"/>
  <c r="M819" i="1"/>
  <c r="N819" i="1" s="1"/>
  <c r="P813" i="1"/>
  <c r="R813" i="1"/>
  <c r="M810" i="1"/>
  <c r="N810" i="1" s="1"/>
  <c r="P802" i="1"/>
  <c r="R802" i="1"/>
  <c r="R801" i="1"/>
  <c r="K736" i="1"/>
  <c r="L736" i="1" s="1"/>
  <c r="P730" i="1"/>
  <c r="R730" i="1"/>
  <c r="M728" i="1"/>
  <c r="N728" i="1" s="1"/>
  <c r="K723" i="1"/>
  <c r="L723" i="1" s="1"/>
  <c r="K714" i="1"/>
  <c r="L714" i="1" s="1"/>
  <c r="K693" i="1"/>
  <c r="K687" i="1"/>
  <c r="L687" i="1" s="1"/>
  <c r="K680" i="1"/>
  <c r="L680" i="1" s="1"/>
  <c r="M737" i="1"/>
  <c r="N737" i="1" s="1"/>
  <c r="P732" i="1"/>
  <c r="R732" i="1"/>
  <c r="M724" i="1"/>
  <c r="N724" i="1" s="1"/>
  <c r="P719" i="1"/>
  <c r="R719" i="1"/>
  <c r="K715" i="1"/>
  <c r="L715" i="1" s="1"/>
  <c r="M715" i="1"/>
  <c r="N715" i="1" s="1"/>
  <c r="P712" i="1"/>
  <c r="R712" i="1"/>
  <c r="K704" i="1"/>
  <c r="L704" i="1" s="1"/>
  <c r="K688" i="1"/>
  <c r="L688" i="1" s="1"/>
  <c r="K682" i="1"/>
  <c r="L682" i="1" s="1"/>
  <c r="M675" i="1"/>
  <c r="N675" i="1" s="1"/>
  <c r="K672" i="1"/>
  <c r="L672" i="1" s="1"/>
  <c r="R676" i="1"/>
  <c r="P676" i="1"/>
  <c r="R663" i="1"/>
  <c r="P663" i="1"/>
  <c r="K645" i="1"/>
  <c r="L645" i="1" s="1"/>
  <c r="R635" i="1"/>
  <c r="P635" i="1"/>
  <c r="K630" i="1"/>
  <c r="L630" i="1" s="1"/>
  <c r="M630" i="1"/>
  <c r="N630" i="1" s="1"/>
  <c r="K629" i="1"/>
  <c r="L629" i="1" s="1"/>
  <c r="K624" i="1"/>
  <c r="L624" i="1" s="1"/>
  <c r="K587" i="1"/>
  <c r="L587" i="1" s="1"/>
  <c r="P738" i="1"/>
  <c r="P734" i="1"/>
  <c r="P731" i="1"/>
  <c r="P726" i="1"/>
  <c r="P721" i="1"/>
  <c r="P716" i="1"/>
  <c r="R714" i="1"/>
  <c r="P713" i="1"/>
  <c r="R711" i="1"/>
  <c r="P710" i="1"/>
  <c r="R708" i="1"/>
  <c r="R698" i="1"/>
  <c r="R693" i="1"/>
  <c r="R688" i="1"/>
  <c r="R686" i="1"/>
  <c r="M682" i="1"/>
  <c r="N682" i="1" s="1"/>
  <c r="M680" i="1"/>
  <c r="N680" i="1" s="1"/>
  <c r="M672" i="1"/>
  <c r="N672" i="1" s="1"/>
  <c r="P670" i="1"/>
  <c r="M664" i="1"/>
  <c r="N664" i="1" s="1"/>
  <c r="M646" i="1"/>
  <c r="N646" i="1" s="1"/>
  <c r="P640" i="1"/>
  <c r="R640" i="1"/>
  <c r="K603" i="1"/>
  <c r="L603" i="1" s="1"/>
  <c r="K597" i="1"/>
  <c r="L597" i="1" s="1"/>
  <c r="M596" i="1"/>
  <c r="N596" i="1" s="1"/>
  <c r="M704" i="1"/>
  <c r="N704" i="1" s="1"/>
  <c r="M694" i="1"/>
  <c r="N694" i="1" s="1"/>
  <c r="M689" i="1"/>
  <c r="N689" i="1" s="1"/>
  <c r="M685" i="1"/>
  <c r="N685" i="1" s="1"/>
  <c r="M676" i="1"/>
  <c r="N676" i="1" s="1"/>
  <c r="R669" i="1"/>
  <c r="P669" i="1"/>
  <c r="R665" i="1"/>
  <c r="M663" i="1"/>
  <c r="N663" i="1" s="1"/>
  <c r="R642" i="1"/>
  <c r="P642" i="1"/>
  <c r="K634" i="1"/>
  <c r="L634" i="1" s="1"/>
  <c r="M631" i="1"/>
  <c r="N631" i="1" s="1"/>
  <c r="K620" i="1"/>
  <c r="L620" i="1" s="1"/>
  <c r="K611" i="1"/>
  <c r="L611" i="1" s="1"/>
  <c r="M610" i="1"/>
  <c r="N610" i="1" s="1"/>
  <c r="R704" i="1"/>
  <c r="R694" i="1"/>
  <c r="R689" i="1"/>
  <c r="M687" i="1"/>
  <c r="N687" i="1" s="1"/>
  <c r="R682" i="1"/>
  <c r="P674" i="1"/>
  <c r="M670" i="1"/>
  <c r="N670" i="1" s="1"/>
  <c r="P660" i="1"/>
  <c r="P645" i="1"/>
  <c r="R645" i="1"/>
  <c r="M635" i="1"/>
  <c r="N635" i="1" s="1"/>
  <c r="M612" i="1"/>
  <c r="N612" i="1" s="1"/>
  <c r="M598" i="1"/>
  <c r="N598" i="1" s="1"/>
  <c r="R673" i="1"/>
  <c r="P673" i="1"/>
  <c r="R672" i="1"/>
  <c r="R658" i="1"/>
  <c r="P658" i="1"/>
  <c r="P657" i="1"/>
  <c r="R657" i="1"/>
  <c r="P656" i="1"/>
  <c r="R656" i="1"/>
  <c r="R655" i="1"/>
  <c r="P655" i="1"/>
  <c r="P654" i="1"/>
  <c r="R654" i="1"/>
  <c r="P653" i="1"/>
  <c r="R653" i="1"/>
  <c r="R652" i="1"/>
  <c r="P652" i="1"/>
  <c r="P651" i="1"/>
  <c r="R651" i="1"/>
  <c r="P650" i="1"/>
  <c r="R650" i="1"/>
  <c r="R649" i="1"/>
  <c r="P649" i="1"/>
  <c r="P648" i="1"/>
  <c r="R648" i="1"/>
  <c r="R646" i="1"/>
  <c r="P646" i="1"/>
  <c r="M645" i="1"/>
  <c r="N645" i="1" s="1"/>
  <c r="K640" i="1"/>
  <c r="L640" i="1" s="1"/>
  <c r="P630" i="1"/>
  <c r="R630" i="1"/>
  <c r="K628" i="1"/>
  <c r="L628" i="1" s="1"/>
  <c r="M626" i="1"/>
  <c r="N626" i="1" s="1"/>
  <c r="M617" i="1"/>
  <c r="N617" i="1" s="1"/>
  <c r="K612" i="1"/>
  <c r="L612" i="1" s="1"/>
  <c r="K605" i="1"/>
  <c r="L605" i="1" s="1"/>
  <c r="K599" i="1"/>
  <c r="L599" i="1" s="1"/>
  <c r="M591" i="1"/>
  <c r="N591" i="1" s="1"/>
  <c r="K584" i="1"/>
  <c r="L584" i="1" s="1"/>
  <c r="P664" i="1"/>
  <c r="M642" i="1"/>
  <c r="N642" i="1" s="1"/>
  <c r="P634" i="1"/>
  <c r="R634" i="1"/>
  <c r="K617" i="1"/>
  <c r="L617" i="1" s="1"/>
  <c r="K592" i="1"/>
  <c r="L592" i="1" s="1"/>
  <c r="R647" i="1"/>
  <c r="R643" i="1"/>
  <c r="R636" i="1"/>
  <c r="P631" i="1"/>
  <c r="K626" i="1"/>
  <c r="L626" i="1" s="1"/>
  <c r="P620" i="1"/>
  <c r="P617" i="1"/>
  <c r="K610" i="1"/>
  <c r="L610" i="1" s="1"/>
  <c r="P603" i="1"/>
  <c r="P599" i="1"/>
  <c r="K598" i="1"/>
  <c r="L598" i="1" s="1"/>
  <c r="K596" i="1"/>
  <c r="L596" i="1" s="1"/>
  <c r="K591" i="1"/>
  <c r="L484" i="1" s="1"/>
  <c r="R573" i="1"/>
  <c r="P573" i="1"/>
  <c r="M571" i="1"/>
  <c r="N571" i="1" s="1"/>
  <c r="K571" i="1"/>
  <c r="L571" i="1" s="1"/>
  <c r="P564" i="1"/>
  <c r="R564" i="1"/>
  <c r="K561" i="1"/>
  <c r="L561" i="1" s="1"/>
  <c r="M561" i="1"/>
  <c r="N561" i="1" s="1"/>
  <c r="K545" i="1"/>
  <c r="L545" i="1" s="1"/>
  <c r="M545" i="1"/>
  <c r="N545" i="1" s="1"/>
  <c r="R537" i="1"/>
  <c r="P537" i="1"/>
  <c r="R528" i="1"/>
  <c r="P528" i="1"/>
  <c r="P521" i="1"/>
  <c r="R521" i="1"/>
  <c r="K487" i="1"/>
  <c r="L487" i="1" s="1"/>
  <c r="K411" i="1"/>
  <c r="L411" i="1" s="1"/>
  <c r="P587" i="1"/>
  <c r="K582" i="1"/>
  <c r="L582" i="1" s="1"/>
  <c r="M582" i="1"/>
  <c r="N582" i="1" s="1"/>
  <c r="R538" i="1"/>
  <c r="P538" i="1"/>
  <c r="R513" i="1"/>
  <c r="P513" i="1"/>
  <c r="P508" i="1"/>
  <c r="R508" i="1"/>
  <c r="K430" i="1"/>
  <c r="L430" i="1" s="1"/>
  <c r="M430" i="1"/>
  <c r="N430" i="1" s="1"/>
  <c r="R621" i="1"/>
  <c r="M586" i="1"/>
  <c r="N586" i="1" s="1"/>
  <c r="K572" i="1"/>
  <c r="L572" i="1" s="1"/>
  <c r="M572" i="1"/>
  <c r="N572" i="1" s="1"/>
  <c r="K557" i="1"/>
  <c r="L557" i="1" s="1"/>
  <c r="M557" i="1"/>
  <c r="N557" i="1" s="1"/>
  <c r="R548" i="1"/>
  <c r="P548" i="1"/>
  <c r="M546" i="1"/>
  <c r="N546" i="1" s="1"/>
  <c r="K546" i="1"/>
  <c r="L546" i="1" s="1"/>
  <c r="P539" i="1"/>
  <c r="R539" i="1"/>
  <c r="K528" i="1"/>
  <c r="L528" i="1" s="1"/>
  <c r="R504" i="1"/>
  <c r="P504" i="1"/>
  <c r="K455" i="1"/>
  <c r="L455" i="1" s="1"/>
  <c r="M455" i="1"/>
  <c r="N455" i="1" s="1"/>
  <c r="R628" i="1"/>
  <c r="M624" i="1"/>
  <c r="N624" i="1" s="1"/>
  <c r="M620" i="1"/>
  <c r="N620" i="1" s="1"/>
  <c r="R611" i="1"/>
  <c r="M605" i="1"/>
  <c r="N605" i="1" s="1"/>
  <c r="M603" i="1"/>
  <c r="N603" i="1" s="1"/>
  <c r="R597" i="1"/>
  <c r="K594" i="1"/>
  <c r="L594" i="1" s="1"/>
  <c r="R590" i="1"/>
  <c r="M587" i="1"/>
  <c r="N587" i="1" s="1"/>
  <c r="M584" i="1"/>
  <c r="N584" i="1" s="1"/>
  <c r="K577" i="1"/>
  <c r="L577" i="1" s="1"/>
  <c r="M577" i="1"/>
  <c r="N577" i="1" s="1"/>
  <c r="R550" i="1"/>
  <c r="P550" i="1"/>
  <c r="K496" i="1"/>
  <c r="L496" i="1" s="1"/>
  <c r="M496" i="1"/>
  <c r="N496" i="1" s="1"/>
  <c r="M490" i="1"/>
  <c r="N490" i="1" s="1"/>
  <c r="P625" i="1"/>
  <c r="P608" i="1"/>
  <c r="P594" i="1"/>
  <c r="R594" i="1"/>
  <c r="M590" i="1"/>
  <c r="N590" i="1" s="1"/>
  <c r="P582" i="1"/>
  <c r="R582" i="1"/>
  <c r="M576" i="1"/>
  <c r="N576" i="1" s="1"/>
  <c r="K569" i="1"/>
  <c r="L569" i="1" s="1"/>
  <c r="M569" i="1"/>
  <c r="N569" i="1" s="1"/>
  <c r="R562" i="1"/>
  <c r="P562" i="1"/>
  <c r="M559" i="1"/>
  <c r="N559" i="1" s="1"/>
  <c r="K559" i="1"/>
  <c r="L559" i="1" s="1"/>
  <c r="P551" i="1"/>
  <c r="R551" i="1"/>
  <c r="K547" i="1"/>
  <c r="L547" i="1" s="1"/>
  <c r="M547" i="1"/>
  <c r="N547" i="1" s="1"/>
  <c r="K538" i="1"/>
  <c r="L538" i="1" s="1"/>
  <c r="R484" i="1"/>
  <c r="P484" i="1"/>
  <c r="R624" i="1"/>
  <c r="R605" i="1"/>
  <c r="R563" i="1"/>
  <c r="P563" i="1"/>
  <c r="P535" i="1"/>
  <c r="R535" i="1"/>
  <c r="M491" i="1"/>
  <c r="N491" i="1" s="1"/>
  <c r="M375" i="1"/>
  <c r="N375" i="1" s="1"/>
  <c r="M309" i="1"/>
  <c r="N309" i="1" s="1"/>
  <c r="P571" i="1"/>
  <c r="R569" i="1"/>
  <c r="P569" i="1"/>
  <c r="P559" i="1"/>
  <c r="R557" i="1"/>
  <c r="P557" i="1"/>
  <c r="P546" i="1"/>
  <c r="R545" i="1"/>
  <c r="P545" i="1"/>
  <c r="P485" i="1"/>
  <c r="R485" i="1"/>
  <c r="K477" i="1"/>
  <c r="L477" i="1" s="1"/>
  <c r="M463" i="1"/>
  <c r="N463" i="1" s="1"/>
  <c r="M432" i="1"/>
  <c r="N432" i="1" s="1"/>
  <c r="K565" i="1"/>
  <c r="K553" i="1"/>
  <c r="L553" i="1" s="1"/>
  <c r="K541" i="1"/>
  <c r="L541" i="1" s="1"/>
  <c r="M533" i="1"/>
  <c r="N533" i="1" s="1"/>
  <c r="K526" i="1"/>
  <c r="L526" i="1" s="1"/>
  <c r="M520" i="1"/>
  <c r="N520" i="1" s="1"/>
  <c r="K512" i="1"/>
  <c r="L512" i="1" s="1"/>
  <c r="M507" i="1"/>
  <c r="N507" i="1" s="1"/>
  <c r="K503" i="1"/>
  <c r="L503" i="1" s="1"/>
  <c r="K498" i="1"/>
  <c r="L498" i="1" s="1"/>
  <c r="M498" i="1"/>
  <c r="N498" i="1" s="1"/>
  <c r="R495" i="1"/>
  <c r="P495" i="1"/>
  <c r="R490" i="1"/>
  <c r="P490" i="1"/>
  <c r="K484" i="1"/>
  <c r="L840" i="1" s="1"/>
  <c r="M484" i="1"/>
  <c r="N484" i="1" s="1"/>
  <c r="R474" i="1"/>
  <c r="P474" i="1"/>
  <c r="K466" i="1"/>
  <c r="L466" i="1" s="1"/>
  <c r="M466" i="1"/>
  <c r="N466" i="1" s="1"/>
  <c r="K437" i="1"/>
  <c r="L437" i="1" s="1"/>
  <c r="M437" i="1"/>
  <c r="N437" i="1" s="1"/>
  <c r="K408" i="1"/>
  <c r="L408" i="1" s="1"/>
  <c r="M408" i="1"/>
  <c r="N408" i="1" s="1"/>
  <c r="K390" i="1"/>
  <c r="L390" i="1" s="1"/>
  <c r="M389" i="1"/>
  <c r="N389" i="1" s="1"/>
  <c r="K580" i="1"/>
  <c r="L580" i="1" s="1"/>
  <c r="M575" i="1"/>
  <c r="N575" i="1" s="1"/>
  <c r="P566" i="1"/>
  <c r="M564" i="1"/>
  <c r="N564" i="1" s="1"/>
  <c r="P554" i="1"/>
  <c r="M551" i="1"/>
  <c r="N551" i="1" s="1"/>
  <c r="P543" i="1"/>
  <c r="M539" i="1"/>
  <c r="N539" i="1" s="1"/>
  <c r="K535" i="1"/>
  <c r="L535" i="1" s="1"/>
  <c r="M535" i="1"/>
  <c r="N535" i="1" s="1"/>
  <c r="R530" i="1"/>
  <c r="M528" i="1"/>
  <c r="N528" i="1" s="1"/>
  <c r="R524" i="1"/>
  <c r="M524" i="1"/>
  <c r="N524" i="1" s="1"/>
  <c r="K521" i="1"/>
  <c r="L521" i="1" s="1"/>
  <c r="M521" i="1"/>
  <c r="N521" i="1" s="1"/>
  <c r="R514" i="1"/>
  <c r="M513" i="1"/>
  <c r="N513" i="1" s="1"/>
  <c r="R511" i="1"/>
  <c r="M511" i="1"/>
  <c r="N511" i="1" s="1"/>
  <c r="K508" i="1"/>
  <c r="L508" i="1" s="1"/>
  <c r="M508" i="1"/>
  <c r="N508" i="1" s="1"/>
  <c r="R505" i="1"/>
  <c r="M504" i="1"/>
  <c r="N504" i="1" s="1"/>
  <c r="R502" i="1"/>
  <c r="M502" i="1"/>
  <c r="N502" i="1" s="1"/>
  <c r="M467" i="1"/>
  <c r="N467" i="1" s="1"/>
  <c r="M439" i="1"/>
  <c r="N439" i="1" s="1"/>
  <c r="M421" i="1"/>
  <c r="N421" i="1" s="1"/>
  <c r="R378" i="1"/>
  <c r="P378" i="1"/>
  <c r="M231" i="1"/>
  <c r="N231" i="1" s="1"/>
  <c r="R565" i="1"/>
  <c r="P565" i="1"/>
  <c r="R553" i="1"/>
  <c r="P553" i="1"/>
  <c r="R541" i="1"/>
  <c r="P541" i="1"/>
  <c r="R531" i="1"/>
  <c r="P531" i="1"/>
  <c r="R515" i="1"/>
  <c r="P515" i="1"/>
  <c r="R506" i="1"/>
  <c r="P506" i="1"/>
  <c r="R496" i="1"/>
  <c r="P496" i="1"/>
  <c r="K485" i="1"/>
  <c r="L485" i="1" s="1"/>
  <c r="M485" i="1"/>
  <c r="N485" i="1" s="1"/>
  <c r="R482" i="1"/>
  <c r="P482" i="1"/>
  <c r="R478" i="1"/>
  <c r="P478" i="1"/>
  <c r="M474" i="1"/>
  <c r="N474" i="1" s="1"/>
  <c r="K474" i="1"/>
  <c r="L474" i="1" s="1"/>
  <c r="K469" i="1"/>
  <c r="L469" i="1" s="1"/>
  <c r="M469" i="1"/>
  <c r="N469" i="1" s="1"/>
  <c r="K446" i="1"/>
  <c r="L446" i="1" s="1"/>
  <c r="M446" i="1"/>
  <c r="N446" i="1" s="1"/>
  <c r="K427" i="1"/>
  <c r="L427" i="1" s="1"/>
  <c r="M427" i="1"/>
  <c r="N427" i="1" s="1"/>
  <c r="M411" i="1"/>
  <c r="N411" i="1" s="1"/>
  <c r="K373" i="1"/>
  <c r="L373" i="1" s="1"/>
  <c r="M373" i="1"/>
  <c r="N373" i="1" s="1"/>
  <c r="M347" i="1"/>
  <c r="N347" i="1" s="1"/>
  <c r="M326" i="1"/>
  <c r="N326" i="1" s="1"/>
  <c r="R289" i="1"/>
  <c r="P289" i="1"/>
  <c r="M286" i="1"/>
  <c r="N286" i="1" s="1"/>
  <c r="R533" i="1"/>
  <c r="P533" i="1"/>
  <c r="R526" i="1"/>
  <c r="P526" i="1"/>
  <c r="R523" i="1"/>
  <c r="P523" i="1"/>
  <c r="R522" i="1"/>
  <c r="P522" i="1"/>
  <c r="R520" i="1"/>
  <c r="P520" i="1"/>
  <c r="R512" i="1"/>
  <c r="P512" i="1"/>
  <c r="R510" i="1"/>
  <c r="P510" i="1"/>
  <c r="R509" i="1"/>
  <c r="P509" i="1"/>
  <c r="R507" i="1"/>
  <c r="P507" i="1"/>
  <c r="R503" i="1"/>
  <c r="P503" i="1"/>
  <c r="R501" i="1"/>
  <c r="P501" i="1"/>
  <c r="P498" i="1"/>
  <c r="R498" i="1"/>
  <c r="K490" i="1"/>
  <c r="L490" i="1" s="1"/>
  <c r="M489" i="1"/>
  <c r="N489" i="1" s="1"/>
  <c r="M477" i="1"/>
  <c r="N477" i="1" s="1"/>
  <c r="M475" i="1"/>
  <c r="N475" i="1" s="1"/>
  <c r="M470" i="1"/>
  <c r="N470" i="1" s="1"/>
  <c r="M452" i="1"/>
  <c r="N452" i="1" s="1"/>
  <c r="M428" i="1"/>
  <c r="N428" i="1" s="1"/>
  <c r="K407" i="1"/>
  <c r="L407" i="1" s="1"/>
  <c r="M402" i="1"/>
  <c r="N402" i="1" s="1"/>
  <c r="K402" i="1"/>
  <c r="L402" i="1" s="1"/>
  <c r="R393" i="1"/>
  <c r="P393" i="1"/>
  <c r="K385" i="1"/>
  <c r="L937" i="1" s="1"/>
  <c r="R346" i="1"/>
  <c r="P346" i="1"/>
  <c r="M336" i="1"/>
  <c r="N336" i="1" s="1"/>
  <c r="K336" i="1"/>
  <c r="L336" i="1" s="1"/>
  <c r="P330" i="1"/>
  <c r="R330" i="1"/>
  <c r="M263" i="1"/>
  <c r="N263" i="1" s="1"/>
  <c r="P241" i="1"/>
  <c r="R241" i="1"/>
  <c r="K472" i="1"/>
  <c r="L472" i="1" s="1"/>
  <c r="R395" i="1"/>
  <c r="P395" i="1"/>
  <c r="K388" i="1"/>
  <c r="L388" i="1" s="1"/>
  <c r="M378" i="1"/>
  <c r="N378" i="1" s="1"/>
  <c r="K376" i="1"/>
  <c r="L376" i="1" s="1"/>
  <c r="R370" i="1"/>
  <c r="P370" i="1"/>
  <c r="M367" i="1"/>
  <c r="N367" i="1" s="1"/>
  <c r="K367" i="1"/>
  <c r="L367" i="1" s="1"/>
  <c r="P334" i="1"/>
  <c r="R334" i="1"/>
  <c r="K330" i="1"/>
  <c r="L330" i="1" s="1"/>
  <c r="M330" i="1"/>
  <c r="N330" i="1" s="1"/>
  <c r="M308" i="1"/>
  <c r="N308" i="1" s="1"/>
  <c r="P487" i="1"/>
  <c r="R469" i="1"/>
  <c r="R466" i="1"/>
  <c r="R455" i="1"/>
  <c r="R446" i="1"/>
  <c r="R437" i="1"/>
  <c r="R430" i="1"/>
  <c r="R427" i="1"/>
  <c r="K416" i="1"/>
  <c r="L416" i="1" s="1"/>
  <c r="M415" i="1"/>
  <c r="N415" i="1" s="1"/>
  <c r="M395" i="1"/>
  <c r="N395" i="1" s="1"/>
  <c r="P387" i="1"/>
  <c r="R387" i="1"/>
  <c r="M385" i="1"/>
  <c r="N385" i="1" s="1"/>
  <c r="P365" i="1"/>
  <c r="R365" i="1"/>
  <c r="M331" i="1"/>
  <c r="N331" i="1" s="1"/>
  <c r="M319" i="1"/>
  <c r="N319" i="1" s="1"/>
  <c r="P300" i="1"/>
  <c r="R300" i="1"/>
  <c r="K298" i="1"/>
  <c r="L298" i="1" s="1"/>
  <c r="M298" i="1"/>
  <c r="N298" i="1" s="1"/>
  <c r="R499" i="1"/>
  <c r="P499" i="1"/>
  <c r="R486" i="1"/>
  <c r="P486" i="1"/>
  <c r="M478" i="1"/>
  <c r="N478" i="1" s="1"/>
  <c r="R470" i="1"/>
  <c r="P470" i="1"/>
  <c r="P410" i="1"/>
  <c r="R410" i="1"/>
  <c r="K380" i="1"/>
  <c r="L380" i="1" s="1"/>
  <c r="M379" i="1"/>
  <c r="N379" i="1" s="1"/>
  <c r="K379" i="1"/>
  <c r="L379" i="1" s="1"/>
  <c r="R377" i="1"/>
  <c r="P377" i="1"/>
  <c r="M371" i="1"/>
  <c r="N371" i="1" s="1"/>
  <c r="M361" i="1"/>
  <c r="N361" i="1" s="1"/>
  <c r="K351" i="1"/>
  <c r="L351" i="1" s="1"/>
  <c r="M305" i="1"/>
  <c r="N305" i="1" s="1"/>
  <c r="P467" i="1"/>
  <c r="P463" i="1"/>
  <c r="P452" i="1"/>
  <c r="P439" i="1"/>
  <c r="P432" i="1"/>
  <c r="P428" i="1"/>
  <c r="P421" i="1"/>
  <c r="P408" i="1"/>
  <c r="P385" i="1"/>
  <c r="K365" i="1"/>
  <c r="L365" i="1" s="1"/>
  <c r="K334" i="1"/>
  <c r="L334" i="1" s="1"/>
  <c r="K313" i="1"/>
  <c r="L313" i="1" s="1"/>
  <c r="M312" i="1"/>
  <c r="N312" i="1" s="1"/>
  <c r="K312" i="1"/>
  <c r="L312" i="1" s="1"/>
  <c r="P305" i="1"/>
  <c r="R305" i="1"/>
  <c r="K302" i="1"/>
  <c r="L302" i="1" s="1"/>
  <c r="K290" i="1"/>
  <c r="L290" i="1" s="1"/>
  <c r="P286" i="1"/>
  <c r="R286" i="1"/>
  <c r="M264" i="1"/>
  <c r="N264" i="1" s="1"/>
  <c r="K254" i="1"/>
  <c r="L254" i="1" s="1"/>
  <c r="M254" i="1"/>
  <c r="N254" i="1" s="1"/>
  <c r="M222" i="1"/>
  <c r="N222" i="1" s="1"/>
  <c r="R407" i="1"/>
  <c r="P407" i="1"/>
  <c r="R380" i="1"/>
  <c r="P380" i="1"/>
  <c r="M374" i="1"/>
  <c r="N374" i="1" s="1"/>
  <c r="R367" i="1"/>
  <c r="P367" i="1"/>
  <c r="M358" i="1"/>
  <c r="N358" i="1" s="1"/>
  <c r="R336" i="1"/>
  <c r="P336" i="1"/>
  <c r="K315" i="1"/>
  <c r="L315" i="1" s="1"/>
  <c r="M315" i="1"/>
  <c r="N315" i="1" s="1"/>
  <c r="K264" i="1"/>
  <c r="L264" i="1" s="1"/>
  <c r="M249" i="1"/>
  <c r="N249" i="1" s="1"/>
  <c r="M248" i="1"/>
  <c r="N248" i="1" s="1"/>
  <c r="R245" i="1"/>
  <c r="P245" i="1"/>
  <c r="K241" i="1"/>
  <c r="L241" i="1" s="1"/>
  <c r="M223" i="1"/>
  <c r="N223" i="1" s="1"/>
  <c r="R208" i="1"/>
  <c r="P208" i="1"/>
  <c r="K199" i="1"/>
  <c r="L199" i="1" s="1"/>
  <c r="M265" i="1"/>
  <c r="N265" i="1" s="1"/>
  <c r="M245" i="1"/>
  <c r="N245" i="1" s="1"/>
  <c r="K223" i="1"/>
  <c r="L223" i="1" s="1"/>
  <c r="K217" i="1"/>
  <c r="L217" i="1" s="1"/>
  <c r="R411" i="1"/>
  <c r="P411" i="1"/>
  <c r="R388" i="1"/>
  <c r="P388" i="1"/>
  <c r="M380" i="1"/>
  <c r="N380" i="1" s="1"/>
  <c r="R374" i="1"/>
  <c r="P374" i="1"/>
  <c r="M370" i="1"/>
  <c r="N370" i="1" s="1"/>
  <c r="M365" i="1"/>
  <c r="N365" i="1" s="1"/>
  <c r="R358" i="1"/>
  <c r="P358" i="1"/>
  <c r="M346" i="1"/>
  <c r="N346" i="1" s="1"/>
  <c r="M334" i="1"/>
  <c r="N334" i="1" s="1"/>
  <c r="M321" i="1"/>
  <c r="N321" i="1" s="1"/>
  <c r="K320" i="1"/>
  <c r="L320" i="1" s="1"/>
  <c r="K262" i="1"/>
  <c r="L262" i="1" s="1"/>
  <c r="R240" i="1"/>
  <c r="P240" i="1"/>
  <c r="K236" i="1"/>
  <c r="L236" i="1" s="1"/>
  <c r="M224" i="1"/>
  <c r="N224" i="1" s="1"/>
  <c r="P146" i="1"/>
  <c r="R146" i="1"/>
  <c r="R369" i="1"/>
  <c r="K369" i="1"/>
  <c r="L369" i="1" s="1"/>
  <c r="R341" i="1"/>
  <c r="K341" i="1"/>
  <c r="L341" i="1" s="1"/>
  <c r="M307" i="1"/>
  <c r="N307" i="1" s="1"/>
  <c r="M300" i="1"/>
  <c r="N300" i="1" s="1"/>
  <c r="M289" i="1"/>
  <c r="N289" i="1" s="1"/>
  <c r="M272" i="1"/>
  <c r="N272" i="1" s="1"/>
  <c r="K221" i="1"/>
  <c r="L674" i="1" s="1"/>
  <c r="K157" i="1"/>
  <c r="L157" i="1" s="1"/>
  <c r="R264" i="1"/>
  <c r="P264" i="1"/>
  <c r="R262" i="1"/>
  <c r="P262" i="1"/>
  <c r="M246" i="1"/>
  <c r="N246" i="1" s="1"/>
  <c r="K245" i="1"/>
  <c r="L245" i="1" s="1"/>
  <c r="K240" i="1"/>
  <c r="L240" i="1" s="1"/>
  <c r="R236" i="1"/>
  <c r="R223" i="1"/>
  <c r="P223" i="1"/>
  <c r="R221" i="1"/>
  <c r="P221" i="1"/>
  <c r="M208" i="1"/>
  <c r="N208" i="1" s="1"/>
  <c r="R203" i="1"/>
  <c r="P200" i="1"/>
  <c r="R200" i="1"/>
  <c r="P331" i="1"/>
  <c r="P321" i="1"/>
  <c r="P317" i="1"/>
  <c r="P307" i="1"/>
  <c r="P302" i="1"/>
  <c r="R302" i="1"/>
  <c r="P283" i="1"/>
  <c r="R283" i="1"/>
  <c r="P282" i="1"/>
  <c r="R282" i="1"/>
  <c r="R280" i="1"/>
  <c r="P280" i="1"/>
  <c r="P278" i="1"/>
  <c r="R278" i="1"/>
  <c r="P277" i="1"/>
  <c r="R277" i="1"/>
  <c r="R275" i="1"/>
  <c r="P275" i="1"/>
  <c r="P272" i="1"/>
  <c r="R272" i="1"/>
  <c r="P265" i="1"/>
  <c r="R265" i="1"/>
  <c r="R231" i="1"/>
  <c r="P231" i="1"/>
  <c r="P224" i="1"/>
  <c r="R224" i="1"/>
  <c r="R202" i="1"/>
  <c r="P202" i="1"/>
  <c r="M156" i="1"/>
  <c r="N156" i="1" s="1"/>
  <c r="M320" i="1"/>
  <c r="N320" i="1" s="1"/>
  <c r="M313" i="1"/>
  <c r="N313" i="1" s="1"/>
  <c r="M290" i="1"/>
  <c r="N290" i="1" s="1"/>
  <c r="M250" i="1"/>
  <c r="N250" i="1" s="1"/>
  <c r="R238" i="1"/>
  <c r="P238" i="1"/>
  <c r="P233" i="1"/>
  <c r="R233" i="1"/>
  <c r="M217" i="1"/>
  <c r="N217" i="1" s="1"/>
  <c r="P207" i="1"/>
  <c r="R207" i="1"/>
  <c r="M195" i="1"/>
  <c r="N195" i="1" s="1"/>
  <c r="M74" i="1"/>
  <c r="N74" i="1" s="1"/>
  <c r="R313" i="1"/>
  <c r="P298" i="1"/>
  <c r="R263" i="1"/>
  <c r="R249" i="1"/>
  <c r="P249" i="1"/>
  <c r="P246" i="1"/>
  <c r="R246" i="1"/>
  <c r="M241" i="1"/>
  <c r="N241" i="1" s="1"/>
  <c r="R222" i="1"/>
  <c r="P216" i="1"/>
  <c r="R216" i="1"/>
  <c r="K208" i="1"/>
  <c r="L208" i="1" s="1"/>
  <c r="M202" i="1"/>
  <c r="N202" i="1" s="1"/>
  <c r="R199" i="1"/>
  <c r="P194" i="1"/>
  <c r="R194" i="1"/>
  <c r="R181" i="1"/>
  <c r="P181" i="1"/>
  <c r="P99" i="1"/>
  <c r="R99" i="1"/>
  <c r="P310" i="1"/>
  <c r="P294" i="1"/>
  <c r="R294" i="1"/>
  <c r="R255" i="1"/>
  <c r="P255" i="1"/>
  <c r="P250" i="1"/>
  <c r="R250" i="1"/>
  <c r="M233" i="1"/>
  <c r="N233" i="1" s="1"/>
  <c r="R217" i="1"/>
  <c r="P217" i="1"/>
  <c r="K207" i="1"/>
  <c r="L207" i="1" s="1"/>
  <c r="M203" i="1"/>
  <c r="N203" i="1" s="1"/>
  <c r="R195" i="1"/>
  <c r="P195" i="1"/>
  <c r="P61" i="1"/>
  <c r="R61" i="1"/>
  <c r="P188" i="1"/>
  <c r="P187" i="1"/>
  <c r="R187" i="1"/>
  <c r="M181" i="1"/>
  <c r="N181" i="1" s="1"/>
  <c r="K180" i="1"/>
  <c r="L180" i="1" s="1"/>
  <c r="P157" i="1"/>
  <c r="P156" i="1"/>
  <c r="R156" i="1"/>
  <c r="P124" i="1"/>
  <c r="R124" i="1"/>
  <c r="M99" i="1"/>
  <c r="N99" i="1" s="1"/>
  <c r="K99" i="1"/>
  <c r="L99" i="1" s="1"/>
  <c r="M147" i="1"/>
  <c r="N147" i="1" s="1"/>
  <c r="K146" i="1"/>
  <c r="L146" i="1" s="1"/>
  <c r="M111" i="1"/>
  <c r="N111" i="1" s="1"/>
  <c r="M83" i="1"/>
  <c r="N83" i="1" s="1"/>
  <c r="K83" i="1"/>
  <c r="L716" i="1" s="1"/>
  <c r="M262" i="1"/>
  <c r="N262" i="1" s="1"/>
  <c r="M240" i="1"/>
  <c r="N240" i="1" s="1"/>
  <c r="M221" i="1"/>
  <c r="N221" i="1" s="1"/>
  <c r="M199" i="1"/>
  <c r="N199" i="1" s="1"/>
  <c r="P180" i="1"/>
  <c r="R180" i="1"/>
  <c r="M165" i="1"/>
  <c r="N165" i="1" s="1"/>
  <c r="K162" i="1"/>
  <c r="L162" i="1" s="1"/>
  <c r="M84" i="1"/>
  <c r="N84" i="1" s="1"/>
  <c r="M61" i="1"/>
  <c r="N61" i="1" s="1"/>
  <c r="K61" i="1"/>
  <c r="L61" i="1" s="1"/>
  <c r="M188" i="1"/>
  <c r="N188" i="1" s="1"/>
  <c r="K187" i="1"/>
  <c r="L187" i="1" s="1"/>
  <c r="K181" i="1"/>
  <c r="L181" i="1" s="1"/>
  <c r="M180" i="1"/>
  <c r="N180" i="1" s="1"/>
  <c r="P165" i="1"/>
  <c r="P162" i="1"/>
  <c r="R162" i="1"/>
  <c r="M157" i="1"/>
  <c r="N157" i="1" s="1"/>
  <c r="K156" i="1"/>
  <c r="L156" i="1" s="1"/>
  <c r="M126" i="1"/>
  <c r="N126" i="1" s="1"/>
  <c r="K124" i="1"/>
  <c r="L124" i="1" s="1"/>
  <c r="P83" i="1"/>
  <c r="R83" i="1"/>
  <c r="M47" i="1"/>
  <c r="N47" i="1" s="1"/>
  <c r="N442" i="1"/>
  <c r="N409" i="1"/>
  <c r="N273" i="1"/>
  <c r="L28" i="1"/>
  <c r="N210" i="1"/>
  <c r="N171" i="1"/>
  <c r="N150" i="1"/>
  <c r="N128" i="1"/>
  <c r="N100" i="1"/>
  <c r="N70" i="1"/>
  <c r="N51" i="1"/>
  <c r="N37" i="1"/>
  <c r="N24" i="1"/>
  <c r="N6" i="1"/>
  <c r="L179" i="1"/>
  <c r="L183" i="1"/>
  <c r="L89" i="1"/>
  <c r="N363" i="1"/>
  <c r="Q108" i="4"/>
  <c r="P151" i="1"/>
  <c r="P85" i="1"/>
  <c r="P67" i="1"/>
  <c r="P325" i="1"/>
  <c r="P127" i="1"/>
  <c r="P55" i="1"/>
  <c r="P115" i="1"/>
  <c r="P31" i="1"/>
  <c r="P109" i="1"/>
  <c r="P25" i="1"/>
  <c r="P247" i="1"/>
  <c r="P103" i="1"/>
  <c r="P19" i="1"/>
  <c r="P193" i="1"/>
  <c r="P311" i="1"/>
  <c r="P89" i="1"/>
  <c r="P209" i="1"/>
  <c r="P125" i="1"/>
  <c r="P39" i="1"/>
  <c r="P237" i="1"/>
  <c r="P197" i="1"/>
  <c r="P431" i="1"/>
  <c r="P299" i="1"/>
  <c r="P149" i="1"/>
  <c r="P113" i="1"/>
  <c r="P71" i="1"/>
  <c r="P11" i="1"/>
  <c r="P137" i="1"/>
  <c r="P35" i="1"/>
  <c r="P143" i="1"/>
  <c r="P17" i="1"/>
  <c r="P359" i="1"/>
  <c r="P179" i="1"/>
  <c r="P131" i="1"/>
  <c r="P65" i="1"/>
  <c r="P173" i="1"/>
  <c r="P95" i="1"/>
  <c r="P59" i="1"/>
  <c r="P677" i="1"/>
  <c r="P443" i="1"/>
  <c r="P287" i="1"/>
  <c r="P161" i="1"/>
  <c r="P107" i="1"/>
  <c r="P77" i="1"/>
  <c r="P53" i="1"/>
  <c r="P29" i="1"/>
  <c r="P5" i="1"/>
  <c r="P749" i="1"/>
  <c r="P419" i="1"/>
  <c r="P323" i="1"/>
  <c r="P185" i="1"/>
  <c r="P155" i="1"/>
  <c r="P119" i="1"/>
  <c r="P101" i="1"/>
  <c r="P41" i="1"/>
  <c r="P23" i="1"/>
  <c r="P383" i="1"/>
  <c r="P529" i="1"/>
  <c r="P905" i="1"/>
  <c r="P333" i="1"/>
  <c r="P15" i="1"/>
  <c r="P243" i="1"/>
  <c r="P183" i="1"/>
  <c r="P129" i="1"/>
  <c r="P87" i="1"/>
  <c r="P57" i="1"/>
  <c r="P261" i="1"/>
  <c r="P213" i="1"/>
  <c r="P69" i="1"/>
  <c r="P27" i="1"/>
  <c r="P70" i="1"/>
  <c r="P28" i="1"/>
  <c r="P279" i="1"/>
  <c r="P225" i="1"/>
  <c r="P189" i="1"/>
  <c r="P51" i="1"/>
  <c r="P33" i="1"/>
  <c r="P9" i="1"/>
  <c r="P177" i="1"/>
  <c r="P81" i="1"/>
  <c r="P297" i="1"/>
  <c r="P273" i="1"/>
  <c r="P219" i="1"/>
  <c r="P201" i="1"/>
  <c r="P171" i="1"/>
  <c r="P135" i="1"/>
  <c r="P93" i="1"/>
  <c r="P75" i="1"/>
  <c r="P63" i="1"/>
  <c r="P21" i="1"/>
  <c r="P141" i="1"/>
  <c r="P291" i="1"/>
  <c r="P267" i="1"/>
  <c r="P153" i="1"/>
  <c r="P117" i="1"/>
  <c r="P105" i="1"/>
  <c r="P45" i="1"/>
  <c r="P3" i="1"/>
  <c r="P808" i="1"/>
  <c r="P94" i="1"/>
  <c r="P232" i="1"/>
  <c r="P442" i="1"/>
  <c r="P767" i="1"/>
  <c r="P727" i="1"/>
  <c r="P947" i="1"/>
  <c r="P406" i="1"/>
  <c r="P292" i="1"/>
  <c r="P190" i="1"/>
  <c r="P322" i="1"/>
  <c r="P394" i="1"/>
  <c r="P364" i="1"/>
  <c r="P226" i="1"/>
  <c r="P178" i="1"/>
  <c r="P166" i="1"/>
  <c r="P142" i="1"/>
  <c r="P130" i="1"/>
  <c r="P46" i="1"/>
  <c r="P34" i="1"/>
  <c r="P16" i="1"/>
  <c r="P4" i="1"/>
  <c r="P112" i="1"/>
  <c r="P58" i="1"/>
  <c r="P532" i="1"/>
  <c r="P424" i="1"/>
  <c r="P316" i="1"/>
  <c r="P256" i="1"/>
  <c r="P196" i="1"/>
  <c r="P154" i="1"/>
  <c r="P118" i="1"/>
  <c r="P100" i="1"/>
  <c r="P88" i="1"/>
  <c r="P76" i="1"/>
  <c r="P328" i="1"/>
  <c r="P268" i="1"/>
  <c r="P220" i="1"/>
  <c r="P64" i="1"/>
  <c r="P454" i="1"/>
  <c r="P22" i="1"/>
  <c r="P622" i="1"/>
  <c r="P418" i="1"/>
  <c r="P382" i="1"/>
  <c r="P172" i="1"/>
  <c r="P160" i="1"/>
  <c r="P136" i="1"/>
  <c r="P106" i="1"/>
  <c r="P52" i="1"/>
  <c r="P40" i="1"/>
  <c r="P10" i="1"/>
  <c r="P579" i="1"/>
  <c r="P405" i="1"/>
  <c r="P838" i="1"/>
  <c r="P555" i="1"/>
  <c r="P784" i="1"/>
  <c r="P435" i="1"/>
  <c r="P753" i="1"/>
  <c r="P441" i="1"/>
  <c r="P423" i="1"/>
  <c r="P717" i="1"/>
  <c r="P525" i="1"/>
  <c r="P483" i="1"/>
  <c r="P399" i="1"/>
  <c r="P363" i="1"/>
  <c r="P327" i="1"/>
  <c r="P615" i="1"/>
  <c r="P447" i="1"/>
  <c r="P417" i="1"/>
  <c r="P381" i="1"/>
  <c r="P345" i="1"/>
  <c r="P549" i="1"/>
  <c r="P735" i="1"/>
  <c r="P567" i="1"/>
  <c r="P339" i="1"/>
  <c r="P627" i="1"/>
  <c r="P609" i="1"/>
  <c r="P519" i="1"/>
  <c r="P459" i="1"/>
  <c r="P357" i="1"/>
  <c r="P981" i="1"/>
  <c r="P444" i="1"/>
  <c r="P456" i="1"/>
  <c r="P108" i="1"/>
  <c r="P480" i="1"/>
  <c r="P995" i="1"/>
  <c r="Q430" i="4"/>
  <c r="Q424" i="4"/>
  <c r="Q418" i="4"/>
  <c r="Q412" i="4"/>
  <c r="Q406" i="4"/>
  <c r="Q400" i="4"/>
  <c r="Q394" i="4"/>
  <c r="Q388" i="4"/>
  <c r="Q382" i="4"/>
  <c r="Q376" i="4"/>
  <c r="Q370" i="4"/>
  <c r="Q364" i="4"/>
  <c r="Q358" i="4"/>
  <c r="Q352" i="4"/>
  <c r="Q346" i="4"/>
  <c r="Q340" i="4"/>
  <c r="Q334" i="4"/>
  <c r="Q328" i="4"/>
  <c r="Q322" i="4"/>
  <c r="Q316" i="4"/>
  <c r="Q310" i="4"/>
  <c r="Q304" i="4"/>
  <c r="Q298" i="4"/>
  <c r="Q292" i="4"/>
  <c r="Q286" i="4"/>
  <c r="I280" i="4"/>
  <c r="Q280" i="4"/>
  <c r="Q274" i="4"/>
  <c r="I268" i="4"/>
  <c r="Q268" i="4"/>
  <c r="Q262" i="4"/>
  <c r="Q256" i="4"/>
  <c r="Q250" i="4"/>
  <c r="Q244" i="4"/>
  <c r="Q238" i="4"/>
  <c r="Q232" i="4"/>
  <c r="Q226" i="4"/>
  <c r="Q220" i="4"/>
  <c r="Q214" i="4"/>
  <c r="Q208" i="4"/>
  <c r="Q202" i="4"/>
  <c r="Q196" i="4"/>
  <c r="Q190" i="4"/>
  <c r="Q184" i="4"/>
  <c r="Q178" i="4"/>
  <c r="Q172" i="4"/>
  <c r="Q166" i="4"/>
  <c r="Q160" i="4"/>
  <c r="Q154" i="4"/>
  <c r="Q148" i="4"/>
  <c r="Q142" i="4"/>
  <c r="J142" i="4"/>
  <c r="Q136" i="4"/>
  <c r="J136" i="4"/>
  <c r="Q130" i="4"/>
  <c r="Q124" i="4"/>
  <c r="J124" i="4"/>
  <c r="Q118" i="4"/>
  <c r="Q112" i="4"/>
  <c r="Q106" i="4"/>
  <c r="Q94" i="4"/>
  <c r="Q88" i="4"/>
  <c r="Q82" i="4"/>
  <c r="Q429" i="4"/>
  <c r="Q423" i="4"/>
  <c r="Q411" i="4"/>
  <c r="Q399" i="4"/>
  <c r="Q375" i="4"/>
  <c r="Q339" i="4"/>
  <c r="Q333" i="4"/>
  <c r="Q327" i="4"/>
  <c r="Q303" i="4"/>
  <c r="Q297" i="4"/>
  <c r="Q291" i="4"/>
  <c r="Q273" i="4"/>
  <c r="I267" i="4"/>
  <c r="Q261" i="4"/>
  <c r="Q255" i="4"/>
  <c r="Q249" i="4"/>
  <c r="Q243" i="4"/>
  <c r="Q231" i="4"/>
  <c r="Q225" i="4"/>
  <c r="Q219" i="4"/>
  <c r="Q183" i="4"/>
  <c r="Q177" i="4"/>
  <c r="Q171" i="4"/>
  <c r="Q159" i="4"/>
  <c r="Q141" i="4"/>
  <c r="Q135" i="4"/>
  <c r="Q123" i="4"/>
  <c r="Q111" i="4"/>
  <c r="Q93" i="4"/>
  <c r="Q434" i="4"/>
  <c r="Q428" i="4"/>
  <c r="Q422" i="4"/>
  <c r="Q416" i="4"/>
  <c r="Q410" i="4"/>
  <c r="Q404" i="4"/>
  <c r="Q398" i="4"/>
  <c r="Q392" i="4"/>
  <c r="Q386" i="4"/>
  <c r="Q380" i="4"/>
  <c r="Q374" i="4"/>
  <c r="Q368" i="4"/>
  <c r="Q362" i="4"/>
  <c r="Q356" i="4"/>
  <c r="Q350" i="4"/>
  <c r="Q344" i="4"/>
  <c r="Q338" i="4"/>
  <c r="Q332" i="4"/>
  <c r="Q326" i="4"/>
  <c r="Q320" i="4"/>
  <c r="Q314" i="4"/>
  <c r="Q308" i="4"/>
  <c r="Q302" i="4"/>
  <c r="Q296" i="4"/>
  <c r="Q290" i="4"/>
  <c r="Q284" i="4"/>
  <c r="Q278" i="4"/>
  <c r="Q272" i="4"/>
  <c r="I266" i="4"/>
  <c r="Q266" i="4"/>
  <c r="Q260" i="4"/>
  <c r="Q254" i="4"/>
  <c r="Q248" i="4"/>
  <c r="Q242" i="4"/>
  <c r="Q236" i="4"/>
  <c r="Q230" i="4"/>
  <c r="Q224" i="4"/>
  <c r="Q218" i="4"/>
  <c r="Q212" i="4"/>
  <c r="Q206" i="4"/>
  <c r="Q200" i="4"/>
  <c r="Q194" i="4"/>
  <c r="Q188" i="4"/>
  <c r="Q182" i="4"/>
  <c r="Q176" i="4"/>
  <c r="Q170" i="4"/>
  <c r="Q164" i="4"/>
  <c r="Q158" i="4"/>
  <c r="Q152" i="4"/>
  <c r="Q146" i="4"/>
  <c r="Q140" i="4"/>
  <c r="J140" i="4"/>
  <c r="Q134" i="4"/>
  <c r="J134" i="4"/>
  <c r="Q128" i="4"/>
  <c r="J128" i="4"/>
  <c r="Q122" i="4"/>
  <c r="J122" i="4"/>
  <c r="Q116" i="4"/>
  <c r="Q110" i="4"/>
  <c r="Q92" i="4"/>
  <c r="Q86" i="4"/>
  <c r="Q80" i="4"/>
  <c r="N431" i="4"/>
  <c r="K431" i="4" s="1"/>
  <c r="N425" i="4"/>
  <c r="J425" i="4" s="1"/>
  <c r="N419" i="4"/>
  <c r="K419" i="4" s="1"/>
  <c r="N413" i="4"/>
  <c r="K413" i="4" s="1"/>
  <c r="N407" i="4"/>
  <c r="Q407" i="4" s="1"/>
  <c r="N401" i="4"/>
  <c r="K401" i="4" s="1"/>
  <c r="N395" i="4"/>
  <c r="Q395" i="4" s="1"/>
  <c r="N389" i="4"/>
  <c r="J389" i="4" s="1"/>
  <c r="N383" i="4"/>
  <c r="J383" i="4" s="1"/>
  <c r="N377" i="4"/>
  <c r="J377" i="4" s="1"/>
  <c r="N371" i="4"/>
  <c r="Q371" i="4" s="1"/>
  <c r="N365" i="4"/>
  <c r="J365" i="4" s="1"/>
  <c r="N359" i="4"/>
  <c r="J359" i="4" s="1"/>
  <c r="N353" i="4"/>
  <c r="K353" i="4" s="1"/>
  <c r="N347" i="4"/>
  <c r="J347" i="4" s="1"/>
  <c r="N341" i="4"/>
  <c r="Q341" i="4" s="1"/>
  <c r="N335" i="4"/>
  <c r="K335" i="4" s="1"/>
  <c r="N329" i="4"/>
  <c r="K329" i="4" s="1"/>
  <c r="N323" i="4"/>
  <c r="Q323" i="4" s="1"/>
  <c r="N317" i="4"/>
  <c r="K317" i="4" s="1"/>
  <c r="N311" i="4"/>
  <c r="J311" i="4" s="1"/>
  <c r="N305" i="4"/>
  <c r="Q305" i="4" s="1"/>
  <c r="N299" i="4"/>
  <c r="J299" i="4" s="1"/>
  <c r="N293" i="4"/>
  <c r="J293" i="4" s="1"/>
  <c r="N287" i="4"/>
  <c r="J287" i="4" s="1"/>
  <c r="N281" i="4"/>
  <c r="J281" i="4" s="1"/>
  <c r="N275" i="4"/>
  <c r="Q275" i="4" s="1"/>
  <c r="N269" i="4"/>
  <c r="J269" i="4" s="1"/>
  <c r="N263" i="4"/>
  <c r="J263" i="4" s="1"/>
  <c r="N257" i="4"/>
  <c r="Q257" i="4" s="1"/>
  <c r="N251" i="4"/>
  <c r="J251" i="4" s="1"/>
  <c r="N245" i="4"/>
  <c r="J245" i="4" s="1"/>
  <c r="N239" i="4"/>
  <c r="K239" i="4" s="1"/>
  <c r="N233" i="4"/>
  <c r="Q233" i="4" s="1"/>
  <c r="N227" i="4"/>
  <c r="K227" i="4" s="1"/>
  <c r="N221" i="4"/>
  <c r="Q221" i="4" s="1"/>
  <c r="N215" i="4"/>
  <c r="Q215" i="4" s="1"/>
  <c r="N209" i="4"/>
  <c r="Q209" i="4" s="1"/>
  <c r="N203" i="4"/>
  <c r="J203" i="4" s="1"/>
  <c r="N197" i="4"/>
  <c r="Q197" i="4" s="1"/>
  <c r="N191" i="4"/>
  <c r="J191" i="4" s="1"/>
  <c r="N185" i="4"/>
  <c r="J185" i="4" s="1"/>
  <c r="N179" i="4"/>
  <c r="J179" i="4" s="1"/>
  <c r="N173" i="4"/>
  <c r="K173" i="4" s="1"/>
  <c r="N167" i="4"/>
  <c r="J167" i="4" s="1"/>
  <c r="N161" i="4"/>
  <c r="Q161" i="4" s="1"/>
  <c r="N155" i="4"/>
  <c r="Q155" i="4" s="1"/>
  <c r="N149" i="4"/>
  <c r="Q149" i="4" s="1"/>
  <c r="N143" i="4"/>
  <c r="Q143" i="4" s="1"/>
  <c r="N137" i="4"/>
  <c r="J137" i="4" s="1"/>
  <c r="N131" i="4"/>
  <c r="K131" i="4" s="1"/>
  <c r="N125" i="4"/>
  <c r="J125" i="4" s="1"/>
  <c r="N119" i="4"/>
  <c r="J119" i="4" s="1"/>
  <c r="N113" i="4"/>
  <c r="Q113" i="4" s="1"/>
  <c r="N107" i="4"/>
  <c r="Q107" i="4" s="1"/>
  <c r="N101" i="4"/>
  <c r="K101" i="4" s="1"/>
  <c r="N95" i="4"/>
  <c r="Q95" i="4" s="1"/>
  <c r="N89" i="4"/>
  <c r="Q89" i="4" s="1"/>
  <c r="N83" i="4"/>
  <c r="Q83" i="4" s="1"/>
  <c r="Q433" i="4"/>
  <c r="Q427" i="4"/>
  <c r="Q421" i="4"/>
  <c r="Q415" i="4"/>
  <c r="Q409" i="4"/>
  <c r="Q403" i="4"/>
  <c r="Q397" i="4"/>
  <c r="Q391" i="4"/>
  <c r="Q385" i="4"/>
  <c r="Q379" i="4"/>
  <c r="Q373" i="4"/>
  <c r="Q367" i="4"/>
  <c r="Q361" i="4"/>
  <c r="Q355" i="4"/>
  <c r="Q349" i="4"/>
  <c r="Q343" i="4"/>
  <c r="Q337" i="4"/>
  <c r="Q331" i="4"/>
  <c r="Q325" i="4"/>
  <c r="Q319" i="4"/>
  <c r="Q313" i="4"/>
  <c r="Q307" i="4"/>
  <c r="Q301" i="4"/>
  <c r="Q295" i="4"/>
  <c r="Q289" i="4"/>
  <c r="Q283" i="4"/>
  <c r="Q277" i="4"/>
  <c r="Q271" i="4"/>
  <c r="I265" i="4"/>
  <c r="Q265" i="4"/>
  <c r="Q259" i="4"/>
  <c r="Q253" i="4"/>
  <c r="Q247" i="4"/>
  <c r="Q241" i="4"/>
  <c r="Q235" i="4"/>
  <c r="Q229" i="4"/>
  <c r="Q223" i="4"/>
  <c r="Q217" i="4"/>
  <c r="Q211" i="4"/>
  <c r="Q205" i="4"/>
  <c r="Q199" i="4"/>
  <c r="Q193" i="4"/>
  <c r="Q187" i="4"/>
  <c r="Q181" i="4"/>
  <c r="Q175" i="4"/>
  <c r="Q169" i="4"/>
  <c r="Q163" i="4"/>
  <c r="Q157" i="4"/>
  <c r="Q151" i="4"/>
  <c r="Q145" i="4"/>
  <c r="Q139" i="4"/>
  <c r="J139" i="4"/>
  <c r="Q133" i="4"/>
  <c r="Q127" i="4"/>
  <c r="Q121" i="4"/>
  <c r="Q115" i="4"/>
  <c r="Q109" i="4"/>
  <c r="Q97" i="4"/>
  <c r="Q91" i="4"/>
  <c r="Q85" i="4"/>
  <c r="Q79" i="4"/>
  <c r="Q432" i="4"/>
  <c r="Q426" i="4"/>
  <c r="Q420" i="4"/>
  <c r="Q414" i="4"/>
  <c r="Q408" i="4"/>
  <c r="Q402" i="4"/>
  <c r="Q396" i="4"/>
  <c r="Q390" i="4"/>
  <c r="Q378" i="4"/>
  <c r="Q372" i="4"/>
  <c r="Q366" i="4"/>
  <c r="Q360" i="4"/>
  <c r="Q354" i="4"/>
  <c r="Q348" i="4"/>
  <c r="Q342" i="4"/>
  <c r="Q336" i="4"/>
  <c r="Q330" i="4"/>
  <c r="Q324" i="4"/>
  <c r="Q318" i="4"/>
  <c r="Q312" i="4"/>
  <c r="Q306" i="4"/>
  <c r="Q300" i="4"/>
  <c r="Q294" i="4"/>
  <c r="Q288" i="4"/>
  <c r="Q282" i="4"/>
  <c r="Q276" i="4"/>
  <c r="Q270" i="4"/>
  <c r="I264" i="4"/>
  <c r="Q264" i="4"/>
  <c r="Q258" i="4"/>
  <c r="Q252" i="4"/>
  <c r="Q246" i="4"/>
  <c r="Q240" i="4"/>
  <c r="Q234" i="4"/>
  <c r="Q228" i="4"/>
  <c r="Q222" i="4"/>
  <c r="Q216" i="4"/>
  <c r="Q210" i="4"/>
  <c r="Q204" i="4"/>
  <c r="Q198" i="4"/>
  <c r="Q192" i="4"/>
  <c r="Q186" i="4"/>
  <c r="Q180" i="4"/>
  <c r="Q174" i="4"/>
  <c r="Q168" i="4"/>
  <c r="Q162" i="4"/>
  <c r="Q156" i="4"/>
  <c r="Q150" i="4"/>
  <c r="Q144" i="4"/>
  <c r="Q138" i="4"/>
  <c r="J138" i="4"/>
  <c r="Q132" i="4"/>
  <c r="Q126" i="4"/>
  <c r="Q120" i="4"/>
  <c r="Q114" i="4"/>
  <c r="Q96" i="4"/>
  <c r="Q90" i="4"/>
  <c r="Q84" i="4"/>
  <c r="Q78" i="4"/>
  <c r="N435" i="4"/>
  <c r="K435" i="4" s="1"/>
  <c r="N429" i="4"/>
  <c r="K429" i="4" s="1"/>
  <c r="N423" i="4"/>
  <c r="J423" i="4" s="1"/>
  <c r="N417" i="4"/>
  <c r="K417" i="4" s="1"/>
  <c r="N411" i="4"/>
  <c r="J411" i="4" s="1"/>
  <c r="N405" i="4"/>
  <c r="J405" i="4" s="1"/>
  <c r="N399" i="4"/>
  <c r="K399" i="4" s="1"/>
  <c r="N393" i="4"/>
  <c r="K393" i="4" s="1"/>
  <c r="N387" i="4"/>
  <c r="K387" i="4" s="1"/>
  <c r="N381" i="4"/>
  <c r="K381" i="4" s="1"/>
  <c r="N375" i="4"/>
  <c r="J375" i="4" s="1"/>
  <c r="N369" i="4"/>
  <c r="K369" i="4" s="1"/>
  <c r="N363" i="4"/>
  <c r="J363" i="4" s="1"/>
  <c r="N357" i="4"/>
  <c r="J357" i="4" s="1"/>
  <c r="N351" i="4"/>
  <c r="J351" i="4" s="1"/>
  <c r="N345" i="4"/>
  <c r="J345" i="4" s="1"/>
  <c r="N339" i="4"/>
  <c r="K339" i="4" s="1"/>
  <c r="N333" i="4"/>
  <c r="J333" i="4" s="1"/>
  <c r="N327" i="4"/>
  <c r="J327" i="4" s="1"/>
  <c r="N321" i="4"/>
  <c r="K321" i="4" s="1"/>
  <c r="N315" i="4"/>
  <c r="J315" i="4" s="1"/>
  <c r="N309" i="4"/>
  <c r="J309" i="4" s="1"/>
  <c r="N303" i="4"/>
  <c r="K303" i="4" s="1"/>
  <c r="N297" i="4"/>
  <c r="K297" i="4" s="1"/>
  <c r="N291" i="4"/>
  <c r="K291" i="4" s="1"/>
  <c r="N285" i="4"/>
  <c r="K285" i="4" s="1"/>
  <c r="N279" i="4"/>
  <c r="J279" i="4" s="1"/>
  <c r="N273" i="4"/>
  <c r="K273" i="4" s="1"/>
  <c r="N267" i="4"/>
  <c r="Q267" i="4" s="1"/>
  <c r="N261" i="4"/>
  <c r="K261" i="4" s="1"/>
  <c r="N255" i="4"/>
  <c r="J255" i="4" s="1"/>
  <c r="N249" i="4"/>
  <c r="K249" i="4" s="1"/>
  <c r="N243" i="4"/>
  <c r="K243" i="4" s="1"/>
  <c r="N237" i="4"/>
  <c r="K237" i="4" s="1"/>
  <c r="N231" i="4"/>
  <c r="J231" i="4" s="1"/>
  <c r="N225" i="4"/>
  <c r="K225" i="4" s="1"/>
  <c r="N219" i="4"/>
  <c r="K219" i="4" s="1"/>
  <c r="N213" i="4"/>
  <c r="J213" i="4" s="1"/>
  <c r="N207" i="4"/>
  <c r="K207" i="4" s="1"/>
  <c r="N201" i="4"/>
  <c r="K201" i="4" s="1"/>
  <c r="N195" i="4"/>
  <c r="K195" i="4" s="1"/>
  <c r="N189" i="4"/>
  <c r="K189" i="4" s="1"/>
  <c r="N183" i="4"/>
  <c r="J183" i="4" s="1"/>
  <c r="N177" i="4"/>
  <c r="K177" i="4" s="1"/>
  <c r="N171" i="4"/>
  <c r="J171" i="4" s="1"/>
  <c r="N165" i="4"/>
  <c r="J165" i="4" s="1"/>
  <c r="N159" i="4"/>
  <c r="J159" i="4" s="1"/>
  <c r="N153" i="4"/>
  <c r="K153" i="4" s="1"/>
  <c r="N147" i="4"/>
  <c r="K147" i="4" s="1"/>
  <c r="N141" i="4"/>
  <c r="K141" i="4" s="1"/>
  <c r="N135" i="4"/>
  <c r="K135" i="4" s="1"/>
  <c r="N129" i="4"/>
  <c r="J129" i="4" s="1"/>
  <c r="N123" i="4"/>
  <c r="J123" i="4" s="1"/>
  <c r="N117" i="4"/>
  <c r="J117" i="4" s="1"/>
  <c r="N111" i="4"/>
  <c r="K111" i="4" s="1"/>
  <c r="N105" i="4"/>
  <c r="J105" i="4" s="1"/>
  <c r="N99" i="4"/>
  <c r="J99" i="4" s="1"/>
  <c r="N93" i="4"/>
  <c r="J93" i="4" s="1"/>
  <c r="N87" i="4"/>
  <c r="Q87" i="4" s="1"/>
  <c r="N81" i="4"/>
  <c r="K81" i="4" s="1"/>
  <c r="P765" i="1"/>
  <c r="P831" i="1"/>
  <c r="P825" i="1"/>
  <c r="P729" i="1"/>
  <c r="P759" i="1"/>
  <c r="P705" i="1"/>
  <c r="P639" i="1"/>
  <c r="P993" i="1"/>
  <c r="P699" i="1"/>
  <c r="P785" i="1"/>
  <c r="P701" i="1"/>
  <c r="P623" i="1"/>
  <c r="P473" i="1"/>
  <c r="P461" i="1"/>
  <c r="P449" i="1"/>
  <c r="P413" i="1"/>
  <c r="P401" i="1"/>
  <c r="P293" i="1"/>
  <c r="P281" i="1"/>
  <c r="P257" i="1"/>
  <c r="P60" i="1"/>
  <c r="P1001" i="1"/>
  <c r="P797" i="1"/>
  <c r="P593" i="1"/>
  <c r="P527" i="1"/>
  <c r="P497" i="1"/>
  <c r="P384" i="1"/>
  <c r="P360" i="1"/>
  <c r="P348" i="1"/>
  <c r="P335" i="1"/>
  <c r="P120" i="1"/>
  <c r="P659" i="1"/>
  <c r="P641" i="1"/>
  <c r="P329" i="1"/>
  <c r="P251" i="1"/>
  <c r="P239" i="1"/>
  <c r="P227" i="1"/>
  <c r="P725" i="1"/>
  <c r="P252" i="1"/>
  <c r="P977" i="1"/>
  <c r="P671" i="1"/>
  <c r="P353" i="1"/>
  <c r="P915" i="1"/>
  <c r="P999" i="1"/>
  <c r="P318" i="1"/>
  <c r="P78" i="1"/>
  <c r="P54" i="1"/>
  <c r="P36" i="1"/>
  <c r="P12" i="1"/>
  <c r="P684" i="1"/>
  <c r="P540" i="1"/>
  <c r="P228" i="1"/>
  <c r="P192" i="1"/>
  <c r="P42" i="1"/>
  <c r="P18" i="1"/>
  <c r="P138" i="1"/>
  <c r="P66" i="1"/>
  <c r="P24" i="1"/>
  <c r="P30" i="1"/>
  <c r="P570" i="1"/>
  <c r="P600" i="1"/>
  <c r="P168" i="1"/>
  <c r="P72" i="1"/>
  <c r="P48" i="1"/>
  <c r="P6" i="1"/>
  <c r="P988" i="1"/>
  <c r="R846" i="1"/>
  <c r="P1000" i="1"/>
  <c r="P976" i="1"/>
  <c r="R987" i="1"/>
  <c r="P823" i="1"/>
  <c r="P403" i="1"/>
  <c r="P301" i="1"/>
  <c r="P169" i="1"/>
  <c r="P979" i="1"/>
  <c r="P667" i="1"/>
  <c r="P601" i="1"/>
  <c r="P589" i="1"/>
  <c r="P259" i="1"/>
  <c r="P139" i="1"/>
  <c r="P997" i="1"/>
  <c r="R997" i="1"/>
  <c r="P985" i="1"/>
  <c r="R985" i="1"/>
  <c r="P919" i="1"/>
  <c r="R919" i="1"/>
  <c r="R841" i="1"/>
  <c r="P841" i="1"/>
  <c r="R757" i="1"/>
  <c r="P757" i="1"/>
  <c r="R703" i="1"/>
  <c r="P703" i="1"/>
  <c r="R697" i="1"/>
  <c r="P697" i="1"/>
  <c r="R619" i="1"/>
  <c r="P619" i="1"/>
  <c r="R613" i="1"/>
  <c r="P613" i="1"/>
  <c r="R595" i="1"/>
  <c r="P595" i="1"/>
  <c r="R517" i="1"/>
  <c r="P517" i="1"/>
  <c r="R493" i="1"/>
  <c r="P493" i="1"/>
  <c r="R451" i="1"/>
  <c r="P451" i="1"/>
  <c r="R433" i="1"/>
  <c r="P433" i="1"/>
  <c r="R409" i="1"/>
  <c r="P409" i="1"/>
  <c r="R397" i="1"/>
  <c r="P397" i="1"/>
  <c r="R355" i="1"/>
  <c r="P355" i="1"/>
  <c r="R349" i="1"/>
  <c r="P349" i="1"/>
  <c r="R343" i="1"/>
  <c r="P343" i="1"/>
  <c r="R295" i="1"/>
  <c r="P295" i="1"/>
  <c r="R271" i="1"/>
  <c r="P271" i="1"/>
  <c r="R253" i="1"/>
  <c r="P253" i="1"/>
  <c r="R235" i="1"/>
  <c r="P235" i="1"/>
  <c r="R205" i="1"/>
  <c r="P205" i="1"/>
  <c r="R175" i="1"/>
  <c r="P175" i="1"/>
  <c r="R163" i="1"/>
  <c r="P163" i="1"/>
  <c r="R133" i="1"/>
  <c r="P133" i="1"/>
  <c r="R121" i="1"/>
  <c r="P121" i="1"/>
  <c r="R97" i="1"/>
  <c r="P97" i="1"/>
  <c r="R79" i="1"/>
  <c r="P79" i="1"/>
  <c r="R73" i="1"/>
  <c r="P73" i="1"/>
  <c r="R43" i="1"/>
  <c r="P43" i="1"/>
  <c r="R37" i="1"/>
  <c r="P37" i="1"/>
  <c r="R13" i="1"/>
  <c r="P13" i="1"/>
  <c r="R7" i="1"/>
  <c r="P7" i="1"/>
  <c r="P637" i="1"/>
  <c r="P607" i="1"/>
  <c r="P211" i="1"/>
  <c r="P91" i="1"/>
  <c r="P49" i="1"/>
  <c r="P457" i="1"/>
  <c r="P391" i="1"/>
  <c r="P983" i="1"/>
  <c r="R983" i="1"/>
  <c r="R863" i="1"/>
  <c r="P863" i="1"/>
  <c r="P552" i="1"/>
  <c r="R552" i="1"/>
  <c r="P516" i="1"/>
  <c r="R516" i="1"/>
  <c r="P450" i="1"/>
  <c r="R450" i="1"/>
  <c r="P414" i="1"/>
  <c r="R414" i="1"/>
  <c r="P354" i="1"/>
  <c r="R354" i="1"/>
  <c r="P324" i="1"/>
  <c r="R324" i="1"/>
  <c r="P288" i="1"/>
  <c r="R288" i="1"/>
  <c r="P258" i="1"/>
  <c r="R258" i="1"/>
  <c r="P198" i="1"/>
  <c r="R198" i="1"/>
  <c r="P132" i="1"/>
  <c r="R132" i="1"/>
  <c r="P102" i="1"/>
  <c r="R102" i="1"/>
  <c r="R858" i="1"/>
  <c r="R843" i="1"/>
  <c r="R696" i="1"/>
  <c r="R996" i="1"/>
  <c r="R990" i="1"/>
  <c r="P766" i="1"/>
  <c r="R766" i="1"/>
  <c r="P706" i="1"/>
  <c r="R706" i="1"/>
  <c r="P700" i="1"/>
  <c r="R700" i="1"/>
  <c r="P616" i="1"/>
  <c r="R616" i="1"/>
  <c r="P448" i="1"/>
  <c r="R448" i="1"/>
  <c r="P412" i="1"/>
  <c r="R412" i="1"/>
  <c r="P400" i="1"/>
  <c r="R400" i="1"/>
  <c r="P352" i="1"/>
  <c r="R352" i="1"/>
  <c r="P340" i="1"/>
  <c r="R340" i="1"/>
  <c r="P274" i="1"/>
  <c r="R274" i="1"/>
  <c r="P244" i="1"/>
  <c r="R244" i="1"/>
  <c r="P214" i="1"/>
  <c r="R214" i="1"/>
  <c r="P839" i="1"/>
  <c r="R916" i="1"/>
  <c r="R690" i="1"/>
  <c r="P998" i="1"/>
  <c r="P992" i="1"/>
  <c r="P986" i="1"/>
  <c r="P980" i="1"/>
  <c r="P968" i="1"/>
  <c r="P956" i="1"/>
  <c r="P902" i="1"/>
  <c r="P896" i="1"/>
  <c r="P806" i="1"/>
  <c r="P776" i="1"/>
  <c r="P770" i="1"/>
  <c r="P722" i="1"/>
  <c r="P692" i="1"/>
  <c r="P668" i="1"/>
  <c r="P662" i="1"/>
  <c r="P644" i="1"/>
  <c r="P638" i="1"/>
  <c r="P632" i="1"/>
  <c r="P614" i="1"/>
  <c r="P578" i="1"/>
  <c r="P560" i="1"/>
  <c r="P542" i="1"/>
  <c r="P536" i="1"/>
  <c r="P518" i="1"/>
  <c r="P989" i="1"/>
  <c r="P982" i="1"/>
  <c r="P826" i="1"/>
  <c r="P790" i="1"/>
  <c r="P2" i="1"/>
  <c r="P994" i="1"/>
  <c r="P666" i="1"/>
  <c r="P606" i="1"/>
  <c r="P492" i="1"/>
  <c r="P462" i="1"/>
  <c r="P426" i="1"/>
  <c r="P366" i="1"/>
  <c r="P234" i="1"/>
  <c r="P174" i="1"/>
  <c r="P114" i="1"/>
  <c r="P942" i="1"/>
  <c r="P756" i="1"/>
  <c r="P372" i="1"/>
  <c r="P144" i="1"/>
  <c r="P204" i="1"/>
  <c r="P978" i="1"/>
  <c r="P876" i="1"/>
  <c r="P558" i="1"/>
  <c r="P396" i="1"/>
  <c r="P306" i="1"/>
  <c r="P270" i="1"/>
  <c r="P210" i="1"/>
  <c r="P150" i="1"/>
  <c r="P984" i="1"/>
  <c r="P948" i="1"/>
  <c r="P792" i="1"/>
  <c r="P718" i="1"/>
  <c r="P702" i="1"/>
  <c r="P588" i="1"/>
  <c r="P574" i="1"/>
  <c r="P534" i="1"/>
  <c r="P460" i="1"/>
  <c r="P438" i="1"/>
  <c r="P342" i="1"/>
  <c r="P276" i="1"/>
  <c r="P186" i="1"/>
  <c r="P90" i="1"/>
  <c r="P500" i="1"/>
  <c r="P488" i="1"/>
  <c r="P476" i="1"/>
  <c r="P464" i="1"/>
  <c r="P458" i="1"/>
  <c r="P440" i="1"/>
  <c r="P434" i="1"/>
  <c r="P422" i="1"/>
  <c r="P404" i="1"/>
  <c r="P398" i="1"/>
  <c r="P392" i="1"/>
  <c r="P386" i="1"/>
  <c r="P362" i="1"/>
  <c r="P356" i="1"/>
  <c r="P350" i="1"/>
  <c r="P344" i="1"/>
  <c r="P338" i="1"/>
  <c r="P314" i="1"/>
  <c r="P296" i="1"/>
  <c r="P266" i="1"/>
  <c r="P260" i="1"/>
  <c r="P242" i="1"/>
  <c r="P230" i="1"/>
  <c r="P218" i="1"/>
  <c r="P212" i="1"/>
  <c r="P206" i="1"/>
  <c r="P182" i="1"/>
  <c r="P176" i="1"/>
  <c r="P170" i="1"/>
  <c r="P164" i="1"/>
  <c r="P158" i="1"/>
  <c r="P152" i="1"/>
  <c r="P140" i="1"/>
  <c r="P134" i="1"/>
  <c r="P128" i="1"/>
  <c r="P122" i="1"/>
  <c r="P116" i="1"/>
  <c r="P110" i="1"/>
  <c r="P104" i="1"/>
  <c r="P98" i="1"/>
  <c r="P92" i="1"/>
  <c r="P86" i="1"/>
  <c r="P80" i="1"/>
  <c r="P68" i="1"/>
  <c r="P62" i="1"/>
  <c r="P56" i="1"/>
  <c r="P44" i="1"/>
  <c r="P38" i="1"/>
  <c r="P32" i="1"/>
  <c r="P26" i="1"/>
  <c r="P20" i="1"/>
  <c r="P14" i="1"/>
  <c r="P8" i="1"/>
  <c r="N942" i="1"/>
  <c r="N151" i="1"/>
  <c r="N204" i="1"/>
  <c r="N993" i="1"/>
  <c r="N982" i="1"/>
  <c r="N792" i="1"/>
  <c r="N981" i="1"/>
  <c r="N668" i="1"/>
  <c r="N266" i="1"/>
  <c r="N999" i="1"/>
  <c r="N987" i="1"/>
  <c r="N483" i="1"/>
  <c r="N381" i="1"/>
  <c r="N983" i="1"/>
  <c r="N1000" i="1"/>
  <c r="N158" i="1"/>
  <c r="N735" i="1"/>
  <c r="N915" i="1"/>
  <c r="N759" i="1"/>
  <c r="N729" i="1"/>
  <c r="N609" i="1"/>
  <c r="N405" i="1"/>
  <c r="N998" i="1"/>
  <c r="N980" i="1"/>
  <c r="N770" i="1"/>
  <c r="N662" i="1"/>
  <c r="N997" i="1"/>
  <c r="N985" i="1"/>
  <c r="N919" i="1"/>
  <c r="N841" i="1"/>
  <c r="N823" i="1"/>
  <c r="N876" i="1"/>
  <c r="N552" i="1"/>
  <c r="N995" i="1"/>
  <c r="N977" i="1"/>
  <c r="N843" i="1"/>
  <c r="N753" i="1"/>
  <c r="N699" i="1"/>
  <c r="N579" i="1"/>
  <c r="N555" i="1"/>
  <c r="N459" i="1"/>
  <c r="N435" i="1"/>
  <c r="N986" i="1"/>
  <c r="N968" i="1"/>
  <c r="N896" i="1"/>
  <c r="N722" i="1"/>
  <c r="N979" i="1"/>
  <c r="N989" i="1"/>
  <c r="N905" i="1"/>
  <c r="N994" i="1"/>
  <c r="N988" i="1"/>
  <c r="N976" i="1"/>
  <c r="N916" i="1"/>
  <c r="N838" i="1"/>
  <c r="N826" i="1"/>
  <c r="N808" i="1"/>
  <c r="N790" i="1"/>
  <c r="N784" i="1"/>
  <c r="N766" i="1"/>
  <c r="N825" i="1"/>
  <c r="N765" i="1"/>
  <c r="N705" i="1"/>
  <c r="N627" i="1"/>
  <c r="N525" i="1"/>
  <c r="N447" i="1"/>
  <c r="N423" i="1"/>
  <c r="N399" i="1"/>
  <c r="N345" i="1"/>
  <c r="N339" i="1"/>
  <c r="N333" i="1"/>
  <c r="N327" i="1"/>
  <c r="N297" i="1"/>
  <c r="N291" i="1"/>
  <c r="N279" i="1"/>
  <c r="N267" i="1"/>
  <c r="N261" i="1"/>
  <c r="N243" i="1"/>
  <c r="N237" i="1"/>
  <c r="N225" i="1"/>
  <c r="N219" i="1"/>
  <c r="N213" i="1"/>
  <c r="N201" i="1"/>
  <c r="N189" i="1"/>
  <c r="N183" i="1"/>
  <c r="N177" i="1"/>
  <c r="N153" i="1"/>
  <c r="N141" i="1"/>
  <c r="N135" i="1"/>
  <c r="N129" i="1"/>
  <c r="N117" i="1"/>
  <c r="N105" i="1"/>
  <c r="N93" i="1"/>
  <c r="N87" i="1"/>
  <c r="N81" i="1"/>
  <c r="N75" i="1"/>
  <c r="N69" i="1"/>
  <c r="N63" i="1"/>
  <c r="N57" i="1"/>
  <c r="N45" i="1"/>
  <c r="N39" i="1"/>
  <c r="N33" i="1"/>
  <c r="N27" i="1"/>
  <c r="N20" i="1"/>
  <c r="N14" i="1"/>
  <c r="N8" i="1"/>
  <c r="N2" i="1"/>
  <c r="N98" i="1"/>
  <c r="N116" i="1"/>
  <c r="N206" i="1"/>
  <c r="N1001" i="1"/>
  <c r="N947" i="1"/>
  <c r="N500" i="1"/>
  <c r="N717" i="1"/>
  <c r="N639" i="1"/>
  <c r="N615" i="1"/>
  <c r="N567" i="1"/>
  <c r="N519" i="1"/>
  <c r="N441" i="1"/>
  <c r="N417" i="1"/>
  <c r="N357" i="1"/>
  <c r="N992" i="1"/>
  <c r="N956" i="1"/>
  <c r="N902" i="1"/>
  <c r="N806" i="1"/>
  <c r="N776" i="1"/>
  <c r="N692" i="1"/>
  <c r="N644" i="1"/>
  <c r="N638" i="1"/>
  <c r="N632" i="1"/>
  <c r="N614" i="1"/>
  <c r="N578" i="1"/>
  <c r="N560" i="1"/>
  <c r="N542" i="1"/>
  <c r="N536" i="1"/>
  <c r="N518" i="1"/>
  <c r="N488" i="1"/>
  <c r="N476" i="1"/>
  <c r="N464" i="1"/>
  <c r="N458" i="1"/>
  <c r="N440" i="1"/>
  <c r="N434" i="1"/>
  <c r="N422" i="1"/>
  <c r="N404" i="1"/>
  <c r="N398" i="1"/>
  <c r="N392" i="1"/>
  <c r="N386" i="1"/>
  <c r="N362" i="1"/>
  <c r="N356" i="1"/>
  <c r="N350" i="1"/>
  <c r="N344" i="1"/>
  <c r="N338" i="1"/>
  <c r="N314" i="1"/>
  <c r="N296" i="1"/>
  <c r="N260" i="1"/>
  <c r="N242" i="1"/>
  <c r="N170" i="1"/>
  <c r="N134" i="1"/>
  <c r="N80" i="1"/>
  <c r="N62" i="1"/>
  <c r="N44" i="1"/>
  <c r="N757" i="1"/>
  <c r="N697" i="1"/>
  <c r="N667" i="1"/>
  <c r="N637" i="1"/>
  <c r="N619" i="1"/>
  <c r="N613" i="1"/>
  <c r="N607" i="1"/>
  <c r="N601" i="1"/>
  <c r="N595" i="1"/>
  <c r="N589" i="1"/>
  <c r="N143" i="1"/>
  <c r="N529" i="1"/>
  <c r="N517" i="1"/>
  <c r="N493" i="1"/>
  <c r="N457" i="1"/>
  <c r="N451" i="1"/>
  <c r="N433" i="1"/>
  <c r="N403" i="1"/>
  <c r="N397" i="1"/>
  <c r="N391" i="1"/>
  <c r="N355" i="1"/>
  <c r="N349" i="1"/>
  <c r="N343" i="1"/>
  <c r="N725" i="1"/>
  <c r="N325" i="1"/>
  <c r="N301" i="1"/>
  <c r="N295" i="1"/>
  <c r="N271" i="1"/>
  <c r="N259" i="1"/>
  <c r="N253" i="1"/>
  <c r="N247" i="1"/>
  <c r="N235" i="1"/>
  <c r="N211" i="1"/>
  <c r="N205" i="1"/>
  <c r="N193" i="1"/>
  <c r="N175" i="1"/>
  <c r="N169" i="1"/>
  <c r="N163" i="1"/>
  <c r="N139" i="1"/>
  <c r="N133" i="1"/>
  <c r="N127" i="1"/>
  <c r="N121" i="1"/>
  <c r="N115" i="1"/>
  <c r="N109" i="1"/>
  <c r="N103" i="1"/>
  <c r="N97" i="1"/>
  <c r="N91" i="1"/>
  <c r="N85" i="1"/>
  <c r="N79" i="1"/>
  <c r="N73" i="1"/>
  <c r="N67" i="1"/>
  <c r="N55" i="1"/>
  <c r="N49" i="1"/>
  <c r="N43" i="1"/>
  <c r="N31" i="1"/>
  <c r="N18" i="1"/>
  <c r="N12" i="1"/>
  <c r="N727" i="1"/>
  <c r="N703" i="1"/>
  <c r="N984" i="1"/>
  <c r="N948" i="1"/>
  <c r="N30" i="1"/>
  <c r="N756" i="1"/>
  <c r="N702" i="1"/>
  <c r="N684" i="1"/>
  <c r="N606" i="1"/>
  <c r="N120" i="1"/>
  <c r="N558" i="1"/>
  <c r="N540" i="1"/>
  <c r="N516" i="1"/>
  <c r="N492" i="1"/>
  <c r="N480" i="1"/>
  <c r="N462" i="1"/>
  <c r="N456" i="1"/>
  <c r="N450" i="1"/>
  <c r="N444" i="1"/>
  <c r="N438" i="1"/>
  <c r="N426" i="1"/>
  <c r="N414" i="1"/>
  <c r="N396" i="1"/>
  <c r="N384" i="1"/>
  <c r="N372" i="1"/>
  <c r="N366" i="1"/>
  <c r="N360" i="1"/>
  <c r="N354" i="1"/>
  <c r="N348" i="1"/>
  <c r="N342" i="1"/>
  <c r="N324" i="1"/>
  <c r="N318" i="1"/>
  <c r="N306" i="1"/>
  <c r="N288" i="1"/>
  <c r="N276" i="1"/>
  <c r="N270" i="1"/>
  <c r="N258" i="1"/>
  <c r="N252" i="1"/>
  <c r="N234" i="1"/>
  <c r="N228" i="1"/>
  <c r="N198" i="1"/>
  <c r="N192" i="1"/>
  <c r="N186" i="1"/>
  <c r="N174" i="1"/>
  <c r="N168" i="1"/>
  <c r="N144" i="1"/>
  <c r="N138" i="1"/>
  <c r="N132" i="1"/>
  <c r="N152" i="1"/>
  <c r="N114" i="1"/>
  <c r="N108" i="1"/>
  <c r="N102" i="1"/>
  <c r="N90" i="1"/>
  <c r="N78" i="1"/>
  <c r="N72" i="1"/>
  <c r="N66" i="1"/>
  <c r="N60" i="1"/>
  <c r="N54" i="1"/>
  <c r="N48" i="1"/>
  <c r="N42" i="1"/>
  <c r="N36" i="1"/>
  <c r="N696" i="1"/>
  <c r="N23" i="1"/>
  <c r="N17" i="1"/>
  <c r="N11" i="1"/>
  <c r="N5" i="1"/>
  <c r="N996" i="1"/>
  <c r="N990" i="1"/>
  <c r="N978" i="1"/>
  <c r="N846" i="1"/>
  <c r="N858" i="1"/>
  <c r="N690" i="1"/>
  <c r="N666" i="1"/>
  <c r="N600" i="1"/>
  <c r="N588" i="1"/>
  <c r="N534" i="1"/>
  <c r="N863" i="1"/>
  <c r="N839" i="1"/>
  <c r="N797" i="1"/>
  <c r="N785" i="1"/>
  <c r="N767" i="1"/>
  <c r="N749" i="1"/>
  <c r="N701" i="1"/>
  <c r="N677" i="1"/>
  <c r="N671" i="1"/>
  <c r="N659" i="1"/>
  <c r="N641" i="1"/>
  <c r="N623" i="1"/>
  <c r="N593" i="1"/>
  <c r="N549" i="1"/>
  <c r="N527" i="1"/>
  <c r="N497" i="1"/>
  <c r="N473" i="1"/>
  <c r="N461" i="1"/>
  <c r="N449" i="1"/>
  <c r="N443" i="1"/>
  <c r="N431" i="1"/>
  <c r="N419" i="1"/>
  <c r="N413" i="1"/>
  <c r="N401" i="1"/>
  <c r="N831" i="1"/>
  <c r="N383" i="1"/>
  <c r="N359" i="1"/>
  <c r="N353" i="1"/>
  <c r="N335" i="1"/>
  <c r="N329" i="1"/>
  <c r="N323" i="1"/>
  <c r="N311" i="1"/>
  <c r="N299" i="1"/>
  <c r="N293" i="1"/>
  <c r="N287" i="1"/>
  <c r="N281" i="1"/>
  <c r="N257" i="1"/>
  <c r="N251" i="1"/>
  <c r="N239" i="1"/>
  <c r="N227" i="1"/>
  <c r="N209" i="1"/>
  <c r="N197" i="1"/>
  <c r="N185" i="1"/>
  <c r="N26" i="1"/>
  <c r="N718" i="1"/>
  <c r="N706" i="1"/>
  <c r="N700" i="1"/>
  <c r="N622" i="1"/>
  <c r="N616" i="1"/>
  <c r="N574" i="1"/>
  <c r="N532" i="1"/>
  <c r="N460" i="1"/>
  <c r="N454" i="1"/>
  <c r="N448" i="1"/>
  <c r="N424" i="1"/>
  <c r="N418" i="1"/>
  <c r="N412" i="1"/>
  <c r="N406" i="1"/>
  <c r="N400" i="1"/>
  <c r="N394" i="1"/>
  <c r="N382" i="1"/>
  <c r="N364" i="1"/>
  <c r="N352" i="1"/>
  <c r="N340" i="1"/>
  <c r="N328" i="1"/>
  <c r="N322" i="1"/>
  <c r="N316" i="1"/>
  <c r="N292" i="1"/>
  <c r="N274" i="1"/>
  <c r="N268" i="1"/>
  <c r="N256" i="1"/>
  <c r="N244" i="1"/>
  <c r="N232" i="1"/>
  <c r="N226" i="1"/>
  <c r="N220" i="1"/>
  <c r="N214" i="1"/>
  <c r="N196" i="1"/>
  <c r="N190" i="1"/>
  <c r="N178" i="1"/>
  <c r="N172" i="1"/>
  <c r="N166" i="1"/>
  <c r="N160" i="1"/>
  <c r="N154" i="1"/>
  <c r="N142" i="1"/>
  <c r="N136" i="1"/>
  <c r="N130" i="1"/>
  <c r="N118" i="1"/>
  <c r="N112" i="1"/>
  <c r="N106" i="1"/>
  <c r="N94" i="1"/>
  <c r="N88" i="1"/>
  <c r="N76" i="1"/>
  <c r="N64" i="1"/>
  <c r="N58" i="1"/>
  <c r="N52" i="1"/>
  <c r="N46" i="1"/>
  <c r="N40" i="1"/>
  <c r="N34" i="1"/>
  <c r="N28" i="1"/>
  <c r="N21" i="1"/>
  <c r="N15" i="1"/>
  <c r="N9" i="1"/>
  <c r="N3" i="1"/>
  <c r="N179" i="1"/>
  <c r="N173" i="1"/>
  <c r="N161" i="1"/>
  <c r="N155" i="1"/>
  <c r="N149" i="1"/>
  <c r="N570" i="1"/>
  <c r="N137" i="1"/>
  <c r="N131" i="1"/>
  <c r="N125" i="1"/>
  <c r="N119" i="1"/>
  <c r="N113" i="1"/>
  <c r="N107" i="1"/>
  <c r="N101" i="1"/>
  <c r="N95" i="1"/>
  <c r="N89" i="1"/>
  <c r="N77" i="1"/>
  <c r="N71" i="1"/>
  <c r="N65" i="1"/>
  <c r="N59" i="1"/>
  <c r="N53" i="1"/>
  <c r="N41" i="1"/>
  <c r="N35" i="1"/>
  <c r="N29" i="1"/>
  <c r="N22" i="1"/>
  <c r="N16" i="1"/>
  <c r="N10" i="1"/>
  <c r="N4" i="1"/>
  <c r="N230" i="1"/>
  <c r="N218" i="1"/>
  <c r="N212" i="1"/>
  <c r="N182" i="1"/>
  <c r="N176" i="1"/>
  <c r="N164" i="1"/>
  <c r="N140" i="1"/>
  <c r="N122" i="1"/>
  <c r="N110" i="1"/>
  <c r="N104" i="1"/>
  <c r="N92" i="1"/>
  <c r="N86" i="1"/>
  <c r="N68" i="1"/>
  <c r="N56" i="1"/>
  <c r="N38" i="1"/>
  <c r="N32" i="1"/>
  <c r="N25" i="1"/>
  <c r="N19" i="1"/>
  <c r="N13" i="1"/>
  <c r="N7" i="1"/>
  <c r="L979" i="1"/>
  <c r="L519" i="1"/>
  <c r="L997" i="1"/>
  <c r="L984" i="1"/>
  <c r="L876" i="1"/>
  <c r="L985" i="1"/>
  <c r="L990" i="1"/>
  <c r="L919" i="1"/>
  <c r="L996" i="1"/>
  <c r="L684" i="1"/>
  <c r="L666" i="1"/>
  <c r="L480" i="1"/>
  <c r="L456" i="1"/>
  <c r="L438" i="1"/>
  <c r="L426" i="1"/>
  <c r="L414" i="1"/>
  <c r="L396" i="1"/>
  <c r="L384" i="1"/>
  <c r="L372" i="1"/>
  <c r="L366" i="1"/>
  <c r="L360" i="1"/>
  <c r="L354" i="1"/>
  <c r="L348" i="1"/>
  <c r="L342" i="1"/>
  <c r="L324" i="1"/>
  <c r="L318" i="1"/>
  <c r="L306" i="1"/>
  <c r="L288" i="1"/>
  <c r="L1001" i="1"/>
  <c r="L995" i="1"/>
  <c r="L989" i="1"/>
  <c r="L983" i="1"/>
  <c r="L977" i="1"/>
  <c r="L947" i="1"/>
  <c r="L905" i="1"/>
  <c r="L863" i="1"/>
  <c r="L839" i="1"/>
  <c r="L797" i="1"/>
  <c r="L785" i="1"/>
  <c r="L978" i="1"/>
  <c r="L948" i="1"/>
  <c r="L858" i="1"/>
  <c r="L702" i="1"/>
  <c r="L588" i="1"/>
  <c r="L450" i="1"/>
  <c r="L994" i="1"/>
  <c r="L976" i="1"/>
  <c r="L838" i="1"/>
  <c r="L826" i="1"/>
  <c r="L790" i="1"/>
  <c r="L460" i="1"/>
  <c r="L454" i="1"/>
  <c r="L448" i="1"/>
  <c r="L442" i="1"/>
  <c r="L424" i="1"/>
  <c r="L418" i="1"/>
  <c r="L412" i="1"/>
  <c r="L406" i="1"/>
  <c r="L400" i="1"/>
  <c r="L394" i="1"/>
  <c r="L382" i="1"/>
  <c r="L364" i="1"/>
  <c r="L352" i="1"/>
  <c r="L340" i="1"/>
  <c r="L316" i="1"/>
  <c r="L244" i="1"/>
  <c r="L823" i="1"/>
  <c r="L792" i="1"/>
  <c r="L690" i="1"/>
  <c r="L600" i="1"/>
  <c r="L552" i="1"/>
  <c r="L534" i="1"/>
  <c r="L462" i="1"/>
  <c r="L1000" i="1"/>
  <c r="L982" i="1"/>
  <c r="L916" i="1"/>
  <c r="L808" i="1"/>
  <c r="L784" i="1"/>
  <c r="L706" i="1"/>
  <c r="L700" i="1"/>
  <c r="L622" i="1"/>
  <c r="L616" i="1"/>
  <c r="L574" i="1"/>
  <c r="L993" i="1"/>
  <c r="L981" i="1"/>
  <c r="L915" i="1"/>
  <c r="L843" i="1"/>
  <c r="L825" i="1"/>
  <c r="L765" i="1"/>
  <c r="L759" i="1"/>
  <c r="L753" i="1"/>
  <c r="L735" i="1"/>
  <c r="L729" i="1"/>
  <c r="L717" i="1"/>
  <c r="L705" i="1"/>
  <c r="L699" i="1"/>
  <c r="L627" i="1"/>
  <c r="L483" i="1"/>
  <c r="L756" i="1"/>
  <c r="L606" i="1"/>
  <c r="L558" i="1"/>
  <c r="L540" i="1"/>
  <c r="L516" i="1"/>
  <c r="L492" i="1"/>
  <c r="L444" i="1"/>
  <c r="L988" i="1"/>
  <c r="L766" i="1"/>
  <c r="L718" i="1"/>
  <c r="L532" i="1"/>
  <c r="L999" i="1"/>
  <c r="L987" i="1"/>
  <c r="L998" i="1"/>
  <c r="L992" i="1"/>
  <c r="L986" i="1"/>
  <c r="L980" i="1"/>
  <c r="L968" i="1"/>
  <c r="L956" i="1"/>
  <c r="L902" i="1"/>
  <c r="L896" i="1"/>
  <c r="L806" i="1"/>
  <c r="L776" i="1"/>
  <c r="L770" i="1"/>
  <c r="L722" i="1"/>
  <c r="L692" i="1"/>
  <c r="L668" i="1"/>
  <c r="L614" i="1"/>
  <c r="L560" i="1"/>
  <c r="L841" i="1"/>
  <c r="L757" i="1"/>
  <c r="L727" i="1"/>
  <c r="L697" i="1"/>
  <c r="L667" i="1"/>
  <c r="L637" i="1"/>
  <c r="L619" i="1"/>
  <c r="L613" i="1"/>
  <c r="L607" i="1"/>
  <c r="L601" i="1"/>
  <c r="L595" i="1"/>
  <c r="L589" i="1"/>
  <c r="L529" i="1"/>
  <c r="L517" i="1"/>
  <c r="L493" i="1"/>
  <c r="L457" i="1"/>
  <c r="L451" i="1"/>
  <c r="L433" i="1"/>
  <c r="L409" i="1"/>
  <c r="L403" i="1"/>
  <c r="L397" i="1"/>
  <c r="L391" i="1"/>
  <c r="L355" i="1"/>
  <c r="L349" i="1"/>
  <c r="L343" i="1"/>
  <c r="L725" i="1"/>
  <c r="L325" i="1"/>
  <c r="L301" i="1"/>
  <c r="L295" i="1"/>
  <c r="L271" i="1"/>
  <c r="L259" i="1"/>
  <c r="L253" i="1"/>
  <c r="L247" i="1"/>
  <c r="L235" i="1"/>
  <c r="L211" i="1"/>
  <c r="L205" i="1"/>
  <c r="L127" i="1"/>
  <c r="L85" i="1"/>
  <c r="L55" i="1"/>
  <c r="L276" i="1"/>
  <c r="L270" i="1"/>
  <c r="L258" i="1"/>
  <c r="L252" i="1"/>
  <c r="L234" i="1"/>
  <c r="L228" i="1"/>
  <c r="L210" i="1"/>
  <c r="L198" i="1"/>
  <c r="L192" i="1"/>
  <c r="L186" i="1"/>
  <c r="L174" i="1"/>
  <c r="L168" i="1"/>
  <c r="L150" i="1"/>
  <c r="L144" i="1"/>
  <c r="L138" i="1"/>
  <c r="L132" i="1"/>
  <c r="L152" i="1"/>
  <c r="L114" i="1"/>
  <c r="L108" i="1"/>
  <c r="L102" i="1"/>
  <c r="L90" i="1"/>
  <c r="L78" i="1"/>
  <c r="L72" i="1"/>
  <c r="L66" i="1"/>
  <c r="L60" i="1"/>
  <c r="L54" i="1"/>
  <c r="L48" i="1"/>
  <c r="L42" i="1"/>
  <c r="L36" i="1"/>
  <c r="L23" i="1"/>
  <c r="L17" i="1"/>
  <c r="L11" i="1"/>
  <c r="L767" i="1"/>
  <c r="L749" i="1"/>
  <c r="L701" i="1"/>
  <c r="L677" i="1"/>
  <c r="L671" i="1"/>
  <c r="L659" i="1"/>
  <c r="L641" i="1"/>
  <c r="L623" i="1"/>
  <c r="L593" i="1"/>
  <c r="L527" i="1"/>
  <c r="L497" i="1"/>
  <c r="L473" i="1"/>
  <c r="L461" i="1"/>
  <c r="L449" i="1"/>
  <c r="L443" i="1"/>
  <c r="L431" i="1"/>
  <c r="L419" i="1"/>
  <c r="L413" i="1"/>
  <c r="L401" i="1"/>
  <c r="L383" i="1"/>
  <c r="L359" i="1"/>
  <c r="L353" i="1"/>
  <c r="L335" i="1"/>
  <c r="L329" i="1"/>
  <c r="L323" i="1"/>
  <c r="L311" i="1"/>
  <c r="L299" i="1"/>
  <c r="L293" i="1"/>
  <c r="L287" i="1"/>
  <c r="L281" i="1"/>
  <c r="L257" i="1"/>
  <c r="L251" i="1"/>
  <c r="L239" i="1"/>
  <c r="L227" i="1"/>
  <c r="L209" i="1"/>
  <c r="L197" i="1"/>
  <c r="L185" i="1"/>
  <c r="L328" i="1"/>
  <c r="L322" i="1"/>
  <c r="L292" i="1"/>
  <c r="L274" i="1"/>
  <c r="L268" i="1"/>
  <c r="L256" i="1"/>
  <c r="L232" i="1"/>
  <c r="L226" i="1"/>
  <c r="L220" i="1"/>
  <c r="L214" i="1"/>
  <c r="L196" i="1"/>
  <c r="L190" i="1"/>
  <c r="L178" i="1"/>
  <c r="L172" i="1"/>
  <c r="L166" i="1"/>
  <c r="L160" i="1"/>
  <c r="L154" i="1"/>
  <c r="L142" i="1"/>
  <c r="L136" i="1"/>
  <c r="L130" i="1"/>
  <c r="L118" i="1"/>
  <c r="L112" i="1"/>
  <c r="L106" i="1"/>
  <c r="L100" i="1"/>
  <c r="L94" i="1"/>
  <c r="L88" i="1"/>
  <c r="L76" i="1"/>
  <c r="L70" i="1"/>
  <c r="L64" i="1"/>
  <c r="L58" i="1"/>
  <c r="L52" i="1"/>
  <c r="L46" i="1"/>
  <c r="L40" i="1"/>
  <c r="L34" i="1"/>
  <c r="L21" i="1"/>
  <c r="L15" i="1"/>
  <c r="L9" i="1"/>
  <c r="L639" i="1"/>
  <c r="L615" i="1"/>
  <c r="L609" i="1"/>
  <c r="L579" i="1"/>
  <c r="L567" i="1"/>
  <c r="L555" i="1"/>
  <c r="L525" i="1"/>
  <c r="L459" i="1"/>
  <c r="L447" i="1"/>
  <c r="L441" i="1"/>
  <c r="L435" i="1"/>
  <c r="L423" i="1"/>
  <c r="L417" i="1"/>
  <c r="L405" i="1"/>
  <c r="L399" i="1"/>
  <c r="L381" i="1"/>
  <c r="L363" i="1"/>
  <c r="L357" i="1"/>
  <c r="L345" i="1"/>
  <c r="L339" i="1"/>
  <c r="L333" i="1"/>
  <c r="L327" i="1"/>
  <c r="L297" i="1"/>
  <c r="L291" i="1"/>
  <c r="L279" i="1"/>
  <c r="L273" i="1"/>
  <c r="L267" i="1"/>
  <c r="L261" i="1"/>
  <c r="L243" i="1"/>
  <c r="L237" i="1"/>
  <c r="L225" i="1"/>
  <c r="L219" i="1"/>
  <c r="L213" i="1"/>
  <c r="L201" i="1"/>
  <c r="L189" i="1"/>
  <c r="L177" i="1"/>
  <c r="L171" i="1"/>
  <c r="L662" i="1"/>
  <c r="L644" i="1"/>
  <c r="L638" i="1"/>
  <c r="L632" i="1"/>
  <c r="L578" i="1"/>
  <c r="L542" i="1"/>
  <c r="L536" i="1"/>
  <c r="L518" i="1"/>
  <c r="L488" i="1"/>
  <c r="L476" i="1"/>
  <c r="L464" i="1"/>
  <c r="L458" i="1"/>
  <c r="L440" i="1"/>
  <c r="L434" i="1"/>
  <c r="L422" i="1"/>
  <c r="L404" i="1"/>
  <c r="L398" i="1"/>
  <c r="L392" i="1"/>
  <c r="L386" i="1"/>
  <c r="L362" i="1"/>
  <c r="L356" i="1"/>
  <c r="L350" i="1"/>
  <c r="L344" i="1"/>
  <c r="L338" i="1"/>
  <c r="L314" i="1"/>
  <c r="L296" i="1"/>
  <c r="L266" i="1"/>
  <c r="L260" i="1"/>
  <c r="L242" i="1"/>
  <c r="L230" i="1"/>
  <c r="L218" i="1"/>
  <c r="L212" i="1"/>
  <c r="L206" i="1"/>
  <c r="L182" i="1"/>
  <c r="L176" i="1"/>
  <c r="L170" i="1"/>
  <c r="L164" i="1"/>
  <c r="L140" i="1"/>
  <c r="L134" i="1"/>
  <c r="L128" i="1"/>
  <c r="L122" i="1"/>
  <c r="L173" i="1"/>
  <c r="L161" i="1"/>
  <c r="L155" i="1"/>
  <c r="L149" i="1"/>
  <c r="L570" i="1"/>
  <c r="L137" i="1"/>
  <c r="L131" i="1"/>
  <c r="L125" i="1"/>
  <c r="L119" i="1"/>
  <c r="L113" i="1"/>
  <c r="L107" i="1"/>
  <c r="L101" i="1"/>
  <c r="L95" i="1"/>
  <c r="L77" i="1"/>
  <c r="L71" i="1"/>
  <c r="L65" i="1"/>
  <c r="L59" i="1"/>
  <c r="L53" i="1"/>
  <c r="L41" i="1"/>
  <c r="L35" i="1"/>
  <c r="L29" i="1"/>
  <c r="L22" i="1"/>
  <c r="L16" i="1"/>
  <c r="L10" i="1"/>
  <c r="L4" i="1"/>
  <c r="L26" i="1"/>
  <c r="L153" i="1"/>
  <c r="L141" i="1"/>
  <c r="L135" i="1"/>
  <c r="L129" i="1"/>
  <c r="L117" i="1"/>
  <c r="L105" i="1"/>
  <c r="L93" i="1"/>
  <c r="L87" i="1"/>
  <c r="L81" i="1"/>
  <c r="L75" i="1"/>
  <c r="L69" i="1"/>
  <c r="L63" i="1"/>
  <c r="L57" i="1"/>
  <c r="L51" i="1"/>
  <c r="L45" i="1"/>
  <c r="L39" i="1"/>
  <c r="L33" i="1"/>
  <c r="L27" i="1"/>
  <c r="L20" i="1"/>
  <c r="L14" i="1"/>
  <c r="L8" i="1"/>
  <c r="L2" i="1"/>
  <c r="L116" i="1"/>
  <c r="L110" i="1"/>
  <c r="L104" i="1"/>
  <c r="L98" i="1"/>
  <c r="L92" i="1"/>
  <c r="L86" i="1"/>
  <c r="L80" i="1"/>
  <c r="L68" i="1"/>
  <c r="L62" i="1"/>
  <c r="L56" i="1"/>
  <c r="L44" i="1"/>
  <c r="L38" i="1"/>
  <c r="L32" i="1"/>
  <c r="L25" i="1"/>
  <c r="L19" i="1"/>
  <c r="L13" i="1"/>
  <c r="L7" i="1"/>
  <c r="L193" i="1"/>
  <c r="L175" i="1"/>
  <c r="L169" i="1"/>
  <c r="L163" i="1"/>
  <c r="L139" i="1"/>
  <c r="L133" i="1"/>
  <c r="L121" i="1"/>
  <c r="L115" i="1"/>
  <c r="L109" i="1"/>
  <c r="L103" i="1"/>
  <c r="L97" i="1"/>
  <c r="L91" i="1"/>
  <c r="L79" i="1"/>
  <c r="L73" i="1"/>
  <c r="L67" i="1"/>
  <c r="L49" i="1"/>
  <c r="L43" i="1"/>
  <c r="L37" i="1"/>
  <c r="L31" i="1"/>
  <c r="L24" i="1"/>
  <c r="L18" i="1"/>
  <c r="L12" i="1"/>
  <c r="L6" i="1"/>
  <c r="J14" i="4" l="1"/>
  <c r="K12" i="4"/>
  <c r="Q4" i="4"/>
  <c r="Q48" i="4"/>
  <c r="Q56" i="4"/>
  <c r="K16" i="4"/>
  <c r="K24" i="4"/>
  <c r="J76" i="4"/>
  <c r="K112" i="4"/>
  <c r="K89" i="4"/>
  <c r="K109" i="4"/>
  <c r="K129" i="4"/>
  <c r="K149" i="4"/>
  <c r="J104" i="4"/>
  <c r="J148" i="4"/>
  <c r="J164" i="4"/>
  <c r="J168" i="4"/>
  <c r="J180" i="4"/>
  <c r="J184" i="4"/>
  <c r="J200" i="4"/>
  <c r="J216" i="4"/>
  <c r="J232" i="4"/>
  <c r="J248" i="4"/>
  <c r="J272" i="4"/>
  <c r="J332" i="4"/>
  <c r="J348" i="4"/>
  <c r="J364" i="4"/>
  <c r="J380" i="4"/>
  <c r="J396" i="4"/>
  <c r="J428" i="4"/>
  <c r="K95" i="4"/>
  <c r="K167" i="4"/>
  <c r="K183" i="4"/>
  <c r="K215" i="4"/>
  <c r="K231" i="4"/>
  <c r="K263" i="4"/>
  <c r="K279" i="4"/>
  <c r="K311" i="4"/>
  <c r="K327" i="4"/>
  <c r="K359" i="4"/>
  <c r="K375" i="4"/>
  <c r="K407" i="4"/>
  <c r="K423" i="4"/>
  <c r="J81" i="4"/>
  <c r="J201" i="4"/>
  <c r="J221" i="4"/>
  <c r="J229" i="4"/>
  <c r="J261" i="4"/>
  <c r="J289" i="4"/>
  <c r="J317" i="4"/>
  <c r="J321" i="4"/>
  <c r="J329" i="4"/>
  <c r="J353" i="4"/>
  <c r="J433" i="4"/>
  <c r="K292" i="4"/>
  <c r="K308" i="4"/>
  <c r="K324" i="4"/>
  <c r="K340" i="4"/>
  <c r="K356" i="4"/>
  <c r="K372" i="4"/>
  <c r="K388" i="4"/>
  <c r="K404" i="4"/>
  <c r="K420" i="4"/>
  <c r="K105" i="4"/>
  <c r="K165" i="4"/>
  <c r="K197" i="4"/>
  <c r="K213" i="4"/>
  <c r="K245" i="4"/>
  <c r="K293" i="4"/>
  <c r="K309" i="4"/>
  <c r="K325" i="4"/>
  <c r="K341" i="4"/>
  <c r="K357" i="4"/>
  <c r="K389" i="4"/>
  <c r="K405" i="4"/>
  <c r="J83" i="4"/>
  <c r="J147" i="4"/>
  <c r="J219" i="4"/>
  <c r="J243" i="4"/>
  <c r="J339" i="4"/>
  <c r="J371" i="4"/>
  <c r="J399" i="4"/>
  <c r="J419" i="4"/>
  <c r="J431" i="4"/>
  <c r="J6" i="4"/>
  <c r="K36" i="4"/>
  <c r="K60" i="4"/>
  <c r="J70" i="4"/>
  <c r="Q70" i="4"/>
  <c r="J75" i="4"/>
  <c r="K30" i="4"/>
  <c r="K38" i="4"/>
  <c r="K46" i="4"/>
  <c r="K62" i="4"/>
  <c r="K70" i="4"/>
  <c r="K99" i="4"/>
  <c r="K119" i="4"/>
  <c r="K96" i="4"/>
  <c r="K160" i="4"/>
  <c r="K93" i="4"/>
  <c r="K113" i="4"/>
  <c r="J80" i="4"/>
  <c r="K155" i="4"/>
  <c r="K171" i="4"/>
  <c r="K203" i="4"/>
  <c r="K251" i="4"/>
  <c r="K267" i="4"/>
  <c r="K299" i="4"/>
  <c r="K315" i="4"/>
  <c r="K347" i="4"/>
  <c r="K363" i="4"/>
  <c r="K395" i="4"/>
  <c r="K411" i="4"/>
  <c r="J89" i="4"/>
  <c r="J101" i="4"/>
  <c r="J113" i="4"/>
  <c r="J153" i="4"/>
  <c r="J177" i="4"/>
  <c r="J189" i="4"/>
  <c r="J209" i="4"/>
  <c r="J237" i="4"/>
  <c r="J249" i="4"/>
  <c r="J285" i="4"/>
  <c r="J297" i="4"/>
  <c r="J337" i="4"/>
  <c r="J341" i="4"/>
  <c r="J369" i="4"/>
  <c r="J381" i="4"/>
  <c r="J393" i="4"/>
  <c r="K185" i="4"/>
  <c r="K233" i="4"/>
  <c r="K281" i="4"/>
  <c r="K313" i="4"/>
  <c r="K345" i="4"/>
  <c r="K377" i="4"/>
  <c r="K425" i="4"/>
  <c r="J131" i="4"/>
  <c r="J155" i="4"/>
  <c r="J207" i="4"/>
  <c r="J227" i="4"/>
  <c r="J239" i="4"/>
  <c r="J291" i="4"/>
  <c r="J303" i="4"/>
  <c r="J335" i="4"/>
  <c r="J387" i="4"/>
  <c r="J407" i="4"/>
  <c r="Q2" i="4"/>
  <c r="Q52" i="4"/>
  <c r="K52" i="4"/>
  <c r="J71" i="4"/>
  <c r="J22" i="4"/>
  <c r="K4" i="4"/>
  <c r="K20" i="4"/>
  <c r="K123" i="4"/>
  <c r="K144" i="4"/>
  <c r="K97" i="4"/>
  <c r="K117" i="4"/>
  <c r="K161" i="4"/>
  <c r="J176" i="4"/>
  <c r="J192" i="4"/>
  <c r="J208" i="4"/>
  <c r="J224" i="4"/>
  <c r="J240" i="4"/>
  <c r="J256" i="4"/>
  <c r="K159" i="4"/>
  <c r="K191" i="4"/>
  <c r="K255" i="4"/>
  <c r="K287" i="4"/>
  <c r="K351" i="4"/>
  <c r="K383" i="4"/>
  <c r="J161" i="4"/>
  <c r="J173" i="4"/>
  <c r="J197" i="4"/>
  <c r="J205" i="4"/>
  <c r="J225" i="4"/>
  <c r="J257" i="4"/>
  <c r="J273" i="4"/>
  <c r="J305" i="4"/>
  <c r="J401" i="4"/>
  <c r="J413" i="4"/>
  <c r="J417" i="4"/>
  <c r="J429" i="4"/>
  <c r="K137" i="4"/>
  <c r="K221" i="4"/>
  <c r="K269" i="4"/>
  <c r="K333" i="4"/>
  <c r="K365" i="4"/>
  <c r="J87" i="4"/>
  <c r="J107" i="4"/>
  <c r="J143" i="4"/>
  <c r="J195" i="4"/>
  <c r="J215" i="4"/>
  <c r="J267" i="4"/>
  <c r="J323" i="4"/>
  <c r="J395" i="4"/>
  <c r="J435" i="4"/>
  <c r="Q8" i="4"/>
  <c r="K8" i="4"/>
  <c r="K28" i="4"/>
  <c r="K44" i="4"/>
  <c r="K87" i="4"/>
  <c r="K107" i="4"/>
  <c r="K125" i="4"/>
  <c r="K83" i="4"/>
  <c r="K143" i="4"/>
  <c r="K179" i="4"/>
  <c r="K275" i="4"/>
  <c r="K323" i="4"/>
  <c r="K371" i="4"/>
  <c r="J149" i="4"/>
  <c r="J233" i="4"/>
  <c r="K209" i="4"/>
  <c r="K257" i="4"/>
  <c r="K305" i="4"/>
  <c r="J95" i="4"/>
  <c r="J275" i="4"/>
  <c r="Q293" i="4"/>
  <c r="Q281" i="4"/>
  <c r="Q251" i="4"/>
  <c r="Q365" i="4"/>
  <c r="Q347" i="4"/>
  <c r="Q203" i="4"/>
  <c r="Q179" i="4"/>
  <c r="Q129" i="4"/>
  <c r="Q165" i="4"/>
  <c r="Q201" i="4"/>
  <c r="Q237" i="4"/>
  <c r="Q309" i="4"/>
  <c r="Q345" i="4"/>
  <c r="Q381" i="4"/>
  <c r="Q417" i="4"/>
  <c r="J135" i="4"/>
  <c r="Q207" i="4"/>
  <c r="Q279" i="4"/>
  <c r="Q315" i="4"/>
  <c r="Q351" i="4"/>
  <c r="Q387" i="4"/>
  <c r="J141" i="4"/>
  <c r="Q213" i="4"/>
  <c r="Q285" i="4"/>
  <c r="Q321" i="4"/>
  <c r="Q357" i="4"/>
  <c r="Q393" i="4"/>
  <c r="J111" i="4"/>
  <c r="Q147" i="4"/>
  <c r="Q363" i="4"/>
  <c r="Q435" i="4"/>
  <c r="Q81" i="4"/>
  <c r="Q117" i="4"/>
  <c r="Q153" i="4"/>
  <c r="Q189" i="4"/>
  <c r="Q369" i="4"/>
  <c r="Q405" i="4"/>
  <c r="R195" i="4"/>
  <c r="L158" i="1"/>
  <c r="L30" i="1"/>
  <c r="L151" i="1"/>
  <c r="L204" i="1"/>
  <c r="L846" i="1"/>
  <c r="L696" i="1"/>
  <c r="L703" i="1"/>
  <c r="L120" i="1"/>
  <c r="L143" i="1"/>
  <c r="L549" i="1"/>
  <c r="L500" i="1"/>
  <c r="L831" i="1"/>
  <c r="L942" i="1"/>
</calcChain>
</file>

<file path=xl/sharedStrings.xml><?xml version="1.0" encoding="utf-8"?>
<sst xmlns="http://schemas.openxmlformats.org/spreadsheetml/2006/main" count="5486" uniqueCount="1978">
  <si>
    <t>id чека</t>
  </si>
  <si>
    <t>id товара</t>
  </si>
  <si>
    <t>цена за шт в рублях</t>
  </si>
  <si>
    <t>кол-во штук в чеке</t>
  </si>
  <si>
    <t>сумма чека</t>
  </si>
  <si>
    <t>дата создания чека</t>
  </si>
  <si>
    <t>магазин покупки</t>
  </si>
  <si>
    <t>id клиента</t>
  </si>
  <si>
    <t>Бристоль</t>
  </si>
  <si>
    <t>Дикси</t>
  </si>
  <si>
    <t>Городской Супермаркет</t>
  </si>
  <si>
    <t>Верный</t>
  </si>
  <si>
    <t>Спар</t>
  </si>
  <si>
    <t>Карусель</t>
  </si>
  <si>
    <t>Мираторг</t>
  </si>
  <si>
    <t>Мосмарт</t>
  </si>
  <si>
    <t>Перекресток</t>
  </si>
  <si>
    <t>Гиперглобус</t>
  </si>
  <si>
    <t>Лента</t>
  </si>
  <si>
    <t>Метро</t>
  </si>
  <si>
    <t>Билла</t>
  </si>
  <si>
    <t>Пятерочка</t>
  </si>
  <si>
    <t>О'кей</t>
  </si>
  <si>
    <t>Ароматный Мир</t>
  </si>
  <si>
    <t>Магнит</t>
  </si>
  <si>
    <t>Седьмой Континент</t>
  </si>
  <si>
    <t>Ашан</t>
  </si>
  <si>
    <t>Азбука Вкуса</t>
  </si>
  <si>
    <t>Сладов</t>
  </si>
  <si>
    <t>Сахар</t>
  </si>
  <si>
    <t>Семко</t>
  </si>
  <si>
    <t>Овощи</t>
  </si>
  <si>
    <t>Фруктовый сад</t>
  </si>
  <si>
    <t>Сок</t>
  </si>
  <si>
    <t>Green Garden</t>
  </si>
  <si>
    <t>Фрукты</t>
  </si>
  <si>
    <t>Дарница</t>
  </si>
  <si>
    <t>Хлеб</t>
  </si>
  <si>
    <t>Фруктовый Рай</t>
  </si>
  <si>
    <t>Паста Зара</t>
  </si>
  <si>
    <t>Макароны</t>
  </si>
  <si>
    <t>Ярмарка</t>
  </si>
  <si>
    <t>Крупа</t>
  </si>
  <si>
    <t>Домик в деревне</t>
  </si>
  <si>
    <t>Молоко</t>
  </si>
  <si>
    <t>Чудо</t>
  </si>
  <si>
    <t>Йогурт</t>
  </si>
  <si>
    <t>Славянка</t>
  </si>
  <si>
    <t>Конфеты</t>
  </si>
  <si>
    <t>Сырная долина</t>
  </si>
  <si>
    <t>Сыр</t>
  </si>
  <si>
    <t>Добрый</t>
  </si>
  <si>
    <t>Tchibo</t>
  </si>
  <si>
    <t>Кофе</t>
  </si>
  <si>
    <t>Меридиан</t>
  </si>
  <si>
    <t>Рыба</t>
  </si>
  <si>
    <t>Черкизово</t>
  </si>
  <si>
    <t>Колбаса</t>
  </si>
  <si>
    <t>Фрукты-Ягоды</t>
  </si>
  <si>
    <t>Тесс</t>
  </si>
  <si>
    <t>Чай</t>
  </si>
  <si>
    <t>Продимекс</t>
  </si>
  <si>
    <t>Овощной ряд</t>
  </si>
  <si>
    <t>Мистраль</t>
  </si>
  <si>
    <t>Бабаевский</t>
  </si>
  <si>
    <t>Беллакт</t>
  </si>
  <si>
    <t>Эрманн</t>
  </si>
  <si>
    <t>Увелка</t>
  </si>
  <si>
    <t>Белогорье</t>
  </si>
  <si>
    <t>Печенье</t>
  </si>
  <si>
    <t>Lipton</t>
  </si>
  <si>
    <t>Estrella</t>
  </si>
  <si>
    <t>Чипсы</t>
  </si>
  <si>
    <t>Ростагроэкспорт</t>
  </si>
  <si>
    <t>Экзотик</t>
  </si>
  <si>
    <t>Илецкая</t>
  </si>
  <si>
    <t>Соль</t>
  </si>
  <si>
    <t>Активиа</t>
  </si>
  <si>
    <t>Дымов</t>
  </si>
  <si>
    <t>Славянская</t>
  </si>
  <si>
    <t>Рот Фронт</t>
  </si>
  <si>
    <t>Окраина</t>
  </si>
  <si>
    <t>Jacobs</t>
  </si>
  <si>
    <t>Красный Октябрь</t>
  </si>
  <si>
    <t>Черная Карта</t>
  </si>
  <si>
    <t>Националь</t>
  </si>
  <si>
    <t>Русское море</t>
  </si>
  <si>
    <t>Хлебный Дом</t>
  </si>
  <si>
    <t>Ахмад</t>
  </si>
  <si>
    <t>Русский сахар</t>
  </si>
  <si>
    <t>Рис</t>
  </si>
  <si>
    <t>Борилла</t>
  </si>
  <si>
    <t>Карат</t>
  </si>
  <si>
    <t>Русский Хлеб</t>
  </si>
  <si>
    <t>Агросахар</t>
  </si>
  <si>
    <t>Зеленая грядка</t>
  </si>
  <si>
    <t>Экстра</t>
  </si>
  <si>
    <t>Балтийский берег</t>
  </si>
  <si>
    <t>Посиделкино</t>
  </si>
  <si>
    <t>Простоквашино</t>
  </si>
  <si>
    <t>КДВ</t>
  </si>
  <si>
    <t>Макфа</t>
  </si>
  <si>
    <t>Pringles</t>
  </si>
  <si>
    <t>Гавриш</t>
  </si>
  <si>
    <t>President</t>
  </si>
  <si>
    <t>Nescafe</t>
  </si>
  <si>
    <t>Салта</t>
  </si>
  <si>
    <t>Greenfield</t>
  </si>
  <si>
    <t>Мясо</t>
  </si>
  <si>
    <t>Снежана</t>
  </si>
  <si>
    <t>Агрокомплекс</t>
  </si>
  <si>
    <t>Каравай</t>
  </si>
  <si>
    <t>Rich</t>
  </si>
  <si>
    <t>Вимм-Билль-Данн</t>
  </si>
  <si>
    <t>Белый Злат</t>
  </si>
  <si>
    <t>Сава</t>
  </si>
  <si>
    <t>Роллтон</t>
  </si>
  <si>
    <t>Русская картошка</t>
  </si>
  <si>
    <t>Санта Бремор</t>
  </si>
  <si>
    <t>Микоян</t>
  </si>
  <si>
    <t>Агро-Альянс</t>
  </si>
  <si>
    <t>Сады Придонья</t>
  </si>
  <si>
    <t>Lay's</t>
  </si>
  <si>
    <t>Hochland</t>
  </si>
  <si>
    <t>Юбилейное</t>
  </si>
  <si>
    <t>поставщик</t>
  </si>
  <si>
    <t>категория товара</t>
  </si>
  <si>
    <t>+380</t>
  </si>
  <si>
    <t>Украина</t>
  </si>
  <si>
    <t>+992</t>
  </si>
  <si>
    <t>Таджикистан</t>
  </si>
  <si>
    <t>+998</t>
  </si>
  <si>
    <t>Узбекистан</t>
  </si>
  <si>
    <t>+375</t>
  </si>
  <si>
    <t>Беларусь</t>
  </si>
  <si>
    <t>+7</t>
  </si>
  <si>
    <t>Казахстан</t>
  </si>
  <si>
    <t>Россия</t>
  </si>
  <si>
    <t>Код</t>
  </si>
  <si>
    <t>Страна</t>
  </si>
  <si>
    <t>нет</t>
  </si>
  <si>
    <t>Лидия Андреевна Крюкова</t>
  </si>
  <si>
    <t>+7 630-011-3417</t>
  </si>
  <si>
    <t>да</t>
  </si>
  <si>
    <t>Евдокия Эдуардовна Соловьева</t>
  </si>
  <si>
    <t>+380 293-011-4872</t>
  </si>
  <si>
    <t>Амвросий Игнатович Юдин</t>
  </si>
  <si>
    <t>+998 678-480-0704</t>
  </si>
  <si>
    <t>Белоусова Жанна Кузьминична</t>
  </si>
  <si>
    <t>+998 662-556-3959</t>
  </si>
  <si>
    <t>Воробьева Анжела Аскольдовна</t>
  </si>
  <si>
    <t>+998 342-700-2159</t>
  </si>
  <si>
    <t>Авдеев Олимпий Жанович</t>
  </si>
  <si>
    <t>+380 686-730-6702</t>
  </si>
  <si>
    <t>Лариса Романовна Крюкова</t>
  </si>
  <si>
    <t>+7 997-792-5112</t>
  </si>
  <si>
    <t>Афанасьев Кузьма Исидорович</t>
  </si>
  <si>
    <t>+992 145-030-4792</t>
  </si>
  <si>
    <t>Якуб Филатович Молчанов</t>
  </si>
  <si>
    <t>+375 877-885-2826</t>
  </si>
  <si>
    <t>Амос Гордеевич Евсеев</t>
  </si>
  <si>
    <t>+998 662-959-7800</t>
  </si>
  <si>
    <t>Людмила Борисовна Иванова</t>
  </si>
  <si>
    <t>+992 614-322-7161</t>
  </si>
  <si>
    <t>Светлана Семеновна Николаева</t>
  </si>
  <si>
    <t>+998 782-759-1031</t>
  </si>
  <si>
    <t>Константинов Милован Денисович</t>
  </si>
  <si>
    <t>+375 933-846-4405</t>
  </si>
  <si>
    <t>Эмилия Болеславовна Цветкова</t>
  </si>
  <si>
    <t>+380 017-252-3368</t>
  </si>
  <si>
    <t>Ольга Аскольдовна Данилова</t>
  </si>
  <si>
    <t>+375 477-336-9780</t>
  </si>
  <si>
    <t>Любосмысл Тихонович Веселов</t>
  </si>
  <si>
    <t>+992 570-665-8734</t>
  </si>
  <si>
    <t>Емельянов Игорь Андреевич</t>
  </si>
  <si>
    <t>+380 950-384-1472</t>
  </si>
  <si>
    <t>Феликс Ааронович Яковлев</t>
  </si>
  <si>
    <t>+380 537-432-3099</t>
  </si>
  <si>
    <t>Михайлова Лора Наумовна</t>
  </si>
  <si>
    <t>+7 411-977-9395</t>
  </si>
  <si>
    <t>Игнатова Вера Вячеславовна</t>
  </si>
  <si>
    <t>+992 772-470-1976</t>
  </si>
  <si>
    <t>Корнилов Леон Иосипович</t>
  </si>
  <si>
    <t>+992 666-298-7733</t>
  </si>
  <si>
    <t>Лаврентьева Вера Владиславовна</t>
  </si>
  <si>
    <t>+998 849-649-9045</t>
  </si>
  <si>
    <t>Творимир Артурович Гришин</t>
  </si>
  <si>
    <t>+380 958-231-6305</t>
  </si>
  <si>
    <t>Ипат Дмитриевич Панов</t>
  </si>
  <si>
    <t>+7 571-938-4741</t>
  </si>
  <si>
    <t>Стрелкова Наина Эдуардовна</t>
  </si>
  <si>
    <t>+7 289-019-1718</t>
  </si>
  <si>
    <t>Агата Олеговна Мартынова</t>
  </si>
  <si>
    <t>+7 210-575-0459</t>
  </si>
  <si>
    <t>Алла Рудольфовна Сидорова</t>
  </si>
  <si>
    <t>+998 313-336-2516</t>
  </si>
  <si>
    <t>Никодим Арсенович Потапов</t>
  </si>
  <si>
    <t>+998 481-371-2630</t>
  </si>
  <si>
    <t>Одинцов Анисим Евсеевич</t>
  </si>
  <si>
    <t>+380 254-333-6466</t>
  </si>
  <si>
    <t>Волков Викентий Герасимович</t>
  </si>
  <si>
    <t>+7 056-712-2591</t>
  </si>
  <si>
    <t>Абрамов Амвросий Богданович</t>
  </si>
  <si>
    <t>+380 606-168-8976</t>
  </si>
  <si>
    <t>Эммануил Филимонович Захаров</t>
  </si>
  <si>
    <t>+380 004-121-0383</t>
  </si>
  <si>
    <t>Марфа Архиповна Белоусова</t>
  </si>
  <si>
    <t>+7 975-515-1931</t>
  </si>
  <si>
    <t>Александра Геннадиевна Филатова</t>
  </si>
  <si>
    <t>+992 869-966-7816</t>
  </si>
  <si>
    <t>Еремей Бориславович Воронов</t>
  </si>
  <si>
    <t>+375 986-655-6691</t>
  </si>
  <si>
    <t>Кириллова Пелагея Юльевна</t>
  </si>
  <si>
    <t>+380 265-102-2104</t>
  </si>
  <si>
    <t>Галина Семеновна Петухова</t>
  </si>
  <si>
    <t>+7 542-005-0327</t>
  </si>
  <si>
    <t>Любомир Ермолаевич Стрелков</t>
  </si>
  <si>
    <t>+375 722-671-7064</t>
  </si>
  <si>
    <t>г-жа Воробьева Иванна Юрьевна</t>
  </si>
  <si>
    <t>+992 756-085-4605</t>
  </si>
  <si>
    <t>Тихонова Ираида Ефимовна</t>
  </si>
  <si>
    <t>+998 946-408-1930</t>
  </si>
  <si>
    <t>Якушева Светлана Даниловна</t>
  </si>
  <si>
    <t>+380 143-562-6602</t>
  </si>
  <si>
    <t>Меркушева Марина Наумовна</t>
  </si>
  <si>
    <t>+7 592-632-8448</t>
  </si>
  <si>
    <t>Князев Платон Андреевич</t>
  </si>
  <si>
    <t>+7 450-475-2540</t>
  </si>
  <si>
    <t>Титова Ксения Дмитриевна</t>
  </si>
  <si>
    <t>+380 533-078-8885</t>
  </si>
  <si>
    <t>Овчинникова Зоя Вячеславовна</t>
  </si>
  <si>
    <t>+998 284-687-3096</t>
  </si>
  <si>
    <t>Григорьев Сократ Ануфриевич</t>
  </si>
  <si>
    <t>+380 245-175-6131</t>
  </si>
  <si>
    <t>Горшкова Клавдия Борисовна</t>
  </si>
  <si>
    <t>+380 668-055-3546</t>
  </si>
  <si>
    <t>Харлампий Демьянович Алексеев</t>
  </si>
  <si>
    <t>+992 000-000-7415</t>
  </si>
  <si>
    <t>Миронов Фома Вилорович</t>
  </si>
  <si>
    <t>+375 427-098-5558</t>
  </si>
  <si>
    <t>Кудряшов Влас Алексеевич</t>
  </si>
  <si>
    <t>+375 173-908-3215</t>
  </si>
  <si>
    <t>Бобылева Анна Мироновна</t>
  </si>
  <si>
    <t>+7 894-636-1225</t>
  </si>
  <si>
    <t>Петрова Майя Богдановна</t>
  </si>
  <si>
    <t>+7 352-977-7374</t>
  </si>
  <si>
    <t>Мартынов Фома Гордеевич</t>
  </si>
  <si>
    <t>+998 856-058-2613</t>
  </si>
  <si>
    <t>Алевтина Алексеевна Исакова</t>
  </si>
  <si>
    <t>+998 692-163-4083</t>
  </si>
  <si>
    <t>Гордей Матвеевич Медведев</t>
  </si>
  <si>
    <t>+992 774-047-4624</t>
  </si>
  <si>
    <t>Ермаков Всеслав Эдуардович</t>
  </si>
  <si>
    <t>+7 755-098-2625</t>
  </si>
  <si>
    <t>Русакова Полина Михайловна</t>
  </si>
  <si>
    <t>+992 544-936-8109</t>
  </si>
  <si>
    <t>Любовь Богдановна Новикова</t>
  </si>
  <si>
    <t>+375 253-379-5656</t>
  </si>
  <si>
    <t>Кононова Элеонора Юрьевна</t>
  </si>
  <si>
    <t>+992 550-001-8470</t>
  </si>
  <si>
    <t>Ирина Макаровна Шарова</t>
  </si>
  <si>
    <t>+375 841-273-5425</t>
  </si>
  <si>
    <t>Нестерова Таисия Яковлевна</t>
  </si>
  <si>
    <t>+7 414-973-8213</t>
  </si>
  <si>
    <t>г-н Зуев Трифон Зиновьевич</t>
  </si>
  <si>
    <t>+992 377-961-6550</t>
  </si>
  <si>
    <t>г-жа Ефимова Анна Филипповна</t>
  </si>
  <si>
    <t>+375 268-005-4917</t>
  </si>
  <si>
    <t>Баранова Раиса Эльдаровна</t>
  </si>
  <si>
    <t>+7 022-690-6735</t>
  </si>
  <si>
    <t>Фомичева Феврония Даниловна</t>
  </si>
  <si>
    <t>+7 724-347-2918</t>
  </si>
  <si>
    <t>Лыткина Ираида Александровна</t>
  </si>
  <si>
    <t>+375 869-843-0628</t>
  </si>
  <si>
    <t>Эммануил Валерьевич Королев</t>
  </si>
  <si>
    <t>+380 350-189-8989</t>
  </si>
  <si>
    <t>Васильева Анжелика Наумовна</t>
  </si>
  <si>
    <t>+992 654-311-2893</t>
  </si>
  <si>
    <t>Октябрина Павловна Зимина</t>
  </si>
  <si>
    <t>+7 352-652-3977</t>
  </si>
  <si>
    <t>Елизар Харлампьевич Мамонтов</t>
  </si>
  <si>
    <t>+998 714-433-6940</t>
  </si>
  <si>
    <t>Марфа Эдуардовна Макарова</t>
  </si>
  <si>
    <t>+7 354-672-8947</t>
  </si>
  <si>
    <t>г-жа Миронова Клавдия Феликсовна</t>
  </si>
  <si>
    <t>+380 255-745-0289</t>
  </si>
  <si>
    <t>Гостомысл Фомич Одинцов</t>
  </si>
  <si>
    <t>+998 220-798-0143</t>
  </si>
  <si>
    <t>Алевтина Егоровна Кузнецова</t>
  </si>
  <si>
    <t>+7 981-245-0102</t>
  </si>
  <si>
    <t>Фаина Аркадьевна Веселова</t>
  </si>
  <si>
    <t>+7 762-296-2673</t>
  </si>
  <si>
    <t>Елизавета Артемовна Данилова</t>
  </si>
  <si>
    <t>+7 085-149-7713</t>
  </si>
  <si>
    <t>Моисеев Евстафий Чеславович</t>
  </si>
  <si>
    <t>+380 971-032-0139</t>
  </si>
  <si>
    <t>Новиков Ростислав Августович</t>
  </si>
  <si>
    <t>+992 994-189-2821</t>
  </si>
  <si>
    <t>Соколова Кира Дмитриевна</t>
  </si>
  <si>
    <t>+992 471-072-5643</t>
  </si>
  <si>
    <t>Екатерина Рудольфовна Кулакова</t>
  </si>
  <si>
    <t>+7 411-180-0061</t>
  </si>
  <si>
    <t>Пономарев Творимир Демидович</t>
  </si>
  <si>
    <t>+7 927-005-2176</t>
  </si>
  <si>
    <t>Гаврилов Матвей Трифонович</t>
  </si>
  <si>
    <t>+7 914-597-1350</t>
  </si>
  <si>
    <t>Новикова Ия Рубеновна</t>
  </si>
  <si>
    <t>+375 529-351-9731</t>
  </si>
  <si>
    <t>Виктория Ильинична Соколова</t>
  </si>
  <si>
    <t>+998 436-367-6830</t>
  </si>
  <si>
    <t>Жанна Станиславовна Семенова</t>
  </si>
  <si>
    <t>+992 443-164-9246</t>
  </si>
  <si>
    <t>Горбунова Алевтина Максимовна</t>
  </si>
  <si>
    <t>+998 455-746-0633</t>
  </si>
  <si>
    <t>Максим Анатольевич Семенов</t>
  </si>
  <si>
    <t>+375 165-356-7542</t>
  </si>
  <si>
    <t>Никитина Лора Георгиевна</t>
  </si>
  <si>
    <t>+375 956-020-3484</t>
  </si>
  <si>
    <t>Феврония Юрьевна Шубина</t>
  </si>
  <si>
    <t>+998 301-225-3693</t>
  </si>
  <si>
    <t>Амвросий Артемьевич Гаврилов</t>
  </si>
  <si>
    <t>+7 875-362-2366</t>
  </si>
  <si>
    <t>Щукина Элеонора Робертовна</t>
  </si>
  <si>
    <t>+7 885-064-8776</t>
  </si>
  <si>
    <t>Измаил Глебович Зыков</t>
  </si>
  <si>
    <t>+380 809-127-8060</t>
  </si>
  <si>
    <t>Лаврентьева Маргарита Артемовна</t>
  </si>
  <si>
    <t>+380 916-341-6028</t>
  </si>
  <si>
    <t>Михеев Андроник Ефимьевич</t>
  </si>
  <si>
    <t>+7 147-975-5645</t>
  </si>
  <si>
    <t>Вадим Артёмович Анисимов</t>
  </si>
  <si>
    <t>+992 204-182-8433</t>
  </si>
  <si>
    <t>Захар Артемьевич Воробьев</t>
  </si>
  <si>
    <t>+992 852-094-1088</t>
  </si>
  <si>
    <t>Леон Аверьянович Захаров</t>
  </si>
  <si>
    <t>+7 091-838-5158</t>
  </si>
  <si>
    <t>Рогов Сила Гордеевич</t>
  </si>
  <si>
    <t>+375 824-010-1358</t>
  </si>
  <si>
    <t>Копылов Мартьян Августович</t>
  </si>
  <si>
    <t>+380 329-195-8747</t>
  </si>
  <si>
    <t>Марфа Георгиевна Титова</t>
  </si>
  <si>
    <t>+998 035-761-6314</t>
  </si>
  <si>
    <t>Маслова Анастасия Станиславовна</t>
  </si>
  <si>
    <t>+7 729-805-4220</t>
  </si>
  <si>
    <t>Ермаков Степан Егорович</t>
  </si>
  <si>
    <t>+375 972-832-7690</t>
  </si>
  <si>
    <t>Наталья Геннадьевна Колесникова</t>
  </si>
  <si>
    <t>+998 661-487-5525</t>
  </si>
  <si>
    <t>Станислав Ильясович Ширяев</t>
  </si>
  <si>
    <t>+7 402-873-2919</t>
  </si>
  <si>
    <t>Маслов Захар Феофанович</t>
  </si>
  <si>
    <t>+7 747-226-1755</t>
  </si>
  <si>
    <t>Антонина Борисовна Жданова</t>
  </si>
  <si>
    <t>+7 189-378-6167</t>
  </si>
  <si>
    <t>Аггей Валентинович Артемьев</t>
  </si>
  <si>
    <t>+380 922-338-1312</t>
  </si>
  <si>
    <t>Давыд Филатович Мухин</t>
  </si>
  <si>
    <t>+380 363-690-1507</t>
  </si>
  <si>
    <t>Григорьева Ульяна Артемовна</t>
  </si>
  <si>
    <t>+998 773-281-1360</t>
  </si>
  <si>
    <t>Власов Адриан Чеславович</t>
  </si>
  <si>
    <t>+998 437-737-9329</t>
  </si>
  <si>
    <t>Копылова Эмилия Тарасовна</t>
  </si>
  <si>
    <t>+7 722-155-8660</t>
  </si>
  <si>
    <t>Алла Геннадьевна Фомина</t>
  </si>
  <si>
    <t>+998 090-420-2619</t>
  </si>
  <si>
    <t>Мартын Августович Баранов</t>
  </si>
  <si>
    <t>+998 936-440-2703</t>
  </si>
  <si>
    <t>Радислав Герасимович Колобов</t>
  </si>
  <si>
    <t>+7 916-678-5714</t>
  </si>
  <si>
    <t>Николай Феоктистович Дроздов</t>
  </si>
  <si>
    <t>+380 169-087-4183</t>
  </si>
  <si>
    <t>Силина Татьяна Аркадьевна</t>
  </si>
  <si>
    <t>+998 286-143-0624</t>
  </si>
  <si>
    <t>Журавлев Аристарх Евсеевич</t>
  </si>
  <si>
    <t>+380 266-548-4802</t>
  </si>
  <si>
    <t>Валентина Кирилловна Семенова</t>
  </si>
  <si>
    <t>+992 124-441-2478</t>
  </si>
  <si>
    <t>Рубен Димитриевич Веселов</t>
  </si>
  <si>
    <t>+375 515-558-2884</t>
  </si>
  <si>
    <t>Орехова Кира Натановна</t>
  </si>
  <si>
    <t>+992 902-872-9763</t>
  </si>
  <si>
    <t>Алексей Трифонович Блинов</t>
  </si>
  <si>
    <t>+380 001-347-5456</t>
  </si>
  <si>
    <t>Корнил Адрианович Комиссаров</t>
  </si>
  <si>
    <t>+7 191-068-2694</t>
  </si>
  <si>
    <t>Евдокия Ефимовна Карпова</t>
  </si>
  <si>
    <t>+998 955-643-6256</t>
  </si>
  <si>
    <t>Прасковья Петровна Дементьева</t>
  </si>
  <si>
    <t>+998 225-019-2493</t>
  </si>
  <si>
    <t>Лавр Харлампович Беляков</t>
  </si>
  <si>
    <t>+375 844-419-2850</t>
  </si>
  <si>
    <t>Лука Игнатьевич Власов</t>
  </si>
  <si>
    <t>+375 280-614-3764</t>
  </si>
  <si>
    <t>Зоя Вячеславовна Панова</t>
  </si>
  <si>
    <t>+375 563-314-3708</t>
  </si>
  <si>
    <t>Калинин Никита Артурович</t>
  </si>
  <si>
    <t>+998 271-883-9995</t>
  </si>
  <si>
    <t>Владимиров Орест Артемьевич</t>
  </si>
  <si>
    <t>+7 731-326-3751</t>
  </si>
  <si>
    <t>Дарья Степановна Потапова</t>
  </si>
  <si>
    <t>+998 783-609-3463</t>
  </si>
  <si>
    <t>Морозова Феврония Николаевна</t>
  </si>
  <si>
    <t>+7 142-825-3773</t>
  </si>
  <si>
    <t>Пахом Даниилович Кузьмин</t>
  </si>
  <si>
    <t>+998 999-821-3025</t>
  </si>
  <si>
    <t>Кошелева Марина Рудольфовна</t>
  </si>
  <si>
    <t>+7 529-529-9415</t>
  </si>
  <si>
    <t>Куликова Евгения Григорьевна</t>
  </si>
  <si>
    <t>+7 120-273-0435</t>
  </si>
  <si>
    <t>Алевтина Ефимовна Белякова</t>
  </si>
  <si>
    <t>+998 965-511-3258</t>
  </si>
  <si>
    <t>Галактион Жанович Новиков</t>
  </si>
  <si>
    <t>+998 087-830-4222</t>
  </si>
  <si>
    <t>Фомичев Ипполит Артурович</t>
  </si>
  <si>
    <t>+7 322-163-7549</t>
  </si>
  <si>
    <t>Маркова Ксения Максимовна</t>
  </si>
  <si>
    <t>+998 941-560-7307</t>
  </si>
  <si>
    <t>Нинель Кузьминична Журавлева</t>
  </si>
  <si>
    <t>+380 229-176-0124</t>
  </si>
  <si>
    <t>Эмилия Вадимовна Александрова</t>
  </si>
  <si>
    <t>+992 353-055-1290</t>
  </si>
  <si>
    <t>Герасимов Родион Харитонович</t>
  </si>
  <si>
    <t>+380 959-961-5281</t>
  </si>
  <si>
    <t>Поляков Силантий Адамович</t>
  </si>
  <si>
    <t>+380 672-066-4140</t>
  </si>
  <si>
    <t>Татьяна Павловна Павлова</t>
  </si>
  <si>
    <t>+380 250-699-1873</t>
  </si>
  <si>
    <t>Сергеев Панкратий Теймуразович</t>
  </si>
  <si>
    <t>+998 833-068-3629</t>
  </si>
  <si>
    <t>Любомир Валерианович Туров</t>
  </si>
  <si>
    <t>+7 524-548-9435</t>
  </si>
  <si>
    <t>Кононова Прасковья Павловна</t>
  </si>
  <si>
    <t>+7 747-866-6152</t>
  </si>
  <si>
    <t>Ираклий Изотович Авдеев</t>
  </si>
  <si>
    <t>+7 559-899-4463</t>
  </si>
  <si>
    <t>Михей Феликсович Лихачев</t>
  </si>
  <si>
    <t>+7 173-514-9301</t>
  </si>
  <si>
    <t>Шестакова Элеонора Дмитриевна</t>
  </si>
  <si>
    <t>+992 980-571-8150</t>
  </si>
  <si>
    <t>Ермакова Дарья Алексеевна</t>
  </si>
  <si>
    <t>+7 816-795-8885</t>
  </si>
  <si>
    <t>Феврония Антоновна Кулагина</t>
  </si>
  <si>
    <t>+7 730-745-5768</t>
  </si>
  <si>
    <t>Демид Антонович Мясников</t>
  </si>
  <si>
    <t>+992 520-869-0598</t>
  </si>
  <si>
    <t>Анастасия Игоревна Белова</t>
  </si>
  <si>
    <t>+992 976-290-1474</t>
  </si>
  <si>
    <t>Эдуард Фадеевич Сергеев</t>
  </si>
  <si>
    <t>+992 841-082-9227</t>
  </si>
  <si>
    <t>Мария Анатольевна Смирнова</t>
  </si>
  <si>
    <t>+992 878-995-1603</t>
  </si>
  <si>
    <t>Арсений Ермолаевич Емельянов</t>
  </si>
  <si>
    <t>+992 412-286-2797</t>
  </si>
  <si>
    <t>Любовь Павловна Капустина</t>
  </si>
  <si>
    <t>+375 342-835-7024</t>
  </si>
  <si>
    <t>Елизар Архипович Щербаков</t>
  </si>
  <si>
    <t>+992 403-485-6889</t>
  </si>
  <si>
    <t>Синклитикия Никифоровна Овчинникова</t>
  </si>
  <si>
    <t>+992 013-075-6493</t>
  </si>
  <si>
    <t>Боян Дорофеевич Калашников</t>
  </si>
  <si>
    <t>+7 231-022-9731</t>
  </si>
  <si>
    <t>Дьячков Серафим Дорофеевич</t>
  </si>
  <si>
    <t>+380 737-667-7208</t>
  </si>
  <si>
    <t>Артемьева София Ильинична</t>
  </si>
  <si>
    <t>+7 772-932-9839</t>
  </si>
  <si>
    <t>Родион Яковлевич Коновалов</t>
  </si>
  <si>
    <t>+998 737-854-0193</t>
  </si>
  <si>
    <t>Прасковья Яковлевна Белоусова</t>
  </si>
  <si>
    <t>+992 647-315-8824</t>
  </si>
  <si>
    <t>Вероника Сергеевна Блинова</t>
  </si>
  <si>
    <t>+375 678-304-0891</t>
  </si>
  <si>
    <t>Любим Зиновьевич Брагин</t>
  </si>
  <si>
    <t>+998 523-421-5092</t>
  </si>
  <si>
    <t>Назаров Пантелеймон Трофимович</t>
  </si>
  <si>
    <t>+7 689-265-9126</t>
  </si>
  <si>
    <t>Евфросиния Тимофеевна Миронова</t>
  </si>
  <si>
    <t>+998 455-040-0995</t>
  </si>
  <si>
    <t>Савватий Богданович Фролов</t>
  </si>
  <si>
    <t>+998 276-111-5039</t>
  </si>
  <si>
    <t>Олимпиада Львовна Михайлова</t>
  </si>
  <si>
    <t>+998 087-023-3754</t>
  </si>
  <si>
    <t>Лариса Степановна Гурьева</t>
  </si>
  <si>
    <t>+992 852-358-1111</t>
  </si>
  <si>
    <t>Сорокина Марфа Викторовна</t>
  </si>
  <si>
    <t>+7 891-832-3772</t>
  </si>
  <si>
    <t>Шубин Орест Августович</t>
  </si>
  <si>
    <t>+7 069-852-7793</t>
  </si>
  <si>
    <t>Ираида Егоровна Родионова</t>
  </si>
  <si>
    <t>+375 242-923-3569</t>
  </si>
  <si>
    <t>Кузнецов Севастьян Валерьевич</t>
  </si>
  <si>
    <t>+380 611-258-8704</t>
  </si>
  <si>
    <t>Кира Степановна Рогова</t>
  </si>
  <si>
    <t>+380 671-809-3559</t>
  </si>
  <si>
    <t>Ираида Феликсовна Белоусова</t>
  </si>
  <si>
    <t>+992 964-689-9206</t>
  </si>
  <si>
    <t>Фомина Антонина Павловна</t>
  </si>
  <si>
    <t>+992 226-423-7263</t>
  </si>
  <si>
    <t>Лазарев Аникей Венедиктович</t>
  </si>
  <si>
    <t>+992 059-483-3104</t>
  </si>
  <si>
    <t>Давыдов Амос Владиславович</t>
  </si>
  <si>
    <t>+380 937-173-7394</t>
  </si>
  <si>
    <t>Пелагея Антоновна Цветкова</t>
  </si>
  <si>
    <t>+992 555-207-4186</t>
  </si>
  <si>
    <t>Дмитрий Трифонович Денисов</t>
  </si>
  <si>
    <t>+380 469-601-0972</t>
  </si>
  <si>
    <t>Евпраксия Федоровна Фомина</t>
  </si>
  <si>
    <t>+7 836-233-8115</t>
  </si>
  <si>
    <t>Константин Ефимьевич Колесников</t>
  </si>
  <si>
    <t>+7 269-195-3186</t>
  </si>
  <si>
    <t>Елена Эдуардовна Кудряшова</t>
  </si>
  <si>
    <t>+7 502-802-5787</t>
  </si>
  <si>
    <t>Ксения Кузьминична Авдеева</t>
  </si>
  <si>
    <t>+7 219-084-6295</t>
  </si>
  <si>
    <t>Евгения Георгиевна Рожкова</t>
  </si>
  <si>
    <t>+992 046-188-5111</t>
  </si>
  <si>
    <t>Федосеева Василиса Аскольдовна</t>
  </si>
  <si>
    <t>+375 081-974-3402</t>
  </si>
  <si>
    <t>Анастасия Альбертовна Фролова</t>
  </si>
  <si>
    <t>+380 960-351-2387</t>
  </si>
  <si>
    <t>Клавдия Константиновна Хохлова</t>
  </si>
  <si>
    <t>+375 881-217-3017</t>
  </si>
  <si>
    <t>Евсеев Ратмир Артемьевич</t>
  </si>
  <si>
    <t>+7 560-711-8976</t>
  </si>
  <si>
    <t>Клавдия Богдановна Ковалева</t>
  </si>
  <si>
    <t>+7 629-137-1639</t>
  </si>
  <si>
    <t>Маслова Иванна Макаровна</t>
  </si>
  <si>
    <t>+380 119-291-6424</t>
  </si>
  <si>
    <t>Фёкла Натановна Дементьева</t>
  </si>
  <si>
    <t>+7 894-629-6946</t>
  </si>
  <si>
    <t>Гурьева Людмила Владимировна</t>
  </si>
  <si>
    <t>+380 249-840-3292</t>
  </si>
  <si>
    <t>Елизавета Яковлевна Лапина</t>
  </si>
  <si>
    <t>+998 583-835-9258</t>
  </si>
  <si>
    <t>Любомир Архипович Пономарев</t>
  </si>
  <si>
    <t>+7 052-743-8708</t>
  </si>
  <si>
    <t>Назарова Ия Ивановна</t>
  </si>
  <si>
    <t>+7 181-999-1398</t>
  </si>
  <si>
    <t>Вероника Геннадьевна Воронова</t>
  </si>
  <si>
    <t>+992 638-653-7931</t>
  </si>
  <si>
    <t>Баранов Эраст Терентьевич</t>
  </si>
  <si>
    <t>+998 438-329-1521</t>
  </si>
  <si>
    <t>Ермаков Ярослав Тихонович</t>
  </si>
  <si>
    <t>+7 212-350-2928</t>
  </si>
  <si>
    <t>Юлия Геннадиевна Белякова</t>
  </si>
  <si>
    <t>+7 304-758-2488</t>
  </si>
  <si>
    <t>Мирон Давидович Горбачев</t>
  </si>
  <si>
    <t>+380 280-785-9631</t>
  </si>
  <si>
    <t>Лора Вадимовна Турова</t>
  </si>
  <si>
    <t>+992 028-876-8250</t>
  </si>
  <si>
    <t>Владимирова Алина Феликсовна</t>
  </si>
  <si>
    <t>+375 524-220-8374</t>
  </si>
  <si>
    <t>Матвей Адамович Богданов</t>
  </si>
  <si>
    <t>+380 728-449-1745</t>
  </si>
  <si>
    <t>Валерьян Федосеевич Цветков</t>
  </si>
  <si>
    <t>+998 247-862-3690</t>
  </si>
  <si>
    <t>Нестеров Чеслав Аверьянович</t>
  </si>
  <si>
    <t>+380 802-906-1048</t>
  </si>
  <si>
    <t>Вишняков Ярослав Анатольевич</t>
  </si>
  <si>
    <t>+7 028-813-4020</t>
  </si>
  <si>
    <t>Исакова Людмила Олеговна</t>
  </si>
  <si>
    <t>+998 997-462-0828</t>
  </si>
  <si>
    <t>Агап Валерьевич Логинов</t>
  </si>
  <si>
    <t>+7 685-361-2926</t>
  </si>
  <si>
    <t>Никита Виленович Степанов</t>
  </si>
  <si>
    <t>+7 379-140-2865</t>
  </si>
  <si>
    <t>Потап Егорович Лапин</t>
  </si>
  <si>
    <t>+7 945-211-9429</t>
  </si>
  <si>
    <t>Тимофеев Аполлинарий Фомич</t>
  </si>
  <si>
    <t>+7 421-153-6302</t>
  </si>
  <si>
    <t>Велимир Игоревич Макаров</t>
  </si>
  <si>
    <t>+7 225-063-9920</t>
  </si>
  <si>
    <t>Никифоров Богдан Харитонович</t>
  </si>
  <si>
    <t>+7 648-807-1917</t>
  </si>
  <si>
    <t>Максимова Елена Валериевна</t>
  </si>
  <si>
    <t>+7 782-443-4000</t>
  </si>
  <si>
    <t>Николай Гавриилович Савин</t>
  </si>
  <si>
    <t>+7 244-331-6219</t>
  </si>
  <si>
    <t>Маркова Василиса Юрьевна</t>
  </si>
  <si>
    <t>+998 213-223-6638</t>
  </si>
  <si>
    <t>Гуляева Раиса Кузьминична</t>
  </si>
  <si>
    <t>+998 169-477-8408</t>
  </si>
  <si>
    <t>Красильников Павел Ермилович</t>
  </si>
  <si>
    <t>+7 362-778-4019</t>
  </si>
  <si>
    <t>Вероника Руслановна Ефремова</t>
  </si>
  <si>
    <t>+380 286-003-5332</t>
  </si>
  <si>
    <t>Алевтина Архиповна Ефимова</t>
  </si>
  <si>
    <t>+7 456-978-0873</t>
  </si>
  <si>
    <t>Журавлева Александра Валентиновна</t>
  </si>
  <si>
    <t>+7 449-357-2065</t>
  </si>
  <si>
    <t>Никита Венедиктович Третьяков</t>
  </si>
  <si>
    <t>+375 299-252-6550</t>
  </si>
  <si>
    <t>Суханов Станислав Архипович</t>
  </si>
  <si>
    <t>+7 466-253-9021</t>
  </si>
  <si>
    <t>Юлия Кузьминична Капустина</t>
  </si>
  <si>
    <t>+998 697-530-0958</t>
  </si>
  <si>
    <t>Герман Арсеньевич Калинин</t>
  </si>
  <si>
    <t>+380 315-815-3268</t>
  </si>
  <si>
    <t>Ирина Анатольевна Васильева</t>
  </si>
  <si>
    <t>+375 958-521-7488</t>
  </si>
  <si>
    <t>Устинов Евграф Исидорович</t>
  </si>
  <si>
    <t>+7 572-970-7703</t>
  </si>
  <si>
    <t>Фокин Глеб Елизарович</t>
  </si>
  <si>
    <t>+7 296-302-4718</t>
  </si>
  <si>
    <t>Никонов Софон Авдеевич</t>
  </si>
  <si>
    <t>+992 638-430-8419</t>
  </si>
  <si>
    <t>Давыд Фёдорович Белоусов</t>
  </si>
  <si>
    <t>+998 838-480-9390</t>
  </si>
  <si>
    <t>Муравьева Алла Петровна</t>
  </si>
  <si>
    <t>+7 584-823-9648</t>
  </si>
  <si>
    <t>Устинов Милан Архипович</t>
  </si>
  <si>
    <t>+992 442-185-5422</t>
  </si>
  <si>
    <t>Костина Жанна Рубеновна</t>
  </si>
  <si>
    <t>+998 154-674-1649</t>
  </si>
  <si>
    <t>Большаков Антип Тихонович</t>
  </si>
  <si>
    <t>+992 943-140-9489</t>
  </si>
  <si>
    <t>Александр Архипович Гущин</t>
  </si>
  <si>
    <t>+7 319-073-7259</t>
  </si>
  <si>
    <t>Никанор Феодосьевич Воронов</t>
  </si>
  <si>
    <t>+7 778-043-0691</t>
  </si>
  <si>
    <t>Лукин Борис Власович</t>
  </si>
  <si>
    <t>+375 690-843-0501</t>
  </si>
  <si>
    <t>Ия Робертовна Белова</t>
  </si>
  <si>
    <t>+380 524-191-7258</t>
  </si>
  <si>
    <t>Сысоева Светлана Захаровна</t>
  </si>
  <si>
    <t>+7 925-005-3361</t>
  </si>
  <si>
    <t>Самсонов Борислав Фролович</t>
  </si>
  <si>
    <t>+998 113-461-2855</t>
  </si>
  <si>
    <t>Абрамов Адриан Фролович</t>
  </si>
  <si>
    <t>+7 974-088-4889</t>
  </si>
  <si>
    <t>Автоном Терентьевич Филиппов</t>
  </si>
  <si>
    <t>+7 524-093-8464</t>
  </si>
  <si>
    <t>Волкова Валентина Николаевна</t>
  </si>
  <si>
    <t>+7 661-552-6669</t>
  </si>
  <si>
    <t>Савельев Климент Гурьевич</t>
  </si>
  <si>
    <t>+7 844-239-9142</t>
  </si>
  <si>
    <t>Бирюкова Агафья Артемовна</t>
  </si>
  <si>
    <t>+7 412-542-8365</t>
  </si>
  <si>
    <t>Мясников Зосима Якубович</t>
  </si>
  <si>
    <t>+7 869-111-2094</t>
  </si>
  <si>
    <t>Цветков Лука Витальевич</t>
  </si>
  <si>
    <t>+992 266-513-0456</t>
  </si>
  <si>
    <t>Шарова Екатерина Леоновна</t>
  </si>
  <si>
    <t>+380 260-756-9533</t>
  </si>
  <si>
    <t>Русаков Модест Захарьевич</t>
  </si>
  <si>
    <t>+380 921-086-4453</t>
  </si>
  <si>
    <t>Иванна Захаровна Сергеева</t>
  </si>
  <si>
    <t>+992 672-498-6349</t>
  </si>
  <si>
    <t>Андрон Валерьевич Морозов</t>
  </si>
  <si>
    <t>+992 403-930-8580</t>
  </si>
  <si>
    <t>Рожкова Маргарита Артемовна</t>
  </si>
  <si>
    <t>+992 257-520-2828</t>
  </si>
  <si>
    <t>Белов Симон Иосипович</t>
  </si>
  <si>
    <t>+380 270-120-1119</t>
  </si>
  <si>
    <t>Елисей Игнатович Лобанов</t>
  </si>
  <si>
    <t>+998 766-764-4076</t>
  </si>
  <si>
    <t>Конон Валентинович Владимиров</t>
  </si>
  <si>
    <t>+7 616-701-4879</t>
  </si>
  <si>
    <t>Юрий Августович Исаков</t>
  </si>
  <si>
    <t>+7 487-712-2137</t>
  </si>
  <si>
    <t>Суханова Алла Эльдаровна</t>
  </si>
  <si>
    <t>+380 459-176-1508</t>
  </si>
  <si>
    <t>Брагина Полина Евгеньевна</t>
  </si>
  <si>
    <t>+992 330-173-6947</t>
  </si>
  <si>
    <t>Виктория Наумовна Никитина</t>
  </si>
  <si>
    <t>+998 643-985-0175</t>
  </si>
  <si>
    <t>Анжелика Валериевна Рожкова</t>
  </si>
  <si>
    <t>+7 984-361-4421</t>
  </si>
  <si>
    <t>Флорентин Демьянович Родионов</t>
  </si>
  <si>
    <t>+375 389-470-8585</t>
  </si>
  <si>
    <t>Маслова Агафья Юрьевна</t>
  </si>
  <si>
    <t>+375 285-458-8961</t>
  </si>
  <si>
    <t>Анжела Ивановна Григорьева</t>
  </si>
  <si>
    <t>+998 777-844-5783</t>
  </si>
  <si>
    <t>Максимова Евпраксия Ждановна</t>
  </si>
  <si>
    <t>+7 197-654-6044</t>
  </si>
  <si>
    <t>Алевтина Михайловна Зыкова</t>
  </si>
  <si>
    <t>+375 890-614-0667</t>
  </si>
  <si>
    <t>Спиридон Владленович Воронцов</t>
  </si>
  <si>
    <t>+992 587-542-2147</t>
  </si>
  <si>
    <t>Любовь Альбертовна Одинцова</t>
  </si>
  <si>
    <t>+7 535-345-7895</t>
  </si>
  <si>
    <t>Сорокина Феврония Геннадьевна</t>
  </si>
  <si>
    <t>+7 264-686-5607</t>
  </si>
  <si>
    <t>Валерия Семеновна Потапова</t>
  </si>
  <si>
    <t>+7 670-667-8381</t>
  </si>
  <si>
    <t>Миронов Аверкий Зиновьевич</t>
  </si>
  <si>
    <t>+7 613-538-5501</t>
  </si>
  <si>
    <t>Филимон Ефимьевич Беляков</t>
  </si>
  <si>
    <t>+380 403-818-2198</t>
  </si>
  <si>
    <t>Валерия Владимировна Медведева</t>
  </si>
  <si>
    <t>+992 644-743-9326</t>
  </si>
  <si>
    <t>Самойлова Жанна Семеновна</t>
  </si>
  <si>
    <t>+380 264-466-6372</t>
  </si>
  <si>
    <t>Таисия Богдановна Якушева</t>
  </si>
  <si>
    <t>+380 086-392-5406</t>
  </si>
  <si>
    <t>Марк Яковлевич Корнилов</t>
  </si>
  <si>
    <t>+998 608-979-4237</t>
  </si>
  <si>
    <t>Калинин Лев Феодосьевич</t>
  </si>
  <si>
    <t>+375 820-460-9487</t>
  </si>
  <si>
    <t>Любовь Романовна Данилова</t>
  </si>
  <si>
    <t>+7 977-556-0650</t>
  </si>
  <si>
    <t>Зуев Гостомысл Игоревич</t>
  </si>
  <si>
    <t>+992 906-130-4174</t>
  </si>
  <si>
    <t>Кир Васильевич Горбунов</t>
  </si>
  <si>
    <t>+375 226-003-8992</t>
  </si>
  <si>
    <t>Евфросиния Петровна Чернова</t>
  </si>
  <si>
    <t>+380 383-190-2360</t>
  </si>
  <si>
    <t>Федорова Жанна Вадимовна</t>
  </si>
  <si>
    <t>+998 197-437-6957</t>
  </si>
  <si>
    <t>тов. Степанова Синклитикия Александровна</t>
  </si>
  <si>
    <t>+992 891-393-2973</t>
  </si>
  <si>
    <t>Якушев Мина Гавриилович</t>
  </si>
  <si>
    <t>+998 914-522-1318</t>
  </si>
  <si>
    <t>Глафира Николаевна Мельникова</t>
  </si>
  <si>
    <t>+7 340-358-5907</t>
  </si>
  <si>
    <t>Русаков Лев Тимурович</t>
  </si>
  <si>
    <t>+7 326-132-7435</t>
  </si>
  <si>
    <t>Христофор Авдеевич Щукин</t>
  </si>
  <si>
    <t>+380 705-295-2201</t>
  </si>
  <si>
    <t>Анна Альбертовна Никифорова</t>
  </si>
  <si>
    <t>+998 381-147-6466</t>
  </si>
  <si>
    <t>Кулакова Нина Семеновна</t>
  </si>
  <si>
    <t>+380 855-516-3611</t>
  </si>
  <si>
    <t>Сазонова Оксана Александровна</t>
  </si>
  <si>
    <t>+375 840-221-8767</t>
  </si>
  <si>
    <t>Тихонова Евфросиния Феликсовна</t>
  </si>
  <si>
    <t>+380 992-850-2292</t>
  </si>
  <si>
    <t>Спиридон Чеславович Абрамов</t>
  </si>
  <si>
    <t>+992 750-248-5649</t>
  </si>
  <si>
    <t>Гущин Ипполит Яковлевич</t>
  </si>
  <si>
    <t>+998 265-405-9627</t>
  </si>
  <si>
    <t>г-н Савельев Федосий Феоктистович</t>
  </si>
  <si>
    <t>+992 292-122-7648</t>
  </si>
  <si>
    <t>Маслов Сократ Анатольевич</t>
  </si>
  <si>
    <t>+7 709-119-0759</t>
  </si>
  <si>
    <t>г-н Копылов Лаврентий Артемьевич</t>
  </si>
  <si>
    <t>+7 981-183-3972</t>
  </si>
  <si>
    <t>Васильев Милован Георгиевич</t>
  </si>
  <si>
    <t>+992 979-262-5049</t>
  </si>
  <si>
    <t>Авдеев Филипп Елисеевич</t>
  </si>
  <si>
    <t>+7 048-020-5515</t>
  </si>
  <si>
    <t>Василиса Леоновна Назарова</t>
  </si>
  <si>
    <t>+380 174-160-6456</t>
  </si>
  <si>
    <t>Зыкова Таисия Леонидовна</t>
  </si>
  <si>
    <t>+375 187-052-9526</t>
  </si>
  <si>
    <t>Лапин Эрнест Антипович</t>
  </si>
  <si>
    <t>+380 487-238-5930</t>
  </si>
  <si>
    <t>Филиппов Павел Игнатович</t>
  </si>
  <si>
    <t>+998 153-345-5047</t>
  </si>
  <si>
    <t>Жданов Аверьян Валерьевич</t>
  </si>
  <si>
    <t>+992 908-969-9000</t>
  </si>
  <si>
    <t>Носкова Ольга Ждановна</t>
  </si>
  <si>
    <t>+7 260-379-8995</t>
  </si>
  <si>
    <t>Вишняков Фома Викентьевич</t>
  </si>
  <si>
    <t>+380 030-138-6532</t>
  </si>
  <si>
    <t>Родионова Евпраксия Олеговна</t>
  </si>
  <si>
    <t>+7 139-999-3338</t>
  </si>
  <si>
    <t>Арсений Вилорович Лобанов</t>
  </si>
  <si>
    <t>+992 862-124-2046</t>
  </si>
  <si>
    <t>Зайцев Ефрем Даниилович</t>
  </si>
  <si>
    <t>+380 833-248-7380</t>
  </si>
  <si>
    <t>Самуил Зиновьевич Фокин</t>
  </si>
  <si>
    <t>+7 038-725-7867</t>
  </si>
  <si>
    <t>Мария Кузьминична Борисова</t>
  </si>
  <si>
    <t>+998 049-489-2171</t>
  </si>
  <si>
    <t>Тимофеева Анастасия Натановна</t>
  </si>
  <si>
    <t>+7 892-625-6649</t>
  </si>
  <si>
    <t>Кириллов Валерьян Иосипович</t>
  </si>
  <si>
    <t>+992 904-682-2250</t>
  </si>
  <si>
    <t>Авдей Брониславович Владимиров</t>
  </si>
  <si>
    <t>+7 739-924-9444</t>
  </si>
  <si>
    <t>Маргарита Ждановна Зуева</t>
  </si>
  <si>
    <t>+998 241-358-6988</t>
  </si>
  <si>
    <t>Брагин Любомир Гертрудович</t>
  </si>
  <si>
    <t>+375 156-538-5529</t>
  </si>
  <si>
    <t>Лазарев Арефий Анатольевич</t>
  </si>
  <si>
    <t>+992 358-380-4702</t>
  </si>
  <si>
    <t>Фёкла Феликсовна Харитонова</t>
  </si>
  <si>
    <t>+992 928-516-3980</t>
  </si>
  <si>
    <t>Раиса Станиславовна Чернова</t>
  </si>
  <si>
    <t>+998 583-780-6740</t>
  </si>
  <si>
    <t>Прокл Тимурович Александров</t>
  </si>
  <si>
    <t>+7 393-681-6723</t>
  </si>
  <si>
    <t>Бурова Марфа Игоревна</t>
  </si>
  <si>
    <t>+7 669-661-5797</t>
  </si>
  <si>
    <t>Королев Феофан Бориславович</t>
  </si>
  <si>
    <t>+992 908-369-0617</t>
  </si>
  <si>
    <t>Гурьев Евсей Гертрудович</t>
  </si>
  <si>
    <t>+998 678-470-2329</t>
  </si>
  <si>
    <t>Белозеров Лука Харлампьевич</t>
  </si>
  <si>
    <t>+380 828-307-7136</t>
  </si>
  <si>
    <t>Анжела Филипповна Новикова</t>
  </si>
  <si>
    <t>+7 858-333-4042</t>
  </si>
  <si>
    <t>Ермаков Вадим Юлианович</t>
  </si>
  <si>
    <t>+380 667-385-3298</t>
  </si>
  <si>
    <t>Фрол Авдеевич Фадеев</t>
  </si>
  <si>
    <t>+380 435-435-7454</t>
  </si>
  <si>
    <t>Никитин Светозар Харлампьевич</t>
  </si>
  <si>
    <t>+7 724-995-2653</t>
  </si>
  <si>
    <t>Блинов Натан Всеволодович</t>
  </si>
  <si>
    <t>+992 861-842-9595</t>
  </si>
  <si>
    <t>Горбунова Наина Филипповна</t>
  </si>
  <si>
    <t>+998 876-305-1700</t>
  </si>
  <si>
    <t>Трофимова Василиса Матвеевна</t>
  </si>
  <si>
    <t>+380 349-100-4938</t>
  </si>
  <si>
    <t>Бобылев Никодим Виленович</t>
  </si>
  <si>
    <t>+7 962-495-5040</t>
  </si>
  <si>
    <t>Лазарев Софон Якубович</t>
  </si>
  <si>
    <t>+380 697-469-4252</t>
  </si>
  <si>
    <t>Кудряшова Василиса Болеславовна</t>
  </si>
  <si>
    <t>+380 947-602-2812</t>
  </si>
  <si>
    <t>Назар Августович Назаров</t>
  </si>
  <si>
    <t>+7 007-157-8873</t>
  </si>
  <si>
    <t>Соловьев Родион Данилович</t>
  </si>
  <si>
    <t>+992 086-931-5836</t>
  </si>
  <si>
    <t>Евдокимов Януарий Феликсович</t>
  </si>
  <si>
    <t>+998 581-380-6694</t>
  </si>
  <si>
    <t>Князева Акулина Алексеевна</t>
  </si>
  <si>
    <t>+992 234-736-4616</t>
  </si>
  <si>
    <t>тов. Копылова Жанна Архиповна</t>
  </si>
  <si>
    <t>+998 880-147-7505</t>
  </si>
  <si>
    <t>Эмилия Олеговна Калинина</t>
  </si>
  <si>
    <t>+998 827-959-0308</t>
  </si>
  <si>
    <t>Александра Владиславовна Беляева</t>
  </si>
  <si>
    <t>+7 430-487-6579</t>
  </si>
  <si>
    <t>Дорофеев Тимур Валерьянович</t>
  </si>
  <si>
    <t>+7 219-942-5792</t>
  </si>
  <si>
    <t>Николаева Зинаида Ивановна</t>
  </si>
  <si>
    <t>+7 727-444-8253</t>
  </si>
  <si>
    <t>Федотова Ангелина Максимовна</t>
  </si>
  <si>
    <t>+998 801-433-5842</t>
  </si>
  <si>
    <t>Медведева Алина Алексеевна</t>
  </si>
  <si>
    <t>+380 341-215-3278</t>
  </si>
  <si>
    <t>Леонид Арсенович Давыдов</t>
  </si>
  <si>
    <t>+380 369-038-6358</t>
  </si>
  <si>
    <t>Ефремов Епифан Ильич</t>
  </si>
  <si>
    <t>+7 833-884-1180</t>
  </si>
  <si>
    <t>Чеслав Бориславович Мамонтов</t>
  </si>
  <si>
    <t>+7 356-385-2881</t>
  </si>
  <si>
    <t>Абрамова Елизавета Эдуардовна</t>
  </si>
  <si>
    <t>+375 260-927-0999</t>
  </si>
  <si>
    <t>Виктор Марсович Игнатов</t>
  </si>
  <si>
    <t>+375 074-074-0170</t>
  </si>
  <si>
    <t>Татьяна Михайловна Новикова</t>
  </si>
  <si>
    <t>+7 093-201-9949</t>
  </si>
  <si>
    <t>Жуков Никифор Фомич</t>
  </si>
  <si>
    <t>+998 388-311-1484</t>
  </si>
  <si>
    <t>Ратибор Андреевич Маслов</t>
  </si>
  <si>
    <t>+998 016-556-9015</t>
  </si>
  <si>
    <t>Виктор Жанович Никифоров</t>
  </si>
  <si>
    <t>+992 326-136-2416</t>
  </si>
  <si>
    <t>Зоя Егоровна Третьякова</t>
  </si>
  <si>
    <t>+7 089-779-0837</t>
  </si>
  <si>
    <t>Силин Антип Ильясович</t>
  </si>
  <si>
    <t>+992 372-939-7775</t>
  </si>
  <si>
    <t>Регина Кирилловна Нестерова</t>
  </si>
  <si>
    <t>+7 288-468-9287</t>
  </si>
  <si>
    <t>Сидор Вячеславович Зиновьев</t>
  </si>
  <si>
    <t>+7 263-859-8875</t>
  </si>
  <si>
    <t>Эммануил Ааронович Кошелев</t>
  </si>
  <si>
    <t>+7 894-900-2879</t>
  </si>
  <si>
    <t>Ладимир Гурьевич Егоров</t>
  </si>
  <si>
    <t>+7 376-172-1887</t>
  </si>
  <si>
    <t>Владилен Иосифович Третьяков</t>
  </si>
  <si>
    <t>+7 915-487-8205</t>
  </si>
  <si>
    <t>Аггей Терентьевич Волков</t>
  </si>
  <si>
    <t>+992 508-269-1094</t>
  </si>
  <si>
    <t>Лыткина Вера Ждановна</t>
  </si>
  <si>
    <t>+992 253-231-6427</t>
  </si>
  <si>
    <t>Ильина Милица Захаровна</t>
  </si>
  <si>
    <t>+7 640-461-4099</t>
  </si>
  <si>
    <t>Пестов Измаил Глебович</t>
  </si>
  <si>
    <t>+992 314-900-5858</t>
  </si>
  <si>
    <t>Сократ Юльевич Афанасьев</t>
  </si>
  <si>
    <t>+7 322-351-7967</t>
  </si>
  <si>
    <t>Панфил Федотович Шаров</t>
  </si>
  <si>
    <t>+992 883-671-0611</t>
  </si>
  <si>
    <t>Галина Кирилловна Прохорова</t>
  </si>
  <si>
    <t>+375 523-528-4996</t>
  </si>
  <si>
    <t>Капитон Феликсович Кабанов</t>
  </si>
  <si>
    <t>+380 465-945-6481</t>
  </si>
  <si>
    <t>Капитон Харитонович Родионов</t>
  </si>
  <si>
    <t>+7 710-415-0428</t>
  </si>
  <si>
    <t>Иванна Наумовна Иванова</t>
  </si>
  <si>
    <t>+998 237-658-9236</t>
  </si>
  <si>
    <t>Бажен Дмитриевич Исаков</t>
  </si>
  <si>
    <t>+7 638-478-8735</t>
  </si>
  <si>
    <t>Регина Сергеевна Чернова</t>
  </si>
  <si>
    <t>+7 425-907-2619</t>
  </si>
  <si>
    <t>Регина Сергеевна Ефимова</t>
  </si>
  <si>
    <t>+380 616-238-3294</t>
  </si>
  <si>
    <t>Ипатий Устинович Зимин</t>
  </si>
  <si>
    <t>+992 129-804-1705</t>
  </si>
  <si>
    <t>Панова Евгения Викторовна</t>
  </si>
  <si>
    <t>+998 176-720-2162</t>
  </si>
  <si>
    <t>Агата Геннадьевна Колесникова</t>
  </si>
  <si>
    <t>+7 600-803-0627</t>
  </si>
  <si>
    <t>Алина Михайловна Шестакова</t>
  </si>
  <si>
    <t>+375 960-328-1316</t>
  </si>
  <si>
    <t>Эмилия Руслановна Шарапова</t>
  </si>
  <si>
    <t>+380 424-152-2316</t>
  </si>
  <si>
    <t>Горшкова Василиса Святославовна</t>
  </si>
  <si>
    <t>+7 963-508-8333</t>
  </si>
  <si>
    <t>Валентина Захаровна Боброва</t>
  </si>
  <si>
    <t>+375 284-418-1233</t>
  </si>
  <si>
    <t>Абрамова Евдокия Егоровна</t>
  </si>
  <si>
    <t>+992 266-481-3942</t>
  </si>
  <si>
    <t>Кондратьева Валентина Львовна</t>
  </si>
  <si>
    <t>+380 076-252-5210</t>
  </si>
  <si>
    <t>Карп Афанасьевич Фомичев</t>
  </si>
  <si>
    <t>+375 205-037-7882</t>
  </si>
  <si>
    <t>Стрелков Геннадий Бориславович</t>
  </si>
  <si>
    <t>+380 030-761-0677</t>
  </si>
  <si>
    <t>Самойлова Татьяна Эльдаровна</t>
  </si>
  <si>
    <t>+375 079-578-9874</t>
  </si>
  <si>
    <t>Морозова Майя Борисовна</t>
  </si>
  <si>
    <t>+998 824-309-1395</t>
  </si>
  <si>
    <t>Ия Никифоровна Лапина</t>
  </si>
  <si>
    <t>+992 248-066-2060</t>
  </si>
  <si>
    <t>Дементий Антипович Мухин</t>
  </si>
  <si>
    <t>+992 110-427-6136</t>
  </si>
  <si>
    <t>Филиппова Юлия Леоновна</t>
  </si>
  <si>
    <t>+380 088-024-3161</t>
  </si>
  <si>
    <t>Полякова Анжела Аскольдовна</t>
  </si>
  <si>
    <t>+7 752-341-5050</t>
  </si>
  <si>
    <t>Лукин Харлампий Игнатович</t>
  </si>
  <si>
    <t>+375 077-514-8048</t>
  </si>
  <si>
    <t>Федотов Радислав Антонович</t>
  </si>
  <si>
    <t>+380 276-157-8458</t>
  </si>
  <si>
    <t>Лора Болеславовна Потапова</t>
  </si>
  <si>
    <t>+7 632-222-4524</t>
  </si>
  <si>
    <t>Сила Денисович Гурьев</t>
  </si>
  <si>
    <t>+7 273-904-5457</t>
  </si>
  <si>
    <t>Иванов Христофор Ильясович</t>
  </si>
  <si>
    <t>+998 053-607-1948</t>
  </si>
  <si>
    <t>Поляков Боян Андреевич</t>
  </si>
  <si>
    <t>+998 826-456-9884</t>
  </si>
  <si>
    <t>Ратибор Арсеньевич Петров</t>
  </si>
  <si>
    <t>+998 488-220-8790</t>
  </si>
  <si>
    <t>Капустина Тамара Валериевна</t>
  </si>
  <si>
    <t>+7 747-678-7543</t>
  </si>
  <si>
    <t>Феофан Гурьевич Дорофеев</t>
  </si>
  <si>
    <t>+992 349-223-5769</t>
  </si>
  <si>
    <t>Алексеев Касьян Ефимович</t>
  </si>
  <si>
    <t>+998 752-893-8536</t>
  </si>
  <si>
    <t>Юлия Вячеславовна Журавлева</t>
  </si>
  <si>
    <t>+7 630-977-5834</t>
  </si>
  <si>
    <t>Элеонора Ивановна Королева</t>
  </si>
  <si>
    <t>+998 084-412-0746</t>
  </si>
  <si>
    <t>Полина Николаевна Евдокимова</t>
  </si>
  <si>
    <t>+7 899-265-0963</t>
  </si>
  <si>
    <t>Лукия Ефимовна Тимофеева</t>
  </si>
  <si>
    <t>+7 321-005-5110</t>
  </si>
  <si>
    <t>Майя Вадимовна Рябова</t>
  </si>
  <si>
    <t>+7 592-570-4871</t>
  </si>
  <si>
    <t>Кудрявцева Ульяна Филипповна</t>
  </si>
  <si>
    <t>+998 525-413-6836</t>
  </si>
  <si>
    <t>Виноградов Карл Алексеевич</t>
  </si>
  <si>
    <t>+380 633-205-1404</t>
  </si>
  <si>
    <t>Чеслав Виленович Шестаков</t>
  </si>
  <si>
    <t>+998 222-956-9780</t>
  </si>
  <si>
    <t>Бирюков Олимпий Иосифович</t>
  </si>
  <si>
    <t>+375 226-887-4565</t>
  </si>
  <si>
    <t>г-н Рыбаков Автоном Антонович</t>
  </si>
  <si>
    <t>+7 109-995-2846</t>
  </si>
  <si>
    <t>Нинель Натановна Лазарева</t>
  </si>
  <si>
    <t>+375 372-396-9651</t>
  </si>
  <si>
    <t>Сорокина Феврония Натановна</t>
  </si>
  <si>
    <t>+998 607-517-9439</t>
  </si>
  <si>
    <t>Новикова Лидия Павловна</t>
  </si>
  <si>
    <t>+375 743-922-4671</t>
  </si>
  <si>
    <t>Герасимов Еремей Демидович</t>
  </si>
  <si>
    <t>+7 181-799-6850</t>
  </si>
  <si>
    <t>Вероника Евгеньевна Федосеева</t>
  </si>
  <si>
    <t>+380 835-708-4433</t>
  </si>
  <si>
    <t>Кудрявцев Демид Ерофеевич</t>
  </si>
  <si>
    <t>+7 454-941-1729</t>
  </si>
  <si>
    <t>Филимон Федотович Иванов</t>
  </si>
  <si>
    <t>+7 297-169-3756</t>
  </si>
  <si>
    <t>Лонгин Арсенович Никонов</t>
  </si>
  <si>
    <t>+998 498-706-1394</t>
  </si>
  <si>
    <t>Юлия Леоновна Наумова</t>
  </si>
  <si>
    <t>+375 435-951-1995</t>
  </si>
  <si>
    <t>Агата Юрьевна Галкина</t>
  </si>
  <si>
    <t>+998 350-816-0031</t>
  </si>
  <si>
    <t>Гурьев Влас Юлианович</t>
  </si>
  <si>
    <t>+992 863-895-4307</t>
  </si>
  <si>
    <t>Мефодий Филиппович Воробьев</t>
  </si>
  <si>
    <t>+998 006-788-9211</t>
  </si>
  <si>
    <t>Август Вячеславович Брагин</t>
  </si>
  <si>
    <t>+7 063-931-5918</t>
  </si>
  <si>
    <t>Любовь Георгиевна Мамонтова</t>
  </si>
  <si>
    <t>+380 545-746-8707</t>
  </si>
  <si>
    <t>Осипов Светозар Ефремович</t>
  </si>
  <si>
    <t>+998 353-736-8172</t>
  </si>
  <si>
    <t>Зоя Кирилловна Брагина</t>
  </si>
  <si>
    <t>+998 591-865-8342</t>
  </si>
  <si>
    <t>Калинина Ирина Филипповна</t>
  </si>
  <si>
    <t>+380 622-144-1703</t>
  </si>
  <si>
    <t>Александра Матвеевна Артемьева</t>
  </si>
  <si>
    <t>+380 669-437-2066</t>
  </si>
  <si>
    <t>Носкова Вера Федоровна</t>
  </si>
  <si>
    <t>+7 753-596-5037</t>
  </si>
  <si>
    <t>Никодим Игоревич Бобров</t>
  </si>
  <si>
    <t>+375 682-373-1802</t>
  </si>
  <si>
    <t>Вера Георгиевна Некрасова</t>
  </si>
  <si>
    <t>+375 796-304-7865</t>
  </si>
  <si>
    <t>Фадей Ефимович Калинин</t>
  </si>
  <si>
    <t>+998 469-847-6587</t>
  </si>
  <si>
    <t>Дата регистрации клиента</t>
  </si>
  <si>
    <t>Программа лояльности клиента</t>
  </si>
  <si>
    <t>ФИО</t>
  </si>
  <si>
    <t>номер телефона клиента</t>
  </si>
  <si>
    <t>Анализ продаж продуктовых сетей</t>
  </si>
  <si>
    <t>Динамика продаж по магазинам</t>
  </si>
  <si>
    <t>Изучение продаж по категориям товаров</t>
  </si>
  <si>
    <t>Изучение клиентов по географии и лайфтайму</t>
  </si>
  <si>
    <t>Сравнение поставщиков по объемам закупок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</si>
  <si>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</si>
  <si>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</si>
  <si>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</si>
  <si>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Среднее кол-во по категориям (что покупают чаще)</t>
  </si>
  <si>
    <t>Умные таблицы и работа с абсолютными и относительными ссылками</t>
  </si>
  <si>
    <t>Аналитика географии клиентов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</si>
  <si>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</si>
  <si>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</si>
  <si>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</si>
  <si>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</si>
  <si>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Построение диаграмм</t>
  </si>
  <si>
    <t>Частотность имен для рекламной компании</t>
  </si>
  <si>
    <t>Платежеспособность по странам</t>
  </si>
  <si>
    <t>Суммарные продажи по поставщикам</t>
  </si>
  <si>
    <t>Задачи исследования</t>
  </si>
  <si>
    <t>Декомпозиция</t>
  </si>
  <si>
    <t>Анализ цен внутри товарной категории по магазинам</t>
  </si>
  <si>
    <t>Анализ цен внутри категории по поставщикам</t>
  </si>
  <si>
    <t>Кол-во дней с момента регистрациидо покупки</t>
  </si>
  <si>
    <t xml:space="preserve">Лайфтайм клиента </t>
  </si>
  <si>
    <t>Выводы исследования</t>
  </si>
  <si>
    <t>Суммарные продажи по магазинам</t>
  </si>
  <si>
    <t>Суммарные продажи по категориям</t>
  </si>
  <si>
    <t>№</t>
  </si>
  <si>
    <t>Данные сгенерированы ChatGPT и не являются NDA</t>
  </si>
  <si>
    <t>Названия строк</t>
  </si>
  <si>
    <t>Общий итог</t>
  </si>
  <si>
    <t>2023</t>
  </si>
  <si>
    <t>2024</t>
  </si>
  <si>
    <t>Сумма по полю сумма чека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</si>
  <si>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</si>
  <si>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</si>
  <si>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</si>
  <si>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</si>
  <si>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</si>
  <si>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</si>
  <si>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</si>
  <si>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</si>
  <si>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</si>
  <si>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</si>
  <si>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дек</t>
  </si>
  <si>
    <t>Категория товара</t>
  </si>
  <si>
    <t>Поставщик</t>
  </si>
  <si>
    <t>Средняя цена в категории за штуку</t>
  </si>
  <si>
    <t>Выгода клиента</t>
  </si>
  <si>
    <t>Среднее по полю Выгода клиента</t>
  </si>
  <si>
    <t>GMV</t>
  </si>
  <si>
    <t>Проанализирован период с января 2023 по май 2024. Наблюдается общее снижение продаж в октябре 2023.</t>
  </si>
  <si>
    <t>По магазинам продаж: в Ашане видим рост продаж после июля 2023</t>
  </si>
  <si>
    <t>В Дикси - провал в октябре 2023</t>
  </si>
  <si>
    <t>В Пятерочке - максимум в августе 2023, а спады заметны в мае и декабре 2023</t>
  </si>
  <si>
    <t>По сумме продаж лидирует O'Key, отстает Билла</t>
  </si>
  <si>
    <t>средняя стоимость в категории по поставщику.</t>
  </si>
  <si>
    <t>Выгода для клиента внутри поставщика.</t>
  </si>
  <si>
    <t>В Пятерочке - наибольший дисконт - 10%, в Ленте наценка 10%</t>
  </si>
  <si>
    <t>Среднее по полю Выгода для клиента внутри поставщика.</t>
  </si>
  <si>
    <t>Сведения о Среднее по полю средняя стоимость в категории по поставщику. - Выгода для клиента внутри поставщика.: -0.991794471036436</t>
  </si>
  <si>
    <t>(Все)</t>
  </si>
  <si>
    <t>Среднее по полю кол-во штук в чеке</t>
  </si>
  <si>
    <t>Сведения о Среднее по полю кол-во штук в чеке - Категория товара: Йогурт</t>
  </si>
  <si>
    <t>Среднее по полю средняя стоимость в категории по поставщику.</t>
  </si>
  <si>
    <t>Код телефона</t>
  </si>
  <si>
    <t>Количество по полю id клиента</t>
  </si>
  <si>
    <t>Дата регистрации клента</t>
  </si>
  <si>
    <t>Кол-во дней с момента регистрации</t>
  </si>
  <si>
    <t>Текущая дата</t>
  </si>
  <si>
    <t>Лайфтайм клиента</t>
  </si>
  <si>
    <t>Столбец1</t>
  </si>
  <si>
    <t>Имя</t>
  </si>
  <si>
    <t>Фамилия</t>
  </si>
  <si>
    <t>Отч</t>
  </si>
  <si>
    <t>Втор</t>
  </si>
  <si>
    <t>Длина</t>
  </si>
  <si>
    <t>Брагин</t>
  </si>
  <si>
    <t>Авдеев</t>
  </si>
  <si>
    <t>Владимиров</t>
  </si>
  <si>
    <t>Филиппов</t>
  </si>
  <si>
    <t>Логинов</t>
  </si>
  <si>
    <t>Колесникова</t>
  </si>
  <si>
    <t>Мартынова</t>
  </si>
  <si>
    <t>Галкина</t>
  </si>
  <si>
    <t>Артемьев</t>
  </si>
  <si>
    <t>Волков</t>
  </si>
  <si>
    <t>Исакова</t>
  </si>
  <si>
    <t>Ефимова</t>
  </si>
  <si>
    <t>Кузнецова</t>
  </si>
  <si>
    <t>Белякова</t>
  </si>
  <si>
    <t>Зыкова</t>
  </si>
  <si>
    <t>Гущин</t>
  </si>
  <si>
    <t>Беляева</t>
  </si>
  <si>
    <t>Филатова</t>
  </si>
  <si>
    <t>Артемьева</t>
  </si>
  <si>
    <t>Ефимович</t>
  </si>
  <si>
    <t>Блинов</t>
  </si>
  <si>
    <t>Шестакова</t>
  </si>
  <si>
    <t>Фомина</t>
  </si>
  <si>
    <t>Сидорова</t>
  </si>
  <si>
    <t>Гаврилов</t>
  </si>
  <si>
    <t>Юдин</t>
  </si>
  <si>
    <t>Евсеев</t>
  </si>
  <si>
    <t>Фролова</t>
  </si>
  <si>
    <t>Белова</t>
  </si>
  <si>
    <t>Морозов</t>
  </si>
  <si>
    <t>Григорьева</t>
  </si>
  <si>
    <t>Новикова</t>
  </si>
  <si>
    <t>Рожкова</t>
  </si>
  <si>
    <t>Никифорова</t>
  </si>
  <si>
    <t>Жданова</t>
  </si>
  <si>
    <t>Лобанов</t>
  </si>
  <si>
    <t>Емельянов</t>
  </si>
  <si>
    <t>Афанасьев</t>
  </si>
  <si>
    <t>Исаков</t>
  </si>
  <si>
    <t>Анисимов</t>
  </si>
  <si>
    <t>Боброва</t>
  </si>
  <si>
    <t>Семенова</t>
  </si>
  <si>
    <t>Медведева</t>
  </si>
  <si>
    <t>Потапова</t>
  </si>
  <si>
    <t>Цветков</t>
  </si>
  <si>
    <t>Назарова</t>
  </si>
  <si>
    <t>Кириллов</t>
  </si>
  <si>
    <t>Федосеева</t>
  </si>
  <si>
    <t>Федорова</t>
  </si>
  <si>
    <t>Назаров</t>
  </si>
  <si>
    <t>Бляков</t>
  </si>
  <si>
    <t>Кузнецов</t>
  </si>
  <si>
    <t>Абрамов</t>
  </si>
  <si>
    <t>Абрамова</t>
  </si>
  <si>
    <t>Баранов</t>
  </si>
  <si>
    <t>Баранова</t>
  </si>
  <si>
    <t>Белов</t>
  </si>
  <si>
    <t>Белозеров</t>
  </si>
  <si>
    <t>Белоусова</t>
  </si>
  <si>
    <t>Бирюков</t>
  </si>
  <si>
    <t>Бирюкова</t>
  </si>
  <si>
    <t>Бобылев</t>
  </si>
  <si>
    <t>Бобылева</t>
  </si>
  <si>
    <t>Большаков</t>
  </si>
  <si>
    <t>Калашников</t>
  </si>
  <si>
    <t>Брагина</t>
  </si>
  <si>
    <t>Бурова</t>
  </si>
  <si>
    <t>Васильев</t>
  </si>
  <si>
    <t>Васильева</t>
  </si>
  <si>
    <t>Макаров</t>
  </si>
  <si>
    <t>Некрасова</t>
  </si>
  <si>
    <t>Воронова</t>
  </si>
  <si>
    <t>Ефремова</t>
  </si>
  <si>
    <t>Блинова</t>
  </si>
  <si>
    <t>Никифоров</t>
  </si>
  <si>
    <t>Игнатов</t>
  </si>
  <si>
    <t>Соколова</t>
  </si>
  <si>
    <t>Никитина</t>
  </si>
  <si>
    <t>Виноградов</t>
  </si>
  <si>
    <t>Вишняков</t>
  </si>
  <si>
    <t>Третьяков</t>
  </si>
  <si>
    <t>Владимирова</t>
  </si>
  <si>
    <t>Власов</t>
  </si>
  <si>
    <t>Волкова</t>
  </si>
  <si>
    <t>Воробьева</t>
  </si>
  <si>
    <t>Новиков</t>
  </si>
  <si>
    <t>Прохорова</t>
  </si>
  <si>
    <t>Петухова</t>
  </si>
  <si>
    <t>Герасимов</t>
  </si>
  <si>
    <t>Калинин</t>
  </si>
  <si>
    <t xml:space="preserve"> Воробьева</t>
  </si>
  <si>
    <t xml:space="preserve"> Ефимова</t>
  </si>
  <si>
    <t xml:space="preserve"> Миронова</t>
  </si>
  <si>
    <t>Мельникова</t>
  </si>
  <si>
    <t xml:space="preserve"> Зуев</t>
  </si>
  <si>
    <t xml:space="preserve"> Копылов</t>
  </si>
  <si>
    <t xml:space="preserve"> Рыбаков</t>
  </si>
  <si>
    <t xml:space="preserve"> Савельев</t>
  </si>
  <si>
    <t>Горбунова</t>
  </si>
  <si>
    <t>Медведев</t>
  </si>
  <si>
    <t>Горшкова</t>
  </si>
  <si>
    <t>Одинцов</t>
  </si>
  <si>
    <t>Григорьев</t>
  </si>
  <si>
    <t>Гуляева</t>
  </si>
  <si>
    <t>Гурьев</t>
  </si>
  <si>
    <t>Гурьева</t>
  </si>
  <si>
    <t>Белоусов</t>
  </si>
  <si>
    <t>Мухин</t>
  </si>
  <si>
    <t>Давыдов</t>
  </si>
  <si>
    <t>Мясников</t>
  </si>
  <si>
    <t>Денисов</t>
  </si>
  <si>
    <t>Дорофеев</t>
  </si>
  <si>
    <t>Дьячков</t>
  </si>
  <si>
    <t>Евдокимов</t>
  </si>
  <si>
    <t>Карпова</t>
  </si>
  <si>
    <t>Соловьева</t>
  </si>
  <si>
    <t>Чернова</t>
  </si>
  <si>
    <t>Миронова</t>
  </si>
  <si>
    <t>Кулакова</t>
  </si>
  <si>
    <t>Кудряшова</t>
  </si>
  <si>
    <t>Данилова</t>
  </si>
  <si>
    <t>Лапина</t>
  </si>
  <si>
    <t>Щербаков</t>
  </si>
  <si>
    <t>Мамонтов</t>
  </si>
  <si>
    <t>Воронов</t>
  </si>
  <si>
    <t>Ермаков</t>
  </si>
  <si>
    <t>Ермакова</t>
  </si>
  <si>
    <t>Ефремов</t>
  </si>
  <si>
    <t>Жданов</t>
  </si>
  <si>
    <t>Жуков</t>
  </si>
  <si>
    <t>Журавлев</t>
  </si>
  <si>
    <t>Журавлева</t>
  </si>
  <si>
    <t>Зайцев</t>
  </si>
  <si>
    <t>Воробьев</t>
  </si>
  <si>
    <t>Панова</t>
  </si>
  <si>
    <t>Третьякова</t>
  </si>
  <si>
    <t>Зуев</t>
  </si>
  <si>
    <t>Сергеева</t>
  </si>
  <si>
    <t>Иванова</t>
  </si>
  <si>
    <t>Иванов</t>
  </si>
  <si>
    <t>Игнатова</t>
  </si>
  <si>
    <t>Зыков</t>
  </si>
  <si>
    <t>Ильина</t>
  </si>
  <si>
    <t>Панов</t>
  </si>
  <si>
    <t>Зимин</t>
  </si>
  <si>
    <t>Родионова</t>
  </si>
  <si>
    <t>Шарова</t>
  </si>
  <si>
    <t>Калинина</t>
  </si>
  <si>
    <t>Кабанов</t>
  </si>
  <si>
    <t>Родионов</t>
  </si>
  <si>
    <t>Капустина</t>
  </si>
  <si>
    <t>Фомичев</t>
  </si>
  <si>
    <t>Горбунов</t>
  </si>
  <si>
    <t>Рогова</t>
  </si>
  <si>
    <t>Ковалева</t>
  </si>
  <si>
    <t>Хохлова</t>
  </si>
  <si>
    <t>Князев</t>
  </si>
  <si>
    <t>Князева</t>
  </si>
  <si>
    <t>Кондратьева</t>
  </si>
  <si>
    <t>Конон</t>
  </si>
  <si>
    <t>Кононова</t>
  </si>
  <si>
    <t>Колесников</t>
  </si>
  <si>
    <t>Константинов</t>
  </si>
  <si>
    <t>Копылов</t>
  </si>
  <si>
    <t>Копылова</t>
  </si>
  <si>
    <t>Комиссаров</t>
  </si>
  <si>
    <t>Корнилов</t>
  </si>
  <si>
    <t>Королев</t>
  </si>
  <si>
    <t>Костина</t>
  </si>
  <si>
    <t>Кошелева</t>
  </si>
  <si>
    <t>Красильников</t>
  </si>
  <si>
    <t>Авдеева</t>
  </si>
  <si>
    <t>Кудрявцев</t>
  </si>
  <si>
    <t>Кудрявцева</t>
  </si>
  <si>
    <t>Кудряшов</t>
  </si>
  <si>
    <t>Куликова</t>
  </si>
  <si>
    <t>Лаврентьева</t>
  </si>
  <si>
    <t>Егоров</t>
  </si>
  <si>
    <t>Лазарев</t>
  </si>
  <si>
    <t>Лапин</t>
  </si>
  <si>
    <t>Крюкова</t>
  </si>
  <si>
    <t>Захаров</t>
  </si>
  <si>
    <t>Никонов</t>
  </si>
  <si>
    <t>Турова</t>
  </si>
  <si>
    <t>Лукин</t>
  </si>
  <si>
    <t>Тимофеева</t>
  </si>
  <si>
    <t>Лыткина</t>
  </si>
  <si>
    <t>Одинцова</t>
  </si>
  <si>
    <t>Мамонтова</t>
  </si>
  <si>
    <t>Пономарев</t>
  </si>
  <si>
    <t>Туров</t>
  </si>
  <si>
    <t>Стрелков</t>
  </si>
  <si>
    <t>Веселов</t>
  </si>
  <si>
    <t>Рябова</t>
  </si>
  <si>
    <t>Семенов</t>
  </si>
  <si>
    <t>Максимова</t>
  </si>
  <si>
    <t>Зуева</t>
  </si>
  <si>
    <t>Смирнова</t>
  </si>
  <si>
    <t>Борисова</t>
  </si>
  <si>
    <t>Маркова</t>
  </si>
  <si>
    <t>Мартынов</t>
  </si>
  <si>
    <t>Титова</t>
  </si>
  <si>
    <t>Макарова</t>
  </si>
  <si>
    <t>Маслов</t>
  </si>
  <si>
    <t>Маслова</t>
  </si>
  <si>
    <t>Богданов</t>
  </si>
  <si>
    <t>Меркушева</t>
  </si>
  <si>
    <t>Горбачев</t>
  </si>
  <si>
    <t>Миронов</t>
  </si>
  <si>
    <t>Михайлова</t>
  </si>
  <si>
    <t>Михеев</t>
  </si>
  <si>
    <t>Лихачев</t>
  </si>
  <si>
    <t>Моисеев</t>
  </si>
  <si>
    <t>Морозова</t>
  </si>
  <si>
    <t>Муравьева</t>
  </si>
  <si>
    <t>фимович</t>
  </si>
  <si>
    <t>Нестеров</t>
  </si>
  <si>
    <t>Нестерова</t>
  </si>
  <si>
    <t>Степанов</t>
  </si>
  <si>
    <t>Никитин</t>
  </si>
  <si>
    <t>Потапов</t>
  </si>
  <si>
    <t>Бобров</t>
  </si>
  <si>
    <t>Николаева</t>
  </si>
  <si>
    <t>Савин</t>
  </si>
  <si>
    <t>Дроздов</t>
  </si>
  <si>
    <t>Лазарева</t>
  </si>
  <si>
    <t>Носкова</t>
  </si>
  <si>
    <t>Овчинникова</t>
  </si>
  <si>
    <t>Зимина</t>
  </si>
  <si>
    <t>Орехова</t>
  </si>
  <si>
    <t>Осипов</t>
  </si>
  <si>
    <t>Шаров</t>
  </si>
  <si>
    <t>Кузьмин</t>
  </si>
  <si>
    <t>Цветкова</t>
  </si>
  <si>
    <t>Пестов</t>
  </si>
  <si>
    <t>Петрова</t>
  </si>
  <si>
    <t>Евдокимова</t>
  </si>
  <si>
    <t>Поляков</t>
  </si>
  <si>
    <t>Полякова</t>
  </si>
  <si>
    <t>Дементьева</t>
  </si>
  <si>
    <t>Александров</t>
  </si>
  <si>
    <t>Колобов</t>
  </si>
  <si>
    <t>Петров</t>
  </si>
  <si>
    <t>Рогов</t>
  </si>
  <si>
    <t>Коновалов</t>
  </si>
  <si>
    <t>Русаков</t>
  </si>
  <si>
    <t>Русакова</t>
  </si>
  <si>
    <t>Фролов</t>
  </si>
  <si>
    <t>Савельев</t>
  </si>
  <si>
    <t>Сазонова</t>
  </si>
  <si>
    <t>Самойлова</t>
  </si>
  <si>
    <t>Самсонов</t>
  </si>
  <si>
    <t>Фокин</t>
  </si>
  <si>
    <t>Сергеев</t>
  </si>
  <si>
    <t>Зиновьев</t>
  </si>
  <si>
    <t>Силин</t>
  </si>
  <si>
    <t>Силина</t>
  </si>
  <si>
    <t>Соловьев</t>
  </si>
  <si>
    <t>Сорокина</t>
  </si>
  <si>
    <t>Воронцов</t>
  </si>
  <si>
    <t>Ширяев</t>
  </si>
  <si>
    <t>Стрелкова</t>
  </si>
  <si>
    <t>Суханов</t>
  </si>
  <si>
    <t>Суханова</t>
  </si>
  <si>
    <t>Сысоева</t>
  </si>
  <si>
    <t>Якушева</t>
  </si>
  <si>
    <t>Павлова</t>
  </si>
  <si>
    <t>Гришин</t>
  </si>
  <si>
    <t>Тимофеев</t>
  </si>
  <si>
    <t>Тихонова</t>
  </si>
  <si>
    <t xml:space="preserve"> Копылова</t>
  </si>
  <si>
    <t xml:space="preserve"> Степанова</t>
  </si>
  <si>
    <t>Трофимова</t>
  </si>
  <si>
    <t>Устинов</t>
  </si>
  <si>
    <t>Веселова</t>
  </si>
  <si>
    <t>Кулагина</t>
  </si>
  <si>
    <t>Шубина</t>
  </si>
  <si>
    <t>Федотов Р</t>
  </si>
  <si>
    <t>Федотова</t>
  </si>
  <si>
    <t>Харитонова</t>
  </si>
  <si>
    <t>Яковлев</t>
  </si>
  <si>
    <t>Беляков</t>
  </si>
  <si>
    <t>Филиппова</t>
  </si>
  <si>
    <t>Фомичева</t>
  </si>
  <si>
    <t>Фадеев</t>
  </si>
  <si>
    <t>Алексеев</t>
  </si>
  <si>
    <t>Щукин</t>
  </si>
  <si>
    <t>Шестаков</t>
  </si>
  <si>
    <t>Шубин</t>
  </si>
  <si>
    <t>Щукина</t>
  </si>
  <si>
    <t>Королева</t>
  </si>
  <si>
    <t>Александрова</t>
  </si>
  <si>
    <t>Шарапова</t>
  </si>
  <si>
    <t>Кошелев</t>
  </si>
  <si>
    <t>Наумова</t>
  </si>
  <si>
    <t>Молчанов</t>
  </si>
  <si>
    <t>Якушев</t>
  </si>
  <si>
    <t xml:space="preserve"> Фомич</t>
  </si>
  <si>
    <t>Игнатович</t>
  </si>
  <si>
    <t>Архиповна</t>
  </si>
  <si>
    <t>Александровна</t>
  </si>
  <si>
    <t>Валерьянович</t>
  </si>
  <si>
    <t>Дорофеевич</t>
  </si>
  <si>
    <t>Отчество</t>
  </si>
  <si>
    <t>Фролович</t>
  </si>
  <si>
    <t>Богданович</t>
  </si>
  <si>
    <t>Егоровна</t>
  </si>
  <si>
    <t>Эдуардовна</t>
  </si>
  <si>
    <t xml:space="preserve"> Вячеславович</t>
  </si>
  <si>
    <t>Жанович</t>
  </si>
  <si>
    <t>Елисеевич</t>
  </si>
  <si>
    <t xml:space="preserve"> Брониславович</t>
  </si>
  <si>
    <t xml:space="preserve"> Терентьевич</t>
  </si>
  <si>
    <t xml:space="preserve"> Валерьевич</t>
  </si>
  <si>
    <t xml:space="preserve"> Геннадьевна</t>
  </si>
  <si>
    <t xml:space="preserve"> Олеговна</t>
  </si>
  <si>
    <t xml:space="preserve"> Юрьевна</t>
  </si>
  <si>
    <t xml:space="preserve"> Валентинович</t>
  </si>
  <si>
    <t xml:space="preserve"> Алексеевна</t>
  </si>
  <si>
    <t xml:space="preserve"> Архиповна</t>
  </si>
  <si>
    <t xml:space="preserve"> Егоровна</t>
  </si>
  <si>
    <t xml:space="preserve"> Ефимовна</t>
  </si>
  <si>
    <t xml:space="preserve"> Михайловна</t>
  </si>
  <si>
    <t xml:space="preserve"> Архипович</t>
  </si>
  <si>
    <t xml:space="preserve"> Владиславовна</t>
  </si>
  <si>
    <t xml:space="preserve"> Геннадиевна</t>
  </si>
  <si>
    <t xml:space="preserve"> Матвеевна</t>
  </si>
  <si>
    <t xml:space="preserve"> Трифонович</t>
  </si>
  <si>
    <t xml:space="preserve"> Рудольфовна</t>
  </si>
  <si>
    <t xml:space="preserve"> Артемьевич</t>
  </si>
  <si>
    <t xml:space="preserve"> Игнатович</t>
  </si>
  <si>
    <t xml:space="preserve"> Гордеевич</t>
  </si>
  <si>
    <t xml:space="preserve"> Альбертовна</t>
  </si>
  <si>
    <t xml:space="preserve"> Игоревна</t>
  </si>
  <si>
    <t xml:space="preserve"> Ивановна</t>
  </si>
  <si>
    <t xml:space="preserve"> Филипповна</t>
  </si>
  <si>
    <t xml:space="preserve"> Валериевна</t>
  </si>
  <si>
    <t xml:space="preserve"> Борисовна</t>
  </si>
  <si>
    <t xml:space="preserve"> Вилорович</t>
  </si>
  <si>
    <t xml:space="preserve"> Ермолаевич</t>
  </si>
  <si>
    <t>Ильинична</t>
  </si>
  <si>
    <t>Исидорович</t>
  </si>
  <si>
    <t xml:space="preserve"> Дмитриевич</t>
  </si>
  <si>
    <t>Терентьевич</t>
  </si>
  <si>
    <t>Эльдаровна</t>
  </si>
  <si>
    <t>Иосипович</t>
  </si>
  <si>
    <t>Харлампьевич</t>
  </si>
  <si>
    <t>Кузьминична</t>
  </si>
  <si>
    <t>Иосифович</t>
  </si>
  <si>
    <t>Артемовна</t>
  </si>
  <si>
    <t>Всеволодович</t>
  </si>
  <si>
    <t>Виленович</t>
  </si>
  <si>
    <t>Мироновна</t>
  </si>
  <si>
    <t>Тихонович</t>
  </si>
  <si>
    <t xml:space="preserve"> Дорофеевич</t>
  </si>
  <si>
    <t>Гертрудович</t>
  </si>
  <si>
    <t>Евгеньевна</t>
  </si>
  <si>
    <t>Игоревна</t>
  </si>
  <si>
    <t xml:space="preserve"> Артёмович</t>
  </si>
  <si>
    <t xml:space="preserve"> Захаровна</t>
  </si>
  <si>
    <t xml:space="preserve"> Кирилловна</t>
  </si>
  <si>
    <t xml:space="preserve"> Владимировна</t>
  </si>
  <si>
    <t xml:space="preserve"> Семеновна</t>
  </si>
  <si>
    <t xml:space="preserve"> Федосеевич</t>
  </si>
  <si>
    <t xml:space="preserve"> Леоновна</t>
  </si>
  <si>
    <t>Георгиевич</t>
  </si>
  <si>
    <t>Наумовна</t>
  </si>
  <si>
    <t xml:space="preserve"> Игоревич</t>
  </si>
  <si>
    <t xml:space="preserve"> Георгиевна</t>
  </si>
  <si>
    <t xml:space="preserve"> Евгеньевна</t>
  </si>
  <si>
    <t xml:space="preserve"> Руслановна</t>
  </si>
  <si>
    <t xml:space="preserve"> Сергеевна</t>
  </si>
  <si>
    <t xml:space="preserve"> Жанович</t>
  </si>
  <si>
    <t xml:space="preserve"> Марсович</t>
  </si>
  <si>
    <t xml:space="preserve"> Ильинична</t>
  </si>
  <si>
    <t xml:space="preserve"> Наумовна</t>
  </si>
  <si>
    <t>Алексеевич</t>
  </si>
  <si>
    <t>Викентьевич</t>
  </si>
  <si>
    <t>Анатольевич</t>
  </si>
  <si>
    <t xml:space="preserve"> Иосифович</t>
  </si>
  <si>
    <t>Артемьевич</t>
  </si>
  <si>
    <t>Феликсовна</t>
  </si>
  <si>
    <t>Чеславович</t>
  </si>
  <si>
    <t>Герасимович</t>
  </si>
  <si>
    <t>Николаевна</t>
  </si>
  <si>
    <t>Аскольдовна</t>
  </si>
  <si>
    <t>Трифонович</t>
  </si>
  <si>
    <t>Демидович</t>
  </si>
  <si>
    <t>Харитонович</t>
  </si>
  <si>
    <t xml:space="preserve"> Арсеньевич</t>
  </si>
  <si>
    <t xml:space="preserve"> Николаевна</t>
  </si>
  <si>
    <t>Максимовна</t>
  </si>
  <si>
    <t>Филипповна</t>
  </si>
  <si>
    <t xml:space="preserve"> Матвеевич</t>
  </si>
  <si>
    <t>Святославовна</t>
  </si>
  <si>
    <t>Борисовна</t>
  </si>
  <si>
    <t>Ануфриевич</t>
  </si>
  <si>
    <t>Юлианович</t>
  </si>
  <si>
    <t>Владимировна</t>
  </si>
  <si>
    <t>Яковлевич</t>
  </si>
  <si>
    <t xml:space="preserve"> Фёдорович</t>
  </si>
  <si>
    <t xml:space="preserve"> Филатович</t>
  </si>
  <si>
    <t>Владиславович</t>
  </si>
  <si>
    <t xml:space="preserve"> Степановна</t>
  </si>
  <si>
    <t xml:space="preserve"> Антипович</t>
  </si>
  <si>
    <t xml:space="preserve"> Антонович</t>
  </si>
  <si>
    <t>Феликсович</t>
  </si>
  <si>
    <t xml:space="preserve"> Эдуардовна</t>
  </si>
  <si>
    <t xml:space="preserve"> Федоровна</t>
  </si>
  <si>
    <t xml:space="preserve"> Петровна</t>
  </si>
  <si>
    <t xml:space="preserve"> Тимофеевна</t>
  </si>
  <si>
    <t xml:space="preserve"> Артемовна</t>
  </si>
  <si>
    <t xml:space="preserve"> Яковлевна</t>
  </si>
  <si>
    <t xml:space="preserve"> Харлампьевич</t>
  </si>
  <si>
    <t>Андреевич</t>
  </si>
  <si>
    <t xml:space="preserve"> Бориславович</t>
  </si>
  <si>
    <t>Эдуардович</t>
  </si>
  <si>
    <t>Егорович</t>
  </si>
  <si>
    <t>Алексеевна</t>
  </si>
  <si>
    <t>Ильич</t>
  </si>
  <si>
    <t xml:space="preserve"> Станиславовна</t>
  </si>
  <si>
    <t>Валерьевич</t>
  </si>
  <si>
    <t>Фомич</t>
  </si>
  <si>
    <t>Евсеевич</t>
  </si>
  <si>
    <t>Валентиновна</t>
  </si>
  <si>
    <t>Даниилович</t>
  </si>
  <si>
    <t xml:space="preserve"> Вячеславовна</t>
  </si>
  <si>
    <t>Игоревич</t>
  </si>
  <si>
    <t>Леонидовна</t>
  </si>
  <si>
    <t>Ильясович</t>
  </si>
  <si>
    <t>Вячеславовна</t>
  </si>
  <si>
    <t xml:space="preserve"> Глебович</t>
  </si>
  <si>
    <t>Захаровна</t>
  </si>
  <si>
    <t xml:space="preserve"> Устинович</t>
  </si>
  <si>
    <t xml:space="preserve"> Феликсовна</t>
  </si>
  <si>
    <t xml:space="preserve"> Изотович</t>
  </si>
  <si>
    <t xml:space="preserve"> Анатольевна</t>
  </si>
  <si>
    <t xml:space="preserve"> Макаровна</t>
  </si>
  <si>
    <t>Олеговна</t>
  </si>
  <si>
    <t xml:space="preserve"> Никифоровна</t>
  </si>
  <si>
    <t xml:space="preserve"> Робертовна</t>
  </si>
  <si>
    <t>Феодосьевич</t>
  </si>
  <si>
    <t>Артурович</t>
  </si>
  <si>
    <t xml:space="preserve"> Феликсович</t>
  </si>
  <si>
    <t xml:space="preserve"> Харитонович</t>
  </si>
  <si>
    <t>Валериевна</t>
  </si>
  <si>
    <t xml:space="preserve"> Афанасьевич</t>
  </si>
  <si>
    <t xml:space="preserve"> Васильевич</t>
  </si>
  <si>
    <t>Юльевна</t>
  </si>
  <si>
    <t xml:space="preserve"> Богдановна</t>
  </si>
  <si>
    <t xml:space="preserve"> Константиновна</t>
  </si>
  <si>
    <t>Львовна</t>
  </si>
  <si>
    <t>Павловна</t>
  </si>
  <si>
    <t>Юрьевна</t>
  </si>
  <si>
    <t xml:space="preserve"> Ефимьевич</t>
  </si>
  <si>
    <t>Денисович</t>
  </si>
  <si>
    <t>Августович</t>
  </si>
  <si>
    <t>Тарасовна</t>
  </si>
  <si>
    <t xml:space="preserve"> Адрианович</t>
  </si>
  <si>
    <t>Бориславович</t>
  </si>
  <si>
    <t>Рубеновна</t>
  </si>
  <si>
    <t>Рудольфовна</t>
  </si>
  <si>
    <t>Ермилович</t>
  </si>
  <si>
    <t xml:space="preserve"> Кузьминична</t>
  </si>
  <si>
    <t>Ерофеевич</t>
  </si>
  <si>
    <t>Болеславовна</t>
  </si>
  <si>
    <t>Семеновна</t>
  </si>
  <si>
    <t>Григорьевна</t>
  </si>
  <si>
    <t xml:space="preserve"> Харлампович</t>
  </si>
  <si>
    <t>Владиславовна</t>
  </si>
  <si>
    <t xml:space="preserve"> Гурьевич</t>
  </si>
  <si>
    <t>Венедиктович</t>
  </si>
  <si>
    <t>Якубович</t>
  </si>
  <si>
    <t>Антипович</t>
  </si>
  <si>
    <t xml:space="preserve"> Романовна</t>
  </si>
  <si>
    <t xml:space="preserve"> Аверьянович</t>
  </si>
  <si>
    <t xml:space="preserve"> Арсенович</t>
  </si>
  <si>
    <t xml:space="preserve"> Андреевна</t>
  </si>
  <si>
    <t xml:space="preserve"> Болеславовна</t>
  </si>
  <si>
    <t xml:space="preserve"> Вадимовна</t>
  </si>
  <si>
    <t xml:space="preserve"> Игнатьевич</t>
  </si>
  <si>
    <t>Власович</t>
  </si>
  <si>
    <t>Ждановна</t>
  </si>
  <si>
    <t xml:space="preserve"> Зиновьевич</t>
  </si>
  <si>
    <t xml:space="preserve"> Павловна</t>
  </si>
  <si>
    <t xml:space="preserve"> Валерианович</t>
  </si>
  <si>
    <t xml:space="preserve"> Тихонович</t>
  </si>
  <si>
    <t xml:space="preserve"> Анатольевич</t>
  </si>
  <si>
    <t xml:space="preserve"> Ждановна</t>
  </si>
  <si>
    <t xml:space="preserve"> Яковлевич</t>
  </si>
  <si>
    <t xml:space="preserve"> Августович</t>
  </si>
  <si>
    <t>Гордеевич</t>
  </si>
  <si>
    <t>Феофанович</t>
  </si>
  <si>
    <t>Станиславовна</t>
  </si>
  <si>
    <t>Макаровна</t>
  </si>
  <si>
    <t xml:space="preserve"> Адамович</t>
  </si>
  <si>
    <t xml:space="preserve"> Алина</t>
  </si>
  <si>
    <t xml:space="preserve"> Марина</t>
  </si>
  <si>
    <t xml:space="preserve"> Филиппович</t>
  </si>
  <si>
    <t xml:space="preserve"> Давидович</t>
  </si>
  <si>
    <t>Зиновьевич</t>
  </si>
  <si>
    <t>Вилорович</t>
  </si>
  <si>
    <t>Ефимьевич</t>
  </si>
  <si>
    <t>Петровна</t>
  </si>
  <si>
    <t>Трофимович</t>
  </si>
  <si>
    <t>Ивановна</t>
  </si>
  <si>
    <t>Аверьянович</t>
  </si>
  <si>
    <t>Яковлевна</t>
  </si>
  <si>
    <t xml:space="preserve"> Феодосьевич</t>
  </si>
  <si>
    <t xml:space="preserve"> Венедиктович</t>
  </si>
  <si>
    <t xml:space="preserve"> Виленович</t>
  </si>
  <si>
    <t>Георгиевна</t>
  </si>
  <si>
    <t xml:space="preserve"> Гавриилович</t>
  </si>
  <si>
    <t xml:space="preserve"> Феоктистович</t>
  </si>
  <si>
    <t>Авдеевич</t>
  </si>
  <si>
    <t xml:space="preserve"> Натановна</t>
  </si>
  <si>
    <t>Федоровна</t>
  </si>
  <si>
    <t xml:space="preserve"> Львовна</t>
  </si>
  <si>
    <t xml:space="preserve"> Аскольдовна</t>
  </si>
  <si>
    <t>Натановна</t>
  </si>
  <si>
    <t>Ефремович</t>
  </si>
  <si>
    <t>Викторовна</t>
  </si>
  <si>
    <t xml:space="preserve"> Федотович</t>
  </si>
  <si>
    <t xml:space="preserve"> Даниилович</t>
  </si>
  <si>
    <t xml:space="preserve"> Антоновна</t>
  </si>
  <si>
    <t>Глебович</t>
  </si>
  <si>
    <t>Богдановна</t>
  </si>
  <si>
    <t>Адамович</t>
  </si>
  <si>
    <t xml:space="preserve"> Егорович</t>
  </si>
  <si>
    <t xml:space="preserve"> Тимурович</t>
  </si>
  <si>
    <t xml:space="preserve"> Герасимович</t>
  </si>
  <si>
    <t xml:space="preserve"> Андреевич</t>
  </si>
  <si>
    <t xml:space="preserve"> Димитриевич</t>
  </si>
  <si>
    <t>Тимурович</t>
  </si>
  <si>
    <t>Захарьевич</t>
  </si>
  <si>
    <t>Михайловна</t>
  </si>
  <si>
    <t xml:space="preserve"> Богданович</t>
  </si>
  <si>
    <t>Гурьевич</t>
  </si>
  <si>
    <t>Теймуразович</t>
  </si>
  <si>
    <t xml:space="preserve"> Денисович</t>
  </si>
  <si>
    <t>Аркадьевна</t>
  </si>
  <si>
    <t>Дмитриевна</t>
  </si>
  <si>
    <t xml:space="preserve"> Юльевич</t>
  </si>
  <si>
    <t>Данилович</t>
  </si>
  <si>
    <t>Геннадьевна</t>
  </si>
  <si>
    <t xml:space="preserve"> Владленович</t>
  </si>
  <si>
    <t xml:space="preserve"> Чеславович</t>
  </si>
  <si>
    <t xml:space="preserve"> Ильясович</t>
  </si>
  <si>
    <t>Архипович</t>
  </si>
  <si>
    <t xml:space="preserve"> Артурович</t>
  </si>
  <si>
    <t>Ефимовна</t>
  </si>
  <si>
    <t>Матвеевна</t>
  </si>
  <si>
    <t xml:space="preserve"> Ефимович</t>
  </si>
  <si>
    <t xml:space="preserve"> Аркадьевна</t>
  </si>
  <si>
    <t>Вадимовна</t>
  </si>
  <si>
    <t>Антонович</t>
  </si>
  <si>
    <t xml:space="preserve"> Ааронович</t>
  </si>
  <si>
    <t>Леоновна</t>
  </si>
  <si>
    <t xml:space="preserve"> Демьянович</t>
  </si>
  <si>
    <t>Елизарович</t>
  </si>
  <si>
    <t>Даниловна</t>
  </si>
  <si>
    <t xml:space="preserve"> Авдеевич</t>
  </si>
  <si>
    <t>Витальевич</t>
  </si>
  <si>
    <t>Робертовна</t>
  </si>
  <si>
    <t xml:space="preserve"> Фадеевич</t>
  </si>
  <si>
    <t xml:space="preserve"> Филимонович</t>
  </si>
  <si>
    <t>Гавриилович</t>
  </si>
  <si>
    <t>Иванна</t>
  </si>
  <si>
    <t xml:space="preserve">Анна </t>
  </si>
  <si>
    <t>Клавдия</t>
  </si>
  <si>
    <t xml:space="preserve">Трифон </t>
  </si>
  <si>
    <t>Лаврентий</t>
  </si>
  <si>
    <t>Автоном</t>
  </si>
  <si>
    <t>Федосий</t>
  </si>
  <si>
    <t>Жанна</t>
  </si>
  <si>
    <t>Синклитикия</t>
  </si>
  <si>
    <t>1 пробел</t>
  </si>
  <si>
    <t>Столбец2</t>
  </si>
  <si>
    <t>Россия показывает наибольшую платежжеспособность</t>
  </si>
  <si>
    <t>Белорус - наименьшую</t>
  </si>
  <si>
    <t>Количество по полю Программа лояльности клиента</t>
  </si>
  <si>
    <t>Проанализирован период с января 2023 по май 2024. Наблюдается общее снижение продаж в октябре 2023. По магазинам продаж: в Ашане видим рост продаж после июля 2023. В Дикси - провал воктябре 2023. В Пятерочке - максимум в августе 2023, а спады заметны в мае и декабре 2023</t>
  </si>
  <si>
    <t>Лидируют макароны и конфты, отстает колбаса</t>
  </si>
  <si>
    <t xml:space="preserve">                               Максимальная цена макарон в ПастаЗара</t>
  </si>
  <si>
    <t>Максимальная цена макарон в ПастаЗара</t>
  </si>
  <si>
    <t>Лидирует Паста Зара, отстает Вим БильДан</t>
  </si>
  <si>
    <t>В чеке в среднем 3 штуки в каждой категории</t>
  </si>
  <si>
    <t>В Пятерочке - наибольший дисконт - 10%, в Ленте наценка 13%</t>
  </si>
  <si>
    <t>Большинство клиентов из России, меньшинство из Беларси</t>
  </si>
  <si>
    <t>среднее - 1.5 гола (450 - 550 дней)</t>
  </si>
  <si>
    <t>Август</t>
  </si>
  <si>
    <t xml:space="preserve"> Аверкий</t>
  </si>
  <si>
    <t xml:space="preserve"> Аверьян</t>
  </si>
  <si>
    <t xml:space="preserve"> Агафья</t>
  </si>
  <si>
    <t xml:space="preserve"> Адриан</t>
  </si>
  <si>
    <t xml:space="preserve"> Акулина</t>
  </si>
  <si>
    <t xml:space="preserve"> Алевтина</t>
  </si>
  <si>
    <t xml:space="preserve"> Александра</t>
  </si>
  <si>
    <t xml:space="preserve"> Алла</t>
  </si>
  <si>
    <t xml:space="preserve"> Амвросий</t>
  </si>
  <si>
    <t xml:space="preserve"> Амос</t>
  </si>
  <si>
    <t xml:space="preserve"> Анастасия</t>
  </si>
  <si>
    <t xml:space="preserve"> Ангелина</t>
  </si>
  <si>
    <t xml:space="preserve"> Андроник</t>
  </si>
  <si>
    <t xml:space="preserve"> Анжела</t>
  </si>
  <si>
    <t xml:space="preserve"> Анжелика</t>
  </si>
  <si>
    <t xml:space="preserve"> Аникей</t>
  </si>
  <si>
    <t xml:space="preserve"> Анисим</t>
  </si>
  <si>
    <t xml:space="preserve"> Анна</t>
  </si>
  <si>
    <t xml:space="preserve"> Антип</t>
  </si>
  <si>
    <t xml:space="preserve"> Антонина</t>
  </si>
  <si>
    <t xml:space="preserve"> Аполлинарий</t>
  </si>
  <si>
    <t xml:space="preserve"> Арефий</t>
  </si>
  <si>
    <t xml:space="preserve"> Аристарх</t>
  </si>
  <si>
    <t xml:space="preserve"> Богдан</t>
  </si>
  <si>
    <t xml:space="preserve"> Борис</t>
  </si>
  <si>
    <t xml:space="preserve"> Борислав</t>
  </si>
  <si>
    <t xml:space="preserve"> Боян</t>
  </si>
  <si>
    <t xml:space="preserve"> Вадим</t>
  </si>
  <si>
    <t xml:space="preserve"> Валентина</t>
  </si>
  <si>
    <t xml:space="preserve"> Валерьян</t>
  </si>
  <si>
    <t xml:space="preserve"> Василиса</t>
  </si>
  <si>
    <t xml:space="preserve"> Вера</t>
  </si>
  <si>
    <t xml:space="preserve"> Викентий</t>
  </si>
  <si>
    <t xml:space="preserve"> Влас</t>
  </si>
  <si>
    <t xml:space="preserve"> Всеслав</t>
  </si>
  <si>
    <t xml:space="preserve"> Геннадий</t>
  </si>
  <si>
    <t xml:space="preserve"> Глеб</t>
  </si>
  <si>
    <t xml:space="preserve"> Гостомысл</t>
  </si>
  <si>
    <t xml:space="preserve"> Дарья</t>
  </si>
  <si>
    <t xml:space="preserve"> Демид</t>
  </si>
  <si>
    <t xml:space="preserve"> Евгения</t>
  </si>
  <si>
    <t xml:space="preserve"> Евграф</t>
  </si>
  <si>
    <t xml:space="preserve"> Евдокия</t>
  </si>
  <si>
    <t xml:space="preserve"> Евпраксия</t>
  </si>
  <si>
    <t xml:space="preserve"> Евсей</t>
  </si>
  <si>
    <t xml:space="preserve"> Евстафий</t>
  </si>
  <si>
    <t xml:space="preserve"> Евфросиния</t>
  </si>
  <si>
    <t xml:space="preserve"> Екатерина</t>
  </si>
  <si>
    <t xml:space="preserve"> Елена</t>
  </si>
  <si>
    <t xml:space="preserve"> Елизавета</t>
  </si>
  <si>
    <t xml:space="preserve"> Епифан</t>
  </si>
  <si>
    <t xml:space="preserve"> Еремей</t>
  </si>
  <si>
    <t xml:space="preserve"> Ефрем</t>
  </si>
  <si>
    <t xml:space="preserve"> Жанна</t>
  </si>
  <si>
    <t xml:space="preserve"> Захар</t>
  </si>
  <si>
    <t xml:space="preserve"> Зинаида</t>
  </si>
  <si>
    <t xml:space="preserve"> Зосима</t>
  </si>
  <si>
    <t xml:space="preserve"> Зоя</t>
  </si>
  <si>
    <t xml:space="preserve"> Иванна</t>
  </si>
  <si>
    <t xml:space="preserve"> Игорь</t>
  </si>
  <si>
    <t xml:space="preserve"> Измаил</t>
  </si>
  <si>
    <t xml:space="preserve"> Ипполит</t>
  </si>
  <si>
    <t xml:space="preserve"> Ираида</t>
  </si>
  <si>
    <t xml:space="preserve"> Ирина</t>
  </si>
  <si>
    <t xml:space="preserve"> Ия</t>
  </si>
  <si>
    <t xml:space="preserve"> Карл</t>
  </si>
  <si>
    <t xml:space="preserve"> Касьян</t>
  </si>
  <si>
    <t xml:space="preserve"> Кира</t>
  </si>
  <si>
    <t xml:space="preserve"> Клавдия</t>
  </si>
  <si>
    <t xml:space="preserve"> Климент</t>
  </si>
  <si>
    <t xml:space="preserve"> Ксения</t>
  </si>
  <si>
    <t xml:space="preserve"> Лев</t>
  </si>
  <si>
    <t xml:space="preserve"> Леон</t>
  </si>
  <si>
    <t xml:space="preserve"> Лидия</t>
  </si>
  <si>
    <t xml:space="preserve"> Лора</t>
  </si>
  <si>
    <t xml:space="preserve"> Лука</t>
  </si>
  <si>
    <t xml:space="preserve"> Любомир</t>
  </si>
  <si>
    <t xml:space="preserve"> Людмила</t>
  </si>
  <si>
    <t xml:space="preserve"> Майя</t>
  </si>
  <si>
    <t xml:space="preserve"> Маргарита</t>
  </si>
  <si>
    <t xml:space="preserve"> Мартьян</t>
  </si>
  <si>
    <t xml:space="preserve"> Марфа</t>
  </si>
  <si>
    <t xml:space="preserve"> Матвей</t>
  </si>
  <si>
    <t xml:space="preserve"> Милан</t>
  </si>
  <si>
    <t xml:space="preserve"> Милица</t>
  </si>
  <si>
    <t xml:space="preserve"> Милован</t>
  </si>
  <si>
    <t xml:space="preserve"> Мина</t>
  </si>
  <si>
    <t xml:space="preserve"> Модест</t>
  </si>
  <si>
    <t xml:space="preserve"> Наина</t>
  </si>
  <si>
    <t xml:space="preserve"> Натан</t>
  </si>
  <si>
    <t xml:space="preserve"> Никита</t>
  </si>
  <si>
    <t xml:space="preserve"> Никифор</t>
  </si>
  <si>
    <t xml:space="preserve"> Никодим</t>
  </si>
  <si>
    <t xml:space="preserve"> Нина</t>
  </si>
  <si>
    <t xml:space="preserve"> Оксана</t>
  </si>
  <si>
    <t xml:space="preserve"> Олимпий</t>
  </si>
  <si>
    <t xml:space="preserve"> Ольга</t>
  </si>
  <si>
    <t xml:space="preserve"> Орест</t>
  </si>
  <si>
    <t xml:space="preserve"> Павел</t>
  </si>
  <si>
    <t xml:space="preserve"> Панкратий</t>
  </si>
  <si>
    <t xml:space="preserve"> Пантелеймон</t>
  </si>
  <si>
    <t xml:space="preserve"> Пелагея</t>
  </si>
  <si>
    <t xml:space="preserve"> Платон</t>
  </si>
  <si>
    <t xml:space="preserve"> Полина</t>
  </si>
  <si>
    <t xml:space="preserve"> Прасковья</t>
  </si>
  <si>
    <t xml:space="preserve"> Радислав</t>
  </si>
  <si>
    <t xml:space="preserve"> Раиса</t>
  </si>
  <si>
    <t xml:space="preserve"> Ратмир</t>
  </si>
  <si>
    <t xml:space="preserve"> Родион</t>
  </si>
  <si>
    <t xml:space="preserve"> Ростислав</t>
  </si>
  <si>
    <t xml:space="preserve"> Светлана</t>
  </si>
  <si>
    <t xml:space="preserve"> Светозар</t>
  </si>
  <si>
    <t xml:space="preserve"> Севастьян</t>
  </si>
  <si>
    <t xml:space="preserve"> Серафим</t>
  </si>
  <si>
    <t xml:space="preserve"> Сила</t>
  </si>
  <si>
    <t xml:space="preserve"> Силантий</t>
  </si>
  <si>
    <t xml:space="preserve"> Симон</t>
  </si>
  <si>
    <t xml:space="preserve"> Сократ</t>
  </si>
  <si>
    <t xml:space="preserve"> Софон</t>
  </si>
  <si>
    <t xml:space="preserve"> Станислав</t>
  </si>
  <si>
    <t xml:space="preserve"> Степан</t>
  </si>
  <si>
    <t xml:space="preserve"> Таисия</t>
  </si>
  <si>
    <t xml:space="preserve"> Тамара</t>
  </si>
  <si>
    <t xml:space="preserve"> Татьяна</t>
  </si>
  <si>
    <t xml:space="preserve"> Творимир</t>
  </si>
  <si>
    <t xml:space="preserve"> Тимур</t>
  </si>
  <si>
    <t xml:space="preserve"> Ульяна</t>
  </si>
  <si>
    <t xml:space="preserve"> Феврония</t>
  </si>
  <si>
    <t xml:space="preserve"> Феофан</t>
  </si>
  <si>
    <t xml:space="preserve"> Филипп</t>
  </si>
  <si>
    <t xml:space="preserve"> Фома</t>
  </si>
  <si>
    <t xml:space="preserve"> Харлампий</t>
  </si>
  <si>
    <t xml:space="preserve"> Христофор</t>
  </si>
  <si>
    <t xml:space="preserve"> Чеслав</t>
  </si>
  <si>
    <t xml:space="preserve"> Элеонора</t>
  </si>
  <si>
    <t xml:space="preserve"> Эмилия</t>
  </si>
  <si>
    <t xml:space="preserve"> Эраст</t>
  </si>
  <si>
    <t xml:space="preserve"> Эрнест</t>
  </si>
  <si>
    <t xml:space="preserve"> Юлия</t>
  </si>
  <si>
    <t xml:space="preserve"> Януарий</t>
  </si>
  <si>
    <t xml:space="preserve"> Ярослав</t>
  </si>
  <si>
    <t>Авдей</t>
  </si>
  <si>
    <t>Агап</t>
  </si>
  <si>
    <t>Агата</t>
  </si>
  <si>
    <t>Аггей</t>
  </si>
  <si>
    <t>Алевтина</t>
  </si>
  <si>
    <t>Александр</t>
  </si>
  <si>
    <t>Александра</t>
  </si>
  <si>
    <t>Алексей</t>
  </si>
  <si>
    <t>Алина</t>
  </si>
  <si>
    <t>Алла</t>
  </si>
  <si>
    <t>Амвросий</t>
  </si>
  <si>
    <t>Амос</t>
  </si>
  <si>
    <t>Анастасия</t>
  </si>
  <si>
    <t>Андрон</t>
  </si>
  <si>
    <t>Анжела</t>
  </si>
  <si>
    <t>Анжелика</t>
  </si>
  <si>
    <t>Анна</t>
  </si>
  <si>
    <t>Антонина</t>
  </si>
  <si>
    <t>Арсений</t>
  </si>
  <si>
    <t>Бажен</t>
  </si>
  <si>
    <t>Боян</t>
  </si>
  <si>
    <t>Вадим</t>
  </si>
  <si>
    <t>Валентина</t>
  </si>
  <si>
    <t>Валерия</t>
  </si>
  <si>
    <t>Валерьян</t>
  </si>
  <si>
    <t>Василиса</t>
  </si>
  <si>
    <t>Велимир</t>
  </si>
  <si>
    <t>Вера</t>
  </si>
  <si>
    <t>Вероника</t>
  </si>
  <si>
    <t>Виктор</t>
  </si>
  <si>
    <t>Виктория</t>
  </si>
  <si>
    <t>Владилен</t>
  </si>
  <si>
    <t>Галактион</t>
  </si>
  <si>
    <t>Галина</t>
  </si>
  <si>
    <t>Герман</t>
  </si>
  <si>
    <t>Глафира</t>
  </si>
  <si>
    <t>Гордей</t>
  </si>
  <si>
    <t>Гостомысл</t>
  </si>
  <si>
    <t>Давыд</t>
  </si>
  <si>
    <t>Дарья</t>
  </si>
  <si>
    <t>Дементий</t>
  </si>
  <si>
    <t>Демид</t>
  </si>
  <si>
    <t>Дмитрий</t>
  </si>
  <si>
    <t>Евгения</t>
  </si>
  <si>
    <t>Евдокия</t>
  </si>
  <si>
    <t>Евпраксия</t>
  </si>
  <si>
    <t>Евфросиния</t>
  </si>
  <si>
    <t>Екатерина</t>
  </si>
  <si>
    <t>Елена</t>
  </si>
  <si>
    <t>Елизавета</t>
  </si>
  <si>
    <t>Елизар</t>
  </si>
  <si>
    <t>Елисей</t>
  </si>
  <si>
    <t>Еремей</t>
  </si>
  <si>
    <t>Захар</t>
  </si>
  <si>
    <t>Зоя</t>
  </si>
  <si>
    <t>Измаил</t>
  </si>
  <si>
    <t>Ипат</t>
  </si>
  <si>
    <t>Ипатий</t>
  </si>
  <si>
    <t>Ираида</t>
  </si>
  <si>
    <t>Ираклий</t>
  </si>
  <si>
    <t>Ирина</t>
  </si>
  <si>
    <t>Ия</t>
  </si>
  <si>
    <t>Капитон</t>
  </si>
  <si>
    <t>Карп</t>
  </si>
  <si>
    <t>Кир</t>
  </si>
  <si>
    <t>Кира</t>
  </si>
  <si>
    <t>Константин</t>
  </si>
  <si>
    <t>Корнил</t>
  </si>
  <si>
    <t>Ксения</t>
  </si>
  <si>
    <t>Лавр</t>
  </si>
  <si>
    <t>Ладимир</t>
  </si>
  <si>
    <t>Лариса</t>
  </si>
  <si>
    <t>Леон</t>
  </si>
  <si>
    <t>Леонид</t>
  </si>
  <si>
    <t>Лидия</t>
  </si>
  <si>
    <t>Лонгин</t>
  </si>
  <si>
    <t>Лора</t>
  </si>
  <si>
    <t>Лука</t>
  </si>
  <si>
    <t>Любим</t>
  </si>
  <si>
    <t>Любовь</t>
  </si>
  <si>
    <t>Любомир</t>
  </si>
  <si>
    <t>Любосмысл</t>
  </si>
  <si>
    <t>Людмила</t>
  </si>
  <si>
    <t>Майя</t>
  </si>
  <si>
    <t>Максим</t>
  </si>
  <si>
    <t>Маргарита</t>
  </si>
  <si>
    <t>Мария</t>
  </si>
  <si>
    <t>Марк</t>
  </si>
  <si>
    <t>Мартын</t>
  </si>
  <si>
    <t>Марфа</t>
  </si>
  <si>
    <t>Матвей</t>
  </si>
  <si>
    <t>Мефодий</t>
  </si>
  <si>
    <t>Мирон</t>
  </si>
  <si>
    <t>Михей</t>
  </si>
  <si>
    <t>Назар</t>
  </si>
  <si>
    <t>Наталья</t>
  </si>
  <si>
    <t>Никанор</t>
  </si>
  <si>
    <t>Никита</t>
  </si>
  <si>
    <t>Никодим</t>
  </si>
  <si>
    <t>Николай</t>
  </si>
  <si>
    <t>Нинель</t>
  </si>
  <si>
    <t>Октябрина</t>
  </si>
  <si>
    <t>Олимпиада</t>
  </si>
  <si>
    <t>Ольга</t>
  </si>
  <si>
    <t>Панфил</t>
  </si>
  <si>
    <t>Пахом</t>
  </si>
  <si>
    <t>Пелагея</t>
  </si>
  <si>
    <t>Полина</t>
  </si>
  <si>
    <t>Потап</t>
  </si>
  <si>
    <t>Прасковья</t>
  </si>
  <si>
    <t>Прокл</t>
  </si>
  <si>
    <t>Радислав</t>
  </si>
  <si>
    <t>Раиса</t>
  </si>
  <si>
    <t>Ратибор</t>
  </si>
  <si>
    <t>Регина</t>
  </si>
  <si>
    <t>Родион</t>
  </si>
  <si>
    <t>Рубен</t>
  </si>
  <si>
    <t>Савватий</t>
  </si>
  <si>
    <t>Самуил</t>
  </si>
  <si>
    <t>Светлана</t>
  </si>
  <si>
    <t>Сидор</t>
  </si>
  <si>
    <t>Сила</t>
  </si>
  <si>
    <t>Сократ</t>
  </si>
  <si>
    <t>Спиридон</t>
  </si>
  <si>
    <t>Станислав</t>
  </si>
  <si>
    <t>Таисия</t>
  </si>
  <si>
    <t>Татьяна</t>
  </si>
  <si>
    <t>Творимир</t>
  </si>
  <si>
    <t>Фадей</t>
  </si>
  <si>
    <t>Фаина</t>
  </si>
  <si>
    <t>Феврония</t>
  </si>
  <si>
    <t>Фёкла</t>
  </si>
  <si>
    <t>Феликс</t>
  </si>
  <si>
    <t>Феофан</t>
  </si>
  <si>
    <t>Филимон</t>
  </si>
  <si>
    <t>Флорентин</t>
  </si>
  <si>
    <t>Фрол</t>
  </si>
  <si>
    <t>Харлампий</t>
  </si>
  <si>
    <t>Христофор</t>
  </si>
  <si>
    <t>Чеслав</t>
  </si>
  <si>
    <t>Эдуард</t>
  </si>
  <si>
    <t>Элеонора</t>
  </si>
  <si>
    <t>Эмилия</t>
  </si>
  <si>
    <t>Эммануил</t>
  </si>
  <si>
    <t>Юлия</t>
  </si>
  <si>
    <t>Юрий</t>
  </si>
  <si>
    <t>Якуб</t>
  </si>
  <si>
    <t>(пусто)</t>
  </si>
  <si>
    <t>Количество по полю Имя</t>
  </si>
  <si>
    <t>70% имен использутся п 5 раз</t>
  </si>
  <si>
    <t>Средий лайфтайм - около 3-х лет</t>
  </si>
  <si>
    <t>70% имен использутся по 5 раз</t>
  </si>
  <si>
    <t>Россия показывает наибольшую платежжеспособность, Белорусь - наименьшую</t>
  </si>
  <si>
    <t>Исследование выполнил: Александр Глебвский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</si>
</sst>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yyyy\-mm\-dd"/>
    <numFmt numFmtId="165" formatCode="0.0"/>
    <numFmt numFmtId="166" formatCode="#,##0.00&quot;р.&quot;"/>
    <numFmt numFmtId="167" formatCode="#,##0&quot;р.&quot;"/>
    <numFmt numFmtId="168" formatCode="_-* #,##0_-;\-* #,##0_-;_-* &quot;-&quot;??_-;_-@_-"/>
    <numFmt numFmtId="169" formatCode="_-* #,##0.0_-;\-* #,##0.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118"/>
      <name val="Nunito Sans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0" fontId="4" fillId="0" borderId="2" xfId="1" applyFont="1" applyBorder="1"/>
    <xf numFmtId="0" fontId="4" fillId="0" borderId="0" xfId="1" applyFont="1"/>
    <xf numFmtId="0" fontId="1" fillId="0" borderId="3" xfId="1" applyBorder="1"/>
    <xf numFmtId="0" fontId="1" fillId="0" borderId="4" xfId="1" applyBorder="1"/>
    <xf numFmtId="0" fontId="1" fillId="0" borderId="0" xfId="1" applyAlignment="1">
      <alignment horizontal="center" vertical="center"/>
    </xf>
    <xf numFmtId="0" fontId="4" fillId="0" borderId="5" xfId="1" applyFont="1" applyBorder="1"/>
    <xf numFmtId="0" fontId="1" fillId="0" borderId="6" xfId="1" applyBorder="1"/>
    <xf numFmtId="0" fontId="1" fillId="0" borderId="7" xfId="1" applyBorder="1"/>
    <xf numFmtId="0" fontId="4" fillId="0" borderId="8" xfId="1" applyFont="1" applyBorder="1"/>
    <xf numFmtId="0" fontId="1" fillId="0" borderId="5" xfId="1" applyBorder="1"/>
    <xf numFmtId="0" fontId="4" fillId="0" borderId="7" xfId="1" applyFont="1" applyBorder="1"/>
    <xf numFmtId="0" fontId="4" fillId="0" borderId="6" xfId="1" applyFont="1" applyBorder="1"/>
    <xf numFmtId="0" fontId="4" fillId="0" borderId="10" xfId="1" applyFont="1" applyBorder="1"/>
    <xf numFmtId="0" fontId="1" fillId="0" borderId="11" xfId="1" applyBorder="1"/>
    <xf numFmtId="0" fontId="1" fillId="0" borderId="12" xfId="1" applyBorder="1"/>
    <xf numFmtId="0" fontId="5" fillId="0" borderId="9" xfId="1" applyFont="1" applyBorder="1"/>
    <xf numFmtId="0" fontId="6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3" xfId="0" applyFont="1" applyBorder="1" applyAlignment="1">
      <alignment horizontal="center" vertical="top"/>
    </xf>
    <xf numFmtId="9" fontId="0" fillId="0" borderId="0" xfId="2" applyFont="1"/>
    <xf numFmtId="9" fontId="0" fillId="0" borderId="0" xfId="0" applyNumberFormat="1"/>
    <xf numFmtId="14" fontId="0" fillId="0" borderId="0" xfId="0" applyNumberFormat="1"/>
    <xf numFmtId="0" fontId="2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4" borderId="15" xfId="0" applyFill="1" applyBorder="1"/>
    <xf numFmtId="0" fontId="0" fillId="3" borderId="14" xfId="0" applyFill="1" applyBorder="1"/>
    <xf numFmtId="0" fontId="0" fillId="3" borderId="16" xfId="0" applyFill="1" applyBorder="1"/>
    <xf numFmtId="164" fontId="0" fillId="3" borderId="16" xfId="0" applyNumberFormat="1" applyFill="1" applyBorder="1"/>
    <xf numFmtId="165" fontId="0" fillId="3" borderId="16" xfId="0" applyNumberFormat="1" applyFill="1" applyBorder="1"/>
    <xf numFmtId="9" fontId="0" fillId="3" borderId="16" xfId="2" applyFont="1" applyFill="1" applyBorder="1"/>
    <xf numFmtId="0" fontId="0" fillId="4" borderId="17" xfId="0" applyFill="1" applyBorder="1"/>
    <xf numFmtId="164" fontId="0" fillId="4" borderId="15" xfId="0" applyNumberFormat="1" applyFill="1" applyBorder="1"/>
    <xf numFmtId="165" fontId="0" fillId="4" borderId="15" xfId="0" applyNumberFormat="1" applyFill="1" applyBorder="1"/>
    <xf numFmtId="9" fontId="0" fillId="4" borderId="15" xfId="2" applyFont="1" applyFill="1" applyBorder="1"/>
    <xf numFmtId="0" fontId="0" fillId="3" borderId="17" xfId="0" applyFill="1" applyBorder="1"/>
    <xf numFmtId="0" fontId="0" fillId="3" borderId="15" xfId="0" applyFill="1" applyBorder="1"/>
    <xf numFmtId="164" fontId="0" fillId="3" borderId="15" xfId="0" applyNumberFormat="1" applyFill="1" applyBorder="1"/>
    <xf numFmtId="165" fontId="0" fillId="3" borderId="15" xfId="0" applyNumberFormat="1" applyFill="1" applyBorder="1"/>
    <xf numFmtId="9" fontId="0" fillId="3" borderId="15" xfId="2" applyFont="1" applyFill="1" applyBorder="1"/>
    <xf numFmtId="0" fontId="9" fillId="2" borderId="6" xfId="0" applyFont="1" applyFill="1" applyBorder="1" applyAlignment="1">
      <alignment horizontal="center" vertical="top"/>
    </xf>
    <xf numFmtId="0" fontId="9" fillId="2" borderId="18" xfId="0" applyFont="1" applyFill="1" applyBorder="1" applyAlignment="1">
      <alignment horizontal="center" vertical="top"/>
    </xf>
    <xf numFmtId="9" fontId="9" fillId="2" borderId="0" xfId="2" applyFont="1" applyFill="1" applyAlignment="1">
      <alignment horizontal="center" vertical="top"/>
    </xf>
    <xf numFmtId="168" fontId="0" fillId="0" borderId="0" xfId="3" applyNumberFormat="1" applyFont="1"/>
    <xf numFmtId="169" fontId="0" fillId="0" borderId="0" xfId="0" applyNumberFormat="1"/>
    <xf numFmtId="1" fontId="0" fillId="0" borderId="0" xfId="0" applyNumberFormat="1"/>
    <xf numFmtId="0" fontId="2" fillId="0" borderId="13" xfId="0" applyFont="1" applyBorder="1" applyAlignment="1">
      <alignment horizontal="center" vertical="top"/>
    </xf>
    <xf numFmtId="168" fontId="0" fillId="3" borderId="16" xfId="3" applyNumberFormat="1" applyFont="1" applyFill="1" applyBorder="1"/>
    <xf numFmtId="0" fontId="9" fillId="2" borderId="0" xfId="0" applyFont="1" applyFill="1" applyAlignment="1">
      <alignment horizontal="center" vertical="top"/>
    </xf>
    <xf numFmtId="1" fontId="0" fillId="4" borderId="15" xfId="0" applyNumberFormat="1" applyFill="1" applyBorder="1"/>
    <xf numFmtId="1" fontId="0" fillId="3" borderId="15" xfId="0" applyNumberFormat="1" applyFill="1" applyBorder="1"/>
    <xf numFmtId="14" fontId="0" fillId="4" borderId="15" xfId="0" applyNumberFormat="1" applyFill="1" applyBorder="1"/>
    <xf numFmtId="14" fontId="0" fillId="3" borderId="15" xfId="0" applyNumberFormat="1" applyFill="1" applyBorder="1"/>
    <xf numFmtId="0" fontId="0" fillId="3" borderId="19" xfId="0" applyFill="1" applyBorder="1"/>
    <xf numFmtId="0" fontId="0" fillId="4" borderId="19" xfId="0" applyFill="1" applyBorder="1"/>
    <xf numFmtId="0" fontId="0" fillId="4" borderId="21" xfId="0" applyFill="1" applyBorder="1"/>
    <xf numFmtId="0" fontId="0" fillId="4" borderId="20" xfId="0" applyFill="1" applyBorder="1"/>
    <xf numFmtId="0" fontId="10" fillId="0" borderId="0" xfId="0" applyFont="1"/>
    <xf numFmtId="14" fontId="10" fillId="0" borderId="0" xfId="0" applyNumberFormat="1" applyFont="1"/>
    <xf numFmtId="0" fontId="1" fillId="0" borderId="0" xfId="1" applyAlignment="1">
      <alignment horizontal="center"/>
    </xf>
  </cellXfs>
  <cellStyles count="4">
    <cellStyle name="Обычный" xfId="0" builtinId="0"/>
    <cellStyle name="Обычный 2" xfId="1" xr:uid="{D158504E-E19E-2F44-9F33-CFD7D832B8EE}"/>
    <cellStyle name="Процентный" xfId="2" builtinId="5"/>
    <cellStyle name="Финансовый" xfId="3" builtinId="3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9" formatCode="dd/mm/yyyy"/>
    </dxf>
    <dxf>
      <numFmt numFmtId="1" formatCode="0"/>
    </dxf>
    <dxf>
      <numFmt numFmtId="19" formatCode="dd/mm/yyyy"/>
    </dxf>
    <dxf>
      <numFmt numFmtId="0" formatCode="General"/>
    </dxf>
    <dxf>
      <numFmt numFmtId="19" formatCode="dd/mm/yyyy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</dxf>
    <dxf>
      <numFmt numFmtId="169" formatCode="_-* #,##0.0_-;\-* #,##0.0_-;_-* &quot;-&quot;??_-;_-@_-"/>
    </dxf>
    <dxf>
      <numFmt numFmtId="168" formatCode="_-* #,##0_-;\-* #,##0_-;_-* &quot;-&quot;??_-;_-@_-"/>
    </dxf>
    <dxf>
      <numFmt numFmtId="19" formatCode="dd/mm/yyyy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" formatCode="0"/>
    </dxf>
    <dxf>
      <numFmt numFmtId="170" formatCode="0.000000"/>
    </dxf>
    <dxf>
      <numFmt numFmtId="19" formatCode="dd/mm/yyyy"/>
    </dxf>
    <dxf>
      <numFmt numFmtId="167" formatCode="#,##0&quot;р.&quot;"/>
    </dxf>
    <dxf>
      <numFmt numFmtId="166" formatCode="#,##0.00&quot;р.&quot;"/>
    </dxf>
    <dxf>
      <numFmt numFmtId="168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xlss_result.xlsx]Динамика продаж!Сводная таблица1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 Динамика</a:t>
            </a:r>
          </a:p>
          <a:p>
            <a:pPr>
              <a:defRPr/>
            </a:pPr>
            <a:r>
              <a:rPr lang="en-US"/>
              <a:t> </a:t>
            </a:r>
            <a:r>
              <a:rPr lang="ru-RU"/>
              <a:t>продаж</a:t>
            </a:r>
          </a:p>
        </c:rich>
      </c:tx>
      <c:layout>
        <c:manualLayout>
          <c:xMode val="edge"/>
          <c:yMode val="edge"/>
          <c:x val="0.42004778128048176"/>
          <c:y val="8.8564348450857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продаж'!$B$3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'Динамика продаж'!$A$4:$A$21</c:f>
              <c:multiLvlStrCache>
                <c:ptCount val="15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дек</c:v>
                  </c:pt>
                  <c:pt idx="11">
                    <c:v>янв</c:v>
                  </c:pt>
                  <c:pt idx="12">
                    <c:v>фев</c:v>
                  </c:pt>
                  <c:pt idx="13">
                    <c:v>мар</c:v>
                  </c:pt>
                  <c:pt idx="14">
                    <c:v>апр</c:v>
                  </c:pt>
                </c:lvl>
                <c:lvl>
                  <c:pt idx="0">
                    <c:v>2023</c:v>
                  </c:pt>
                  <c:pt idx="11">
                    <c:v>2024</c:v>
                  </c:pt>
                </c:lvl>
              </c:multiLvlStrCache>
            </c:multiLvlStrRef>
          </c:cat>
          <c:val>
            <c:numRef>
              <c:f>'Динамика продаж'!$B$4:$B$21</c:f>
              <c:numCache>
                <c:formatCode>_-* #,##0_-;\-* #,##0_-;_-* "-"??_-;_-@_-</c:formatCode>
                <c:ptCount val="15"/>
                <c:pt idx="0">
                  <c:v>963</c:v>
                </c:pt>
                <c:pt idx="1">
                  <c:v>1185</c:v>
                </c:pt>
                <c:pt idx="2">
                  <c:v>2444</c:v>
                </c:pt>
                <c:pt idx="3">
                  <c:v>448</c:v>
                </c:pt>
                <c:pt idx="4">
                  <c:v>460</c:v>
                </c:pt>
                <c:pt idx="5">
                  <c:v>2898</c:v>
                </c:pt>
                <c:pt idx="6">
                  <c:v>2715</c:v>
                </c:pt>
                <c:pt idx="7">
                  <c:v>3967</c:v>
                </c:pt>
                <c:pt idx="8">
                  <c:v>2378</c:v>
                </c:pt>
                <c:pt idx="9">
                  <c:v>1397</c:v>
                </c:pt>
                <c:pt idx="10">
                  <c:v>648</c:v>
                </c:pt>
                <c:pt idx="11">
                  <c:v>3648</c:v>
                </c:pt>
                <c:pt idx="12">
                  <c:v>1056</c:v>
                </c:pt>
                <c:pt idx="13">
                  <c:v>762</c:v>
                </c:pt>
                <c:pt idx="14">
                  <c:v>2693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9-4168-BD51-9640A787E4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17939880"/>
        <c:axId val="617939520"/>
      </c:lineChart>
      <c:catAx>
        <c:axId val="617939880"/>
        <c:scaling>
          <c:orientation val="minMax"/>
        </c:scaling>
        <c:delete val="0"/>
        <c:axPos val="b"/>
        <c:majorGridlines>
          <c:spPr>
            <a:ln w="254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939520"/>
        <c:crosses val="autoZero"/>
        <c:auto val="1"/>
        <c:lblAlgn val="ctr"/>
        <c:lblOffset val="100"/>
        <c:noMultiLvlLbl val="0"/>
      </c:catAx>
      <c:valAx>
        <c:axId val="61793952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93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xlss_result.xlsx]GMV Продажи по магазинам!Сводная таблица3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 GMV Проджи</a:t>
            </a:r>
            <a:r>
              <a:rPr lang="ru-RU" baseline="0"/>
              <a:t> по магазинам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'GMV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'GMV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'GMV Продажи по магазинам'!$B$4:$B$24</c:f>
              <c:numCache>
                <c:formatCode>#,##0"р."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2-4C43-8A66-9C4D63F1C7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2915920"/>
        <c:axId val="652917720"/>
      </c:barChart>
      <c:catAx>
        <c:axId val="6529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917720"/>
        <c:crosses val="autoZero"/>
        <c:auto val="1"/>
        <c:lblAlgn val="ctr"/>
        <c:lblOffset val="100"/>
        <c:noMultiLvlLbl val="0"/>
      </c:catAx>
      <c:valAx>
        <c:axId val="652917720"/>
        <c:scaling>
          <c:orientation val="minMax"/>
        </c:scaling>
        <c:delete val="0"/>
        <c:axPos val="l"/>
        <c:numFmt formatCode="#,##0&quot;р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91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xlss_result.xlsx]Средн. стоим в кат по поставщ. !Сводная таблица1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4 Средн. стоимость в катеории по поставщику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'Средн. стоим в кат по поставщ. 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'Средн. стоим в кат по поставщ. '!$A$4:$A$82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'Средн. стоим в кат по поставщ. '!$B$4:$B$82</c:f>
              <c:numCache>
                <c:formatCode>0</c:formatCode>
                <c:ptCount val="78"/>
                <c:pt idx="0">
                  <c:v>2929</c:v>
                </c:pt>
                <c:pt idx="1">
                  <c:v>1846</c:v>
                </c:pt>
                <c:pt idx="2">
                  <c:v>6412</c:v>
                </c:pt>
                <c:pt idx="3">
                  <c:v>504</c:v>
                </c:pt>
                <c:pt idx="4">
                  <c:v>5248</c:v>
                </c:pt>
                <c:pt idx="5">
                  <c:v>2244</c:v>
                </c:pt>
                <c:pt idx="6">
                  <c:v>4943</c:v>
                </c:pt>
                <c:pt idx="7">
                  <c:v>2569</c:v>
                </c:pt>
                <c:pt idx="8">
                  <c:v>3935</c:v>
                </c:pt>
                <c:pt idx="9">
                  <c:v>5885</c:v>
                </c:pt>
                <c:pt idx="10">
                  <c:v>1089</c:v>
                </c:pt>
                <c:pt idx="11">
                  <c:v>420</c:v>
                </c:pt>
                <c:pt idx="12">
                  <c:v>2225</c:v>
                </c:pt>
                <c:pt idx="13">
                  <c:v>3112</c:v>
                </c:pt>
                <c:pt idx="14">
                  <c:v>1511</c:v>
                </c:pt>
                <c:pt idx="15">
                  <c:v>1762</c:v>
                </c:pt>
                <c:pt idx="16">
                  <c:v>2433</c:v>
                </c:pt>
                <c:pt idx="17">
                  <c:v>6757</c:v>
                </c:pt>
                <c:pt idx="18">
                  <c:v>2609</c:v>
                </c:pt>
                <c:pt idx="19">
                  <c:v>3548</c:v>
                </c:pt>
                <c:pt idx="20">
                  <c:v>3493</c:v>
                </c:pt>
                <c:pt idx="21">
                  <c:v>4585</c:v>
                </c:pt>
                <c:pt idx="22">
                  <c:v>6852</c:v>
                </c:pt>
                <c:pt idx="23">
                  <c:v>387</c:v>
                </c:pt>
                <c:pt idx="24">
                  <c:v>2229</c:v>
                </c:pt>
                <c:pt idx="25">
                  <c:v>1848</c:v>
                </c:pt>
                <c:pt idx="26">
                  <c:v>2671</c:v>
                </c:pt>
                <c:pt idx="27">
                  <c:v>4946</c:v>
                </c:pt>
                <c:pt idx="28">
                  <c:v>2814</c:v>
                </c:pt>
                <c:pt idx="29">
                  <c:v>796</c:v>
                </c:pt>
                <c:pt idx="30">
                  <c:v>4287</c:v>
                </c:pt>
                <c:pt idx="31">
                  <c:v>3974</c:v>
                </c:pt>
                <c:pt idx="32">
                  <c:v>2802</c:v>
                </c:pt>
                <c:pt idx="33">
                  <c:v>4200</c:v>
                </c:pt>
                <c:pt idx="34">
                  <c:v>2189</c:v>
                </c:pt>
                <c:pt idx="35">
                  <c:v>3622</c:v>
                </c:pt>
                <c:pt idx="36">
                  <c:v>4431</c:v>
                </c:pt>
                <c:pt idx="37">
                  <c:v>82</c:v>
                </c:pt>
                <c:pt idx="38">
                  <c:v>3799</c:v>
                </c:pt>
                <c:pt idx="39">
                  <c:v>2559.9499999999998</c:v>
                </c:pt>
                <c:pt idx="40">
                  <c:v>1703.375</c:v>
                </c:pt>
                <c:pt idx="41">
                  <c:v>5165</c:v>
                </c:pt>
                <c:pt idx="42">
                  <c:v>3283</c:v>
                </c:pt>
                <c:pt idx="43">
                  <c:v>10237</c:v>
                </c:pt>
                <c:pt idx="44">
                  <c:v>3538</c:v>
                </c:pt>
                <c:pt idx="45">
                  <c:v>5172</c:v>
                </c:pt>
                <c:pt idx="46">
                  <c:v>3507</c:v>
                </c:pt>
                <c:pt idx="47">
                  <c:v>2120</c:v>
                </c:pt>
                <c:pt idx="48">
                  <c:v>5929</c:v>
                </c:pt>
                <c:pt idx="49">
                  <c:v>6053</c:v>
                </c:pt>
                <c:pt idx="50">
                  <c:v>2902</c:v>
                </c:pt>
                <c:pt idx="51">
                  <c:v>4988</c:v>
                </c:pt>
                <c:pt idx="52">
                  <c:v>3166</c:v>
                </c:pt>
                <c:pt idx="53">
                  <c:v>878</c:v>
                </c:pt>
                <c:pt idx="54">
                  <c:v>3405</c:v>
                </c:pt>
                <c:pt idx="55">
                  <c:v>2796</c:v>
                </c:pt>
                <c:pt idx="56">
                  <c:v>2737</c:v>
                </c:pt>
                <c:pt idx="57">
                  <c:v>2164</c:v>
                </c:pt>
                <c:pt idx="58">
                  <c:v>2080</c:v>
                </c:pt>
                <c:pt idx="59">
                  <c:v>1608</c:v>
                </c:pt>
                <c:pt idx="60">
                  <c:v>2843</c:v>
                </c:pt>
                <c:pt idx="61">
                  <c:v>3604</c:v>
                </c:pt>
                <c:pt idx="62">
                  <c:v>4630</c:v>
                </c:pt>
                <c:pt idx="63">
                  <c:v>8943</c:v>
                </c:pt>
                <c:pt idx="64">
                  <c:v>1127</c:v>
                </c:pt>
                <c:pt idx="65">
                  <c:v>3023</c:v>
                </c:pt>
                <c:pt idx="66">
                  <c:v>3358</c:v>
                </c:pt>
                <c:pt idx="67">
                  <c:v>9023</c:v>
                </c:pt>
                <c:pt idx="68">
                  <c:v>2526</c:v>
                </c:pt>
                <c:pt idx="69">
                  <c:v>4226</c:v>
                </c:pt>
                <c:pt idx="70">
                  <c:v>1281</c:v>
                </c:pt>
                <c:pt idx="71">
                  <c:v>2222</c:v>
                </c:pt>
                <c:pt idx="72">
                  <c:v>2871</c:v>
                </c:pt>
                <c:pt idx="73">
                  <c:v>4059</c:v>
                </c:pt>
                <c:pt idx="74">
                  <c:v>4171</c:v>
                </c:pt>
                <c:pt idx="75">
                  <c:v>4970</c:v>
                </c:pt>
                <c:pt idx="76">
                  <c:v>2092</c:v>
                </c:pt>
                <c:pt idx="77">
                  <c:v>2773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E-40BB-86FD-067AED415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127048"/>
        <c:axId val="1089375632"/>
      </c:barChart>
      <c:catAx>
        <c:axId val="64312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75632"/>
        <c:crosses val="autoZero"/>
        <c:auto val="1"/>
        <c:lblAlgn val="ctr"/>
        <c:lblOffset val="100"/>
        <c:noMultiLvlLbl val="0"/>
      </c:catAx>
      <c:valAx>
        <c:axId val="10893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Ср. стоимость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12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xlss_result.xlsx]Суммарные продажи по поставщика!Сводная таблица4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5 Суммарные продажи по поставщикам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поставщика'!$B$3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поставщика'!$A$4:$A$82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Продимекс</c:v>
                </c:pt>
                <c:pt idx="14">
                  <c:v>Снежана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Сладов</c:v>
                </c:pt>
                <c:pt idx="25">
                  <c:v>Экстра</c:v>
                </c:pt>
                <c:pt idx="26">
                  <c:v>President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'Суммарные продажи по поставщика'!$B$4:$B$82</c:f>
              <c:numCache>
                <c:formatCode>_-* #,##0_-;\-* #,##0_-;_-* "-"??_-;_-@_-</c:formatCode>
                <c:ptCount val="78"/>
                <c:pt idx="0">
                  <c:v>29430</c:v>
                </c:pt>
                <c:pt idx="1">
                  <c:v>24872</c:v>
                </c:pt>
                <c:pt idx="2">
                  <c:v>24200</c:v>
                </c:pt>
                <c:pt idx="3">
                  <c:v>21191</c:v>
                </c:pt>
                <c:pt idx="4">
                  <c:v>20462</c:v>
                </c:pt>
                <c:pt idx="5">
                  <c:v>20345</c:v>
                </c:pt>
                <c:pt idx="6">
                  <c:v>18739</c:v>
                </c:pt>
                <c:pt idx="7">
                  <c:v>18368</c:v>
                </c:pt>
                <c:pt idx="8">
                  <c:v>17471</c:v>
                </c:pt>
                <c:pt idx="9">
                  <c:v>16874</c:v>
                </c:pt>
                <c:pt idx="10">
                  <c:v>15751</c:v>
                </c:pt>
                <c:pt idx="11">
                  <c:v>15581</c:v>
                </c:pt>
                <c:pt idx="12">
                  <c:v>15507</c:v>
                </c:pt>
                <c:pt idx="13">
                  <c:v>14516</c:v>
                </c:pt>
                <c:pt idx="14">
                  <c:v>14457</c:v>
                </c:pt>
                <c:pt idx="15">
                  <c:v>13987</c:v>
                </c:pt>
                <c:pt idx="16">
                  <c:v>13772</c:v>
                </c:pt>
                <c:pt idx="17">
                  <c:v>13106</c:v>
                </c:pt>
                <c:pt idx="18">
                  <c:v>13056</c:v>
                </c:pt>
                <c:pt idx="19">
                  <c:v>12899</c:v>
                </c:pt>
                <c:pt idx="20">
                  <c:v>12851</c:v>
                </c:pt>
                <c:pt idx="21">
                  <c:v>12813</c:v>
                </c:pt>
                <c:pt idx="22">
                  <c:v>12712</c:v>
                </c:pt>
                <c:pt idx="23">
                  <c:v>12474</c:v>
                </c:pt>
                <c:pt idx="24">
                  <c:v>12078</c:v>
                </c:pt>
                <c:pt idx="25">
                  <c:v>11937</c:v>
                </c:pt>
                <c:pt idx="26">
                  <c:v>11845</c:v>
                </c:pt>
                <c:pt idx="27">
                  <c:v>11630</c:v>
                </c:pt>
                <c:pt idx="28">
                  <c:v>11100</c:v>
                </c:pt>
                <c:pt idx="29">
                  <c:v>10813</c:v>
                </c:pt>
                <c:pt idx="30">
                  <c:v>10714</c:v>
                </c:pt>
                <c:pt idx="31">
                  <c:v>10620</c:v>
                </c:pt>
                <c:pt idx="32">
                  <c:v>10451</c:v>
                </c:pt>
                <c:pt idx="33">
                  <c:v>10223</c:v>
                </c:pt>
                <c:pt idx="34">
                  <c:v>10168</c:v>
                </c:pt>
                <c:pt idx="35">
                  <c:v>9900</c:v>
                </c:pt>
                <c:pt idx="36">
                  <c:v>9699</c:v>
                </c:pt>
                <c:pt idx="37">
                  <c:v>9294</c:v>
                </c:pt>
                <c:pt idx="38">
                  <c:v>9286</c:v>
                </c:pt>
                <c:pt idx="39">
                  <c:v>9123</c:v>
                </c:pt>
                <c:pt idx="40">
                  <c:v>8954</c:v>
                </c:pt>
                <c:pt idx="41">
                  <c:v>8905</c:v>
                </c:pt>
                <c:pt idx="42">
                  <c:v>8861</c:v>
                </c:pt>
                <c:pt idx="43">
                  <c:v>8841</c:v>
                </c:pt>
                <c:pt idx="44">
                  <c:v>8649</c:v>
                </c:pt>
                <c:pt idx="45">
                  <c:v>8568</c:v>
                </c:pt>
                <c:pt idx="46">
                  <c:v>8543</c:v>
                </c:pt>
                <c:pt idx="47">
                  <c:v>8502</c:v>
                </c:pt>
                <c:pt idx="48">
                  <c:v>8237</c:v>
                </c:pt>
                <c:pt idx="49">
                  <c:v>8230</c:v>
                </c:pt>
                <c:pt idx="50">
                  <c:v>8047</c:v>
                </c:pt>
                <c:pt idx="51">
                  <c:v>7964</c:v>
                </c:pt>
                <c:pt idx="52">
                  <c:v>7420</c:v>
                </c:pt>
                <c:pt idx="53">
                  <c:v>7239</c:v>
                </c:pt>
                <c:pt idx="54">
                  <c:v>7224</c:v>
                </c:pt>
                <c:pt idx="55">
                  <c:v>6781</c:v>
                </c:pt>
                <c:pt idx="56">
                  <c:v>6367</c:v>
                </c:pt>
                <c:pt idx="57">
                  <c:v>6364</c:v>
                </c:pt>
                <c:pt idx="58">
                  <c:v>6329</c:v>
                </c:pt>
                <c:pt idx="59">
                  <c:v>6186</c:v>
                </c:pt>
                <c:pt idx="60">
                  <c:v>6162</c:v>
                </c:pt>
                <c:pt idx="61">
                  <c:v>6133</c:v>
                </c:pt>
                <c:pt idx="62">
                  <c:v>5915</c:v>
                </c:pt>
                <c:pt idx="63">
                  <c:v>5903</c:v>
                </c:pt>
                <c:pt idx="64">
                  <c:v>5896</c:v>
                </c:pt>
                <c:pt idx="65">
                  <c:v>5878</c:v>
                </c:pt>
                <c:pt idx="66">
                  <c:v>5299</c:v>
                </c:pt>
                <c:pt idx="67">
                  <c:v>5099</c:v>
                </c:pt>
                <c:pt idx="68">
                  <c:v>4813</c:v>
                </c:pt>
                <c:pt idx="69">
                  <c:v>3892</c:v>
                </c:pt>
                <c:pt idx="70">
                  <c:v>3625</c:v>
                </c:pt>
                <c:pt idx="71">
                  <c:v>3104</c:v>
                </c:pt>
                <c:pt idx="72">
                  <c:v>2748</c:v>
                </c:pt>
                <c:pt idx="73">
                  <c:v>1546</c:v>
                </c:pt>
                <c:pt idx="74">
                  <c:v>1529</c:v>
                </c:pt>
                <c:pt idx="75">
                  <c:v>1201</c:v>
                </c:pt>
                <c:pt idx="76">
                  <c:v>1082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9-4174-BE9F-927EA970D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89373112"/>
        <c:axId val="1089373472"/>
      </c:barChart>
      <c:catAx>
        <c:axId val="108937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73472"/>
        <c:crosses val="autoZero"/>
        <c:auto val="1"/>
        <c:lblAlgn val="ctr"/>
        <c:lblOffset val="100"/>
        <c:noMultiLvlLbl val="0"/>
      </c:catAx>
      <c:valAx>
        <c:axId val="1089373472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73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xlss_result.xlsx]продажи по категориям!Сводная таблица2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6 Сумма продаж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'продажи по категориям'!$A$4:$A$24</c:f>
              <c:strCache>
                <c:ptCount val="20"/>
                <c:pt idx="0">
                  <c:v>Макароны</c:v>
                </c:pt>
                <c:pt idx="1">
                  <c:v>Конфеты</c:v>
                </c:pt>
                <c:pt idx="2">
                  <c:v>Мясо</c:v>
                </c:pt>
                <c:pt idx="3">
                  <c:v>Сок</c:v>
                </c:pt>
                <c:pt idx="4">
                  <c:v>Чипсы</c:v>
                </c:pt>
                <c:pt idx="5">
                  <c:v>Сахар</c:v>
                </c:pt>
                <c:pt idx="6">
                  <c:v>Соль</c:v>
                </c:pt>
                <c:pt idx="7">
                  <c:v>Сыр</c:v>
                </c:pt>
                <c:pt idx="8">
                  <c:v>Чай</c:v>
                </c:pt>
                <c:pt idx="9">
                  <c:v>Хлеб</c:v>
                </c:pt>
                <c:pt idx="10">
                  <c:v>Молоко</c:v>
                </c:pt>
                <c:pt idx="11">
                  <c:v>Йогурт</c:v>
                </c:pt>
                <c:pt idx="12">
                  <c:v>Печенье</c:v>
                </c:pt>
                <c:pt idx="13">
                  <c:v>Фрукты</c:v>
                </c:pt>
                <c:pt idx="14">
                  <c:v>Рыба</c:v>
                </c:pt>
                <c:pt idx="15">
                  <c:v>Овощи</c:v>
                </c:pt>
                <c:pt idx="16">
                  <c:v>Кофе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'продажи по категориям'!$B$4:$B$24</c:f>
              <c:numCache>
                <c:formatCode>_-* #,##0.0_-;\-* #,##0.0_-;_-* "-"??_-;_-@_-</c:formatCode>
                <c:ptCount val="20"/>
                <c:pt idx="0">
                  <c:v>66945</c:v>
                </c:pt>
                <c:pt idx="1">
                  <c:v>48797</c:v>
                </c:pt>
                <c:pt idx="2">
                  <c:v>47223</c:v>
                </c:pt>
                <c:pt idx="3">
                  <c:v>45862</c:v>
                </c:pt>
                <c:pt idx="4">
                  <c:v>44539</c:v>
                </c:pt>
                <c:pt idx="5">
                  <c:v>44513</c:v>
                </c:pt>
                <c:pt idx="6">
                  <c:v>44468</c:v>
                </c:pt>
                <c:pt idx="7">
                  <c:v>43903</c:v>
                </c:pt>
                <c:pt idx="8">
                  <c:v>43626</c:v>
                </c:pt>
                <c:pt idx="9">
                  <c:v>42352</c:v>
                </c:pt>
                <c:pt idx="10">
                  <c:v>42165</c:v>
                </c:pt>
                <c:pt idx="11">
                  <c:v>41745</c:v>
                </c:pt>
                <c:pt idx="12">
                  <c:v>39632</c:v>
                </c:pt>
                <c:pt idx="13">
                  <c:v>33802</c:v>
                </c:pt>
                <c:pt idx="14">
                  <c:v>32430</c:v>
                </c:pt>
                <c:pt idx="15">
                  <c:v>31147</c:v>
                </c:pt>
                <c:pt idx="16">
                  <c:v>30543</c:v>
                </c:pt>
                <c:pt idx="17">
                  <c:v>28053</c:v>
                </c:pt>
                <c:pt idx="18">
                  <c:v>27375</c:v>
                </c:pt>
                <c:pt idx="19">
                  <c:v>21313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B-405E-B7F1-391F39B37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757816"/>
        <c:axId val="655761056"/>
      </c:barChart>
      <c:catAx>
        <c:axId val="65575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761056"/>
        <c:crosses val="autoZero"/>
        <c:auto val="1"/>
        <c:lblAlgn val="ctr"/>
        <c:lblOffset val="100"/>
        <c:noMultiLvlLbl val="0"/>
      </c:catAx>
      <c:valAx>
        <c:axId val="655761056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757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xlss_result.xlsx]Выгода клиента!Сводная таблица2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 Средний дисконт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клиента'!$A$4:$A$23</c:f>
              <c:strCache>
                <c:ptCount val="20"/>
                <c:pt idx="0">
                  <c:v>Лента</c:v>
                </c:pt>
                <c:pt idx="1">
                  <c:v>Городской Супермаркет</c:v>
                </c:pt>
                <c:pt idx="2">
                  <c:v>Метро</c:v>
                </c:pt>
                <c:pt idx="3">
                  <c:v>Билла</c:v>
                </c:pt>
                <c:pt idx="4">
                  <c:v>Азбука Вкуса</c:v>
                </c:pt>
                <c:pt idx="5">
                  <c:v>Седьмой Континент</c:v>
                </c:pt>
                <c:pt idx="6">
                  <c:v>Ароматный Мир</c:v>
                </c:pt>
                <c:pt idx="7">
                  <c:v>Мосмарт</c:v>
                </c:pt>
                <c:pt idx="8">
                  <c:v>Мираторг</c:v>
                </c:pt>
                <c:pt idx="9">
                  <c:v>Ашан</c:v>
                </c:pt>
                <c:pt idx="10">
                  <c:v>Бристоль</c:v>
                </c:pt>
                <c:pt idx="11">
                  <c:v>Магнит</c:v>
                </c:pt>
                <c:pt idx="12">
                  <c:v>Гиперглобус</c:v>
                </c:pt>
                <c:pt idx="13">
                  <c:v>О'кей</c:v>
                </c:pt>
                <c:pt idx="14">
                  <c:v>Дикси</c:v>
                </c:pt>
                <c:pt idx="15">
                  <c:v>Карусель</c:v>
                </c:pt>
                <c:pt idx="16">
                  <c:v>Верный</c:v>
                </c:pt>
                <c:pt idx="17">
                  <c:v>Перекресток</c:v>
                </c:pt>
                <c:pt idx="18">
                  <c:v>Пятерочка</c:v>
                </c:pt>
                <c:pt idx="19">
                  <c:v>Спар</c:v>
                </c:pt>
              </c:strCache>
            </c:strRef>
          </c:cat>
          <c:val>
            <c:numRef>
              <c:f>'Выгода клиента'!$B$4:$B$23</c:f>
              <c:numCache>
                <c:formatCode>0%</c:formatCode>
                <c:ptCount val="20"/>
                <c:pt idx="0">
                  <c:v>0.13314534519299331</c:v>
                </c:pt>
                <c:pt idx="1">
                  <c:v>6.5458688101188836E-2</c:v>
                </c:pt>
                <c:pt idx="2">
                  <c:v>4.7852648811471908E-2</c:v>
                </c:pt>
                <c:pt idx="3">
                  <c:v>4.5777190114042451E-2</c:v>
                </c:pt>
                <c:pt idx="4">
                  <c:v>4.2135560270227822E-2</c:v>
                </c:pt>
                <c:pt idx="5">
                  <c:v>3.9584187657497022E-2</c:v>
                </c:pt>
                <c:pt idx="6">
                  <c:v>2.6621364094879363E-2</c:v>
                </c:pt>
                <c:pt idx="7">
                  <c:v>1.9548994868373359E-2</c:v>
                </c:pt>
                <c:pt idx="8">
                  <c:v>4.3236684682376649E-3</c:v>
                </c:pt>
                <c:pt idx="9">
                  <c:v>-8.9704364821494888E-3</c:v>
                </c:pt>
                <c:pt idx="10">
                  <c:v>-1.1007391455613379E-2</c:v>
                </c:pt>
                <c:pt idx="11">
                  <c:v>-2.4982715594806547E-2</c:v>
                </c:pt>
                <c:pt idx="12">
                  <c:v>-2.7504514727433791E-2</c:v>
                </c:pt>
                <c:pt idx="13">
                  <c:v>-3.2146689851375775E-2</c:v>
                </c:pt>
                <c:pt idx="14">
                  <c:v>-3.5471436613604371E-2</c:v>
                </c:pt>
                <c:pt idx="15">
                  <c:v>-3.7146382938237202E-2</c:v>
                </c:pt>
                <c:pt idx="16">
                  <c:v>-3.9557255731827064E-2</c:v>
                </c:pt>
                <c:pt idx="17">
                  <c:v>-4.0185016505333057E-2</c:v>
                </c:pt>
                <c:pt idx="18">
                  <c:v>-6.3422653134508081E-2</c:v>
                </c:pt>
                <c:pt idx="19">
                  <c:v>-6.6618318619657391E-2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5-4FAB-AA2D-9C7E87D3F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021376"/>
        <c:axId val="659019576"/>
      </c:barChart>
      <c:catAx>
        <c:axId val="6590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019576"/>
        <c:crosses val="autoZero"/>
        <c:auto val="1"/>
        <c:lblAlgn val="ctr"/>
        <c:lblOffset val="100"/>
        <c:noMultiLvlLbl val="0"/>
      </c:catAx>
      <c:valAx>
        <c:axId val="65901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021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xlss_result.xlsx]Средн_кол-во_штук_в_чеке_по_кат!Сводная таблица1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7 Среднее кол-во штук в чеке</a:t>
            </a:r>
            <a:r>
              <a:rPr lang="en-US"/>
              <a:t> </a:t>
            </a:r>
            <a:r>
              <a:rPr lang="ru-RU"/>
              <a:t>по</a:t>
            </a:r>
            <a:r>
              <a:rPr lang="en-US"/>
              <a:t> </a:t>
            </a:r>
            <a:r>
              <a:rPr lang="ru-RU"/>
              <a:t>категориям</a:t>
            </a:r>
          </a:p>
        </c:rich>
      </c:tx>
      <c:layout>
        <c:manualLayout>
          <c:xMode val="edge"/>
          <c:yMode val="edge"/>
          <c:x val="0.3166087914089603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'Средн_кол-во_штук_в_чеке_по_кат'!$B$3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'Средн_кол-во_штук_в_чеке_по_кат'!$A$4:$A$24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'Средн_кол-во_штук_в_чеке_по_кат'!$B$4:$B$24</c:f>
              <c:numCache>
                <c:formatCode>_-* #,##0_-;\-* #,##0_-;_-* "-"??_-;_-@_-</c:formatCode>
                <c:ptCount val="20"/>
                <c:pt idx="0">
                  <c:v>2.7627118644067798</c:v>
                </c:pt>
                <c:pt idx="1">
                  <c:v>2.8846153846153846</c:v>
                </c:pt>
                <c:pt idx="2">
                  <c:v>2.9838709677419355</c:v>
                </c:pt>
                <c:pt idx="3">
                  <c:v>3.0476190476190474</c:v>
                </c:pt>
                <c:pt idx="4">
                  <c:v>2.7209302325581395</c:v>
                </c:pt>
                <c:pt idx="5">
                  <c:v>2.941860465116279</c:v>
                </c:pt>
                <c:pt idx="6">
                  <c:v>3.2380952380952381</c:v>
                </c:pt>
                <c:pt idx="7">
                  <c:v>3.1272727272727274</c:v>
                </c:pt>
                <c:pt idx="8">
                  <c:v>3.1463414634146343</c:v>
                </c:pt>
                <c:pt idx="9">
                  <c:v>3.0638297872340425</c:v>
                </c:pt>
                <c:pt idx="10">
                  <c:v>3.1875</c:v>
                </c:pt>
                <c:pt idx="11">
                  <c:v>3.1282051282051282</c:v>
                </c:pt>
                <c:pt idx="12">
                  <c:v>3.1</c:v>
                </c:pt>
                <c:pt idx="13">
                  <c:v>2.9827586206896552</c:v>
                </c:pt>
                <c:pt idx="14">
                  <c:v>3.0754716981132075</c:v>
                </c:pt>
                <c:pt idx="15">
                  <c:v>2.6129032258064515</c:v>
                </c:pt>
                <c:pt idx="16">
                  <c:v>2.9534883720930232</c:v>
                </c:pt>
                <c:pt idx="17">
                  <c:v>3.0909090909090908</c:v>
                </c:pt>
                <c:pt idx="18">
                  <c:v>2.9272727272727272</c:v>
                </c:pt>
                <c:pt idx="19">
                  <c:v>3.0588235294117645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2-43AD-84FA-D9F5252A7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29256"/>
        <c:axId val="100828536"/>
      </c:lineChart>
      <c:catAx>
        <c:axId val="10082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28536"/>
        <c:crosses val="autoZero"/>
        <c:auto val="1"/>
        <c:lblAlgn val="ctr"/>
        <c:lblOffset val="100"/>
        <c:noMultiLvlLbl val="0"/>
      </c:catAx>
      <c:valAx>
        <c:axId val="10082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29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xlss_result.xlsx]География клиентов!Сводная таблица3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8 Распределение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'География клиентов'!$A$2:$A$7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клиентов'!$B$2:$B$7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A-4248-AD8A-A53B49E46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143000"/>
        <c:axId val="340141200"/>
      </c:barChart>
      <c:catAx>
        <c:axId val="34014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141200"/>
        <c:crosses val="autoZero"/>
        <c:auto val="1"/>
        <c:lblAlgn val="ctr"/>
        <c:lblOffset val="100"/>
        <c:noMultiLvlLbl val="0"/>
      </c:catAx>
      <c:valAx>
        <c:axId val="3401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143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xlss_result.xlsx]Имена!Сводная таблица1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11 Частотность имен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Имена!$B$3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Имена!$A$4:$A$308</c:f>
              <c:strCache>
                <c:ptCount val="305"/>
                <c:pt idx="0">
                  <c:v>(пусто)</c:v>
                </c:pt>
                <c:pt idx="1">
                  <c:v>Август</c:v>
                </c:pt>
                <c:pt idx="2">
                  <c:v>Алексей</c:v>
                </c:pt>
                <c:pt idx="3">
                  <c:v> Аверьян</c:v>
                </c:pt>
                <c:pt idx="4">
                  <c:v>Алина</c:v>
                </c:pt>
                <c:pt idx="5">
                  <c:v> Алевтина</c:v>
                </c:pt>
                <c:pt idx="6">
                  <c:v>Амос</c:v>
                </c:pt>
                <c:pt idx="7">
                  <c:v> Амвросий</c:v>
                </c:pt>
                <c:pt idx="8">
                  <c:v>Андрон</c:v>
                </c:pt>
                <c:pt idx="9">
                  <c:v> Ангелина</c:v>
                </c:pt>
                <c:pt idx="10">
                  <c:v>Анжелика</c:v>
                </c:pt>
                <c:pt idx="11">
                  <c:v> Анжелика</c:v>
                </c:pt>
                <c:pt idx="12">
                  <c:v>Анна</c:v>
                </c:pt>
                <c:pt idx="13">
                  <c:v> Анисим</c:v>
                </c:pt>
                <c:pt idx="14">
                  <c:v>Анна </c:v>
                </c:pt>
                <c:pt idx="15">
                  <c:v> Антонина</c:v>
                </c:pt>
                <c:pt idx="16">
                  <c:v>Антонина</c:v>
                </c:pt>
                <c:pt idx="17">
                  <c:v> Арефий</c:v>
                </c:pt>
                <c:pt idx="18">
                  <c:v>Артемьева</c:v>
                </c:pt>
                <c:pt idx="19">
                  <c:v> Богдан</c:v>
                </c:pt>
                <c:pt idx="20">
                  <c:v>Афанасьев</c:v>
                </c:pt>
                <c:pt idx="21">
                  <c:v> Борислав</c:v>
                </c:pt>
                <c:pt idx="22">
                  <c:v>Бажен</c:v>
                </c:pt>
                <c:pt idx="23">
                  <c:v> Вадим</c:v>
                </c:pt>
                <c:pt idx="24">
                  <c:v>Боян</c:v>
                </c:pt>
                <c:pt idx="25">
                  <c:v> Викентий</c:v>
                </c:pt>
                <c:pt idx="26">
                  <c:v>Вадим</c:v>
                </c:pt>
                <c:pt idx="27">
                  <c:v> Геннадий</c:v>
                </c:pt>
                <c:pt idx="28">
                  <c:v>Валерьян</c:v>
                </c:pt>
                <c:pt idx="29">
                  <c:v> Гостомысл</c:v>
                </c:pt>
                <c:pt idx="30">
                  <c:v>Василиса</c:v>
                </c:pt>
                <c:pt idx="31">
                  <c:v> Демид</c:v>
                </c:pt>
                <c:pt idx="32">
                  <c:v>Велимир</c:v>
                </c:pt>
                <c:pt idx="33">
                  <c:v> Евдокия</c:v>
                </c:pt>
                <c:pt idx="34">
                  <c:v>Вера</c:v>
                </c:pt>
                <c:pt idx="35">
                  <c:v> Евстафий</c:v>
                </c:pt>
                <c:pt idx="36">
                  <c:v>Владилен</c:v>
                </c:pt>
                <c:pt idx="37">
                  <c:v> Екатерина</c:v>
                </c:pt>
                <c:pt idx="38">
                  <c:v>Галактион</c:v>
                </c:pt>
                <c:pt idx="39">
                  <c:v> Елизавета</c:v>
                </c:pt>
                <c:pt idx="40">
                  <c:v>Герман</c:v>
                </c:pt>
                <c:pt idx="41">
                  <c:v> Еремей</c:v>
                </c:pt>
                <c:pt idx="42">
                  <c:v>Глафира</c:v>
                </c:pt>
                <c:pt idx="43">
                  <c:v> Ефрем</c:v>
                </c:pt>
                <c:pt idx="44">
                  <c:v>Гордей</c:v>
                </c:pt>
                <c:pt idx="45">
                  <c:v> Зинаида</c:v>
                </c:pt>
                <c:pt idx="46">
                  <c:v>Гостомысл</c:v>
                </c:pt>
                <c:pt idx="47">
                  <c:v> Зоя</c:v>
                </c:pt>
                <c:pt idx="48">
                  <c:v>Дарья</c:v>
                </c:pt>
                <c:pt idx="49">
                  <c:v> Игорь</c:v>
                </c:pt>
                <c:pt idx="50">
                  <c:v>Дементий</c:v>
                </c:pt>
                <c:pt idx="51">
                  <c:v> Ирина</c:v>
                </c:pt>
                <c:pt idx="52">
                  <c:v>Демид</c:v>
                </c:pt>
                <c:pt idx="53">
                  <c:v> Касьян</c:v>
                </c:pt>
                <c:pt idx="54">
                  <c:v>Дмитрий</c:v>
                </c:pt>
                <c:pt idx="55">
                  <c:v> Климент</c:v>
                </c:pt>
                <c:pt idx="56">
                  <c:v>Евгения</c:v>
                </c:pt>
                <c:pt idx="57">
                  <c:v> Лидия</c:v>
                </c:pt>
                <c:pt idx="58">
                  <c:v>Евпраксия</c:v>
                </c:pt>
                <c:pt idx="59">
                  <c:v> Мартьян</c:v>
                </c:pt>
                <c:pt idx="60">
                  <c:v>Екатерина</c:v>
                </c:pt>
                <c:pt idx="61">
                  <c:v> Милан</c:v>
                </c:pt>
                <c:pt idx="62">
                  <c:v>Елена</c:v>
                </c:pt>
                <c:pt idx="63">
                  <c:v> Мина</c:v>
                </c:pt>
                <c:pt idx="64">
                  <c:v>Елисей</c:v>
                </c:pt>
                <c:pt idx="65">
                  <c:v> Натан</c:v>
                </c:pt>
                <c:pt idx="66">
                  <c:v>Еремей</c:v>
                </c:pt>
                <c:pt idx="67">
                  <c:v> Никифор</c:v>
                </c:pt>
                <c:pt idx="68">
                  <c:v>Захар</c:v>
                </c:pt>
                <c:pt idx="69">
                  <c:v> Нина</c:v>
                </c:pt>
                <c:pt idx="70">
                  <c:v>Измаил</c:v>
                </c:pt>
                <c:pt idx="71">
                  <c:v> Ольга</c:v>
                </c:pt>
                <c:pt idx="72">
                  <c:v>Ипат</c:v>
                </c:pt>
                <c:pt idx="73">
                  <c:v> Пантелеймон</c:v>
                </c:pt>
                <c:pt idx="74">
                  <c:v>Ипатий</c:v>
                </c:pt>
                <c:pt idx="75">
                  <c:v> Платон</c:v>
                </c:pt>
                <c:pt idx="76">
                  <c:v>Ираклий</c:v>
                </c:pt>
                <c:pt idx="77">
                  <c:v> Радислав</c:v>
                </c:pt>
                <c:pt idx="78">
                  <c:v>Карп</c:v>
                </c:pt>
                <c:pt idx="79">
                  <c:v> Ростислав</c:v>
                </c:pt>
                <c:pt idx="80">
                  <c:v>Кир</c:v>
                </c:pt>
                <c:pt idx="81">
                  <c:v> Серафим</c:v>
                </c:pt>
                <c:pt idx="82">
                  <c:v>Кира</c:v>
                </c:pt>
                <c:pt idx="83">
                  <c:v> Силантий</c:v>
                </c:pt>
                <c:pt idx="84">
                  <c:v>Конон</c:v>
                </c:pt>
                <c:pt idx="85">
                  <c:v> Станислав</c:v>
                </c:pt>
                <c:pt idx="86">
                  <c:v>Константин</c:v>
                </c:pt>
                <c:pt idx="87">
                  <c:v> Тамара</c:v>
                </c:pt>
                <c:pt idx="88">
                  <c:v>Корнил</c:v>
                </c:pt>
                <c:pt idx="89">
                  <c:v> Тимур</c:v>
                </c:pt>
                <c:pt idx="90">
                  <c:v>Ксения</c:v>
                </c:pt>
                <c:pt idx="91">
                  <c:v> Филипп</c:v>
                </c:pt>
                <c:pt idx="92">
                  <c:v>Лавр</c:v>
                </c:pt>
                <c:pt idx="93">
                  <c:v> Христофор</c:v>
                </c:pt>
                <c:pt idx="94">
                  <c:v>Лаврентий</c:v>
                </c:pt>
                <c:pt idx="95">
                  <c:v> Эмилия</c:v>
                </c:pt>
                <c:pt idx="96">
                  <c:v>Ладимир</c:v>
                </c:pt>
                <c:pt idx="97">
                  <c:v> Эрнест</c:v>
                </c:pt>
                <c:pt idx="98">
                  <c:v>Леон</c:v>
                </c:pt>
                <c:pt idx="99">
                  <c:v> Януарий</c:v>
                </c:pt>
                <c:pt idx="100">
                  <c:v>Леонид</c:v>
                </c:pt>
                <c:pt idx="101">
                  <c:v>Агап</c:v>
                </c:pt>
                <c:pt idx="102">
                  <c:v>Лидия</c:v>
                </c:pt>
                <c:pt idx="103">
                  <c:v>Александр</c:v>
                </c:pt>
                <c:pt idx="104">
                  <c:v>Лонгин</c:v>
                </c:pt>
                <c:pt idx="105">
                  <c:v> Акулина</c:v>
                </c:pt>
                <c:pt idx="106">
                  <c:v>Лука</c:v>
                </c:pt>
                <c:pt idx="107">
                  <c:v> Амос</c:v>
                </c:pt>
                <c:pt idx="108">
                  <c:v>Любим</c:v>
                </c:pt>
                <c:pt idx="109">
                  <c:v> Аникей</c:v>
                </c:pt>
                <c:pt idx="110">
                  <c:v>Любосмысл</c:v>
                </c:pt>
                <c:pt idx="111">
                  <c:v> Аполлинарий</c:v>
                </c:pt>
                <c:pt idx="112">
                  <c:v>Людмила</c:v>
                </c:pt>
                <c:pt idx="113">
                  <c:v> Борис</c:v>
                </c:pt>
                <c:pt idx="114">
                  <c:v>Майя</c:v>
                </c:pt>
                <c:pt idx="115">
                  <c:v> Валерьян</c:v>
                </c:pt>
                <c:pt idx="116">
                  <c:v>Максим</c:v>
                </c:pt>
                <c:pt idx="117">
                  <c:v> Глеб</c:v>
                </c:pt>
                <c:pt idx="118">
                  <c:v>Маргарита</c:v>
                </c:pt>
                <c:pt idx="119">
                  <c:v> Евграф</c:v>
                </c:pt>
                <c:pt idx="120">
                  <c:v>Марк</c:v>
                </c:pt>
                <c:pt idx="121">
                  <c:v> Евфросиния</c:v>
                </c:pt>
                <c:pt idx="122">
                  <c:v>Мартын</c:v>
                </c:pt>
                <c:pt idx="123">
                  <c:v> Епифан</c:v>
                </c:pt>
                <c:pt idx="124">
                  <c:v>Матвей</c:v>
                </c:pt>
                <c:pt idx="125">
                  <c:v> Захар</c:v>
                </c:pt>
                <c:pt idx="126">
                  <c:v>Мефодий</c:v>
                </c:pt>
                <c:pt idx="127">
                  <c:v> Иванна</c:v>
                </c:pt>
                <c:pt idx="128">
                  <c:v>Мирон</c:v>
                </c:pt>
                <c:pt idx="129">
                  <c:v> Карл</c:v>
                </c:pt>
                <c:pt idx="130">
                  <c:v>Михей</c:v>
                </c:pt>
                <c:pt idx="131">
                  <c:v> Леон</c:v>
                </c:pt>
                <c:pt idx="132">
                  <c:v>Назар</c:v>
                </c:pt>
                <c:pt idx="133">
                  <c:v> Матвей</c:v>
                </c:pt>
                <c:pt idx="134">
                  <c:v>Наталья</c:v>
                </c:pt>
                <c:pt idx="135">
                  <c:v> Модест</c:v>
                </c:pt>
                <c:pt idx="136">
                  <c:v>Никанор</c:v>
                </c:pt>
                <c:pt idx="137">
                  <c:v> Никодим</c:v>
                </c:pt>
                <c:pt idx="138">
                  <c:v>Октябрина</c:v>
                </c:pt>
                <c:pt idx="139">
                  <c:v> Панкратий</c:v>
                </c:pt>
                <c:pt idx="140">
                  <c:v>Олимпиада</c:v>
                </c:pt>
                <c:pt idx="141">
                  <c:v> Прасковья</c:v>
                </c:pt>
                <c:pt idx="142">
                  <c:v>Ольга</c:v>
                </c:pt>
                <c:pt idx="143">
                  <c:v> Севастьян</c:v>
                </c:pt>
                <c:pt idx="144">
                  <c:v>Панфил</c:v>
                </c:pt>
                <c:pt idx="145">
                  <c:v> Симон</c:v>
                </c:pt>
                <c:pt idx="146">
                  <c:v>Пахом</c:v>
                </c:pt>
                <c:pt idx="147">
                  <c:v> Творимир</c:v>
                </c:pt>
                <c:pt idx="148">
                  <c:v>Пелагея</c:v>
                </c:pt>
                <c:pt idx="149">
                  <c:v> Харлампий</c:v>
                </c:pt>
                <c:pt idx="150">
                  <c:v>Полина</c:v>
                </c:pt>
                <c:pt idx="151">
                  <c:v> Эраст</c:v>
                </c:pt>
                <c:pt idx="152">
                  <c:v>Потап</c:v>
                </c:pt>
                <c:pt idx="153">
                  <c:v>Авдей</c:v>
                </c:pt>
                <c:pt idx="154">
                  <c:v>Прокл</c:v>
                </c:pt>
                <c:pt idx="155">
                  <c:v>Якуб</c:v>
                </c:pt>
                <c:pt idx="156">
                  <c:v>Радислав</c:v>
                </c:pt>
                <c:pt idx="157">
                  <c:v> Андроник</c:v>
                </c:pt>
                <c:pt idx="158">
                  <c:v>Раиса</c:v>
                </c:pt>
                <c:pt idx="159">
                  <c:v> Аристарх</c:v>
                </c:pt>
                <c:pt idx="160">
                  <c:v>Родион</c:v>
                </c:pt>
                <c:pt idx="161">
                  <c:v> Всеслав</c:v>
                </c:pt>
                <c:pt idx="162">
                  <c:v>Рубен</c:v>
                </c:pt>
                <c:pt idx="163">
                  <c:v> Евсей</c:v>
                </c:pt>
                <c:pt idx="164">
                  <c:v>Савватий</c:v>
                </c:pt>
                <c:pt idx="165">
                  <c:v> Ефимовна</c:v>
                </c:pt>
                <c:pt idx="166">
                  <c:v>Самуил</c:v>
                </c:pt>
                <c:pt idx="167">
                  <c:v> Измаил</c:v>
                </c:pt>
                <c:pt idx="168">
                  <c:v>Светлана</c:v>
                </c:pt>
                <c:pt idx="169">
                  <c:v> Любомир</c:v>
                </c:pt>
                <c:pt idx="170">
                  <c:v>Сидор</c:v>
                </c:pt>
                <c:pt idx="171">
                  <c:v> Никита</c:v>
                </c:pt>
                <c:pt idx="172">
                  <c:v>Сила</c:v>
                </c:pt>
                <c:pt idx="173">
                  <c:v> Пелагея</c:v>
                </c:pt>
                <c:pt idx="174">
                  <c:v>Сократ</c:v>
                </c:pt>
                <c:pt idx="175">
                  <c:v> Сила</c:v>
                </c:pt>
                <c:pt idx="176">
                  <c:v>Станислав</c:v>
                </c:pt>
                <c:pt idx="177">
                  <c:v> Феофан</c:v>
                </c:pt>
                <c:pt idx="178">
                  <c:v>Таисия</c:v>
                </c:pt>
                <c:pt idx="179">
                  <c:v> Юлия</c:v>
                </c:pt>
                <c:pt idx="180">
                  <c:v>Творимир</c:v>
                </c:pt>
                <c:pt idx="181">
                  <c:v> Александра</c:v>
                </c:pt>
                <c:pt idx="182">
                  <c:v>Трифон </c:v>
                </c:pt>
                <c:pt idx="183">
                  <c:v> Боян</c:v>
                </c:pt>
                <c:pt idx="184">
                  <c:v>Фадей</c:v>
                </c:pt>
                <c:pt idx="185">
                  <c:v> Елена</c:v>
                </c:pt>
                <c:pt idx="186">
                  <c:v>Фаина</c:v>
                </c:pt>
                <c:pt idx="187">
                  <c:v> Клавдия</c:v>
                </c:pt>
                <c:pt idx="188">
                  <c:v>Федосий</c:v>
                </c:pt>
                <c:pt idx="189">
                  <c:v> Оксана</c:v>
                </c:pt>
                <c:pt idx="190">
                  <c:v>Феликс</c:v>
                </c:pt>
                <c:pt idx="191">
                  <c:v> Степан</c:v>
                </c:pt>
                <c:pt idx="192">
                  <c:v>Феофан</c:v>
                </c:pt>
                <c:pt idx="193">
                  <c:v> Аверкий</c:v>
                </c:pt>
                <c:pt idx="194">
                  <c:v>Флорентин</c:v>
                </c:pt>
                <c:pt idx="195">
                  <c:v> Дарья</c:v>
                </c:pt>
                <c:pt idx="196">
                  <c:v>Фрол</c:v>
                </c:pt>
                <c:pt idx="197">
                  <c:v> Милица</c:v>
                </c:pt>
                <c:pt idx="198">
                  <c:v>Харлампий</c:v>
                </c:pt>
                <c:pt idx="199">
                  <c:v> Чеслав</c:v>
                </c:pt>
                <c:pt idx="200">
                  <c:v>Христофор</c:v>
                </c:pt>
                <c:pt idx="201">
                  <c:v> Зосима</c:v>
                </c:pt>
                <c:pt idx="202">
                  <c:v>Эдуард</c:v>
                </c:pt>
                <c:pt idx="203">
                  <c:v> Анна</c:v>
                </c:pt>
                <c:pt idx="204">
                  <c:v>Элеонора</c:v>
                </c:pt>
                <c:pt idx="205">
                  <c:v> Ратмир</c:v>
                </c:pt>
                <c:pt idx="206">
                  <c:v>Юрий</c:v>
                </c:pt>
                <c:pt idx="207">
                  <c:v>Аггей</c:v>
                </c:pt>
                <c:pt idx="208">
                  <c:v>Давыд</c:v>
                </c:pt>
                <c:pt idx="209">
                  <c:v>Алла</c:v>
                </c:pt>
                <c:pt idx="210">
                  <c:v> Ульяна</c:v>
                </c:pt>
                <c:pt idx="211">
                  <c:v> Алина</c:v>
                </c:pt>
                <c:pt idx="212">
                  <c:v>Прасковья</c:v>
                </c:pt>
                <c:pt idx="213">
                  <c:v> Раиса</c:v>
                </c:pt>
                <c:pt idx="214">
                  <c:v> Наина</c:v>
                </c:pt>
                <c:pt idx="215">
                  <c:v>Анжела</c:v>
                </c:pt>
                <c:pt idx="216">
                  <c:v> Ия</c:v>
                </c:pt>
                <c:pt idx="217">
                  <c:v> Родион</c:v>
                </c:pt>
                <c:pt idx="218">
                  <c:v> Евгения</c:v>
                </c:pt>
                <c:pt idx="219">
                  <c:v>Лора</c:v>
                </c:pt>
                <c:pt idx="220">
                  <c:v>Ратибор</c:v>
                </c:pt>
                <c:pt idx="221">
                  <c:v>Арсений</c:v>
                </c:pt>
                <c:pt idx="222">
                  <c:v> Адриан</c:v>
                </c:pt>
                <c:pt idx="223">
                  <c:v> Маргарита</c:v>
                </c:pt>
                <c:pt idx="224">
                  <c:v>Евдокия</c:v>
                </c:pt>
                <c:pt idx="225">
                  <c:v> Антип</c:v>
                </c:pt>
                <c:pt idx="226">
                  <c:v> Кира</c:v>
                </c:pt>
                <c:pt idx="227">
                  <c:v>Мария</c:v>
                </c:pt>
                <c:pt idx="228">
                  <c:v>Евфросиния</c:v>
                </c:pt>
                <c:pt idx="229">
                  <c:v>Валерия</c:v>
                </c:pt>
                <c:pt idx="230">
                  <c:v> Агафья</c:v>
                </c:pt>
                <c:pt idx="231">
                  <c:v> Сократ</c:v>
                </c:pt>
                <c:pt idx="232">
                  <c:v> Евпраксия</c:v>
                </c:pt>
                <c:pt idx="233">
                  <c:v> Анжела</c:v>
                </c:pt>
                <c:pt idx="234">
                  <c:v>Елизавета</c:v>
                </c:pt>
                <c:pt idx="235">
                  <c:v>Виктория</c:v>
                </c:pt>
                <c:pt idx="236">
                  <c:v>Синклитикия</c:v>
                </c:pt>
                <c:pt idx="237">
                  <c:v>Никита</c:v>
                </c:pt>
                <c:pt idx="238">
                  <c:v>Елизар</c:v>
                </c:pt>
                <c:pt idx="239">
                  <c:v>Николай</c:v>
                </c:pt>
                <c:pt idx="240">
                  <c:v>Спиридон</c:v>
                </c:pt>
                <c:pt idx="241">
                  <c:v> Таисия</c:v>
                </c:pt>
                <c:pt idx="242">
                  <c:v> Олимпий</c:v>
                </c:pt>
                <c:pt idx="243">
                  <c:v> Милован</c:v>
                </c:pt>
                <c:pt idx="244">
                  <c:v> Ксения</c:v>
                </c:pt>
                <c:pt idx="245">
                  <c:v> Ираида</c:v>
                </c:pt>
                <c:pt idx="246">
                  <c:v>Татьяна</c:v>
                </c:pt>
                <c:pt idx="247">
                  <c:v>Амвросий</c:v>
                </c:pt>
                <c:pt idx="248">
                  <c:v>Жанна</c:v>
                </c:pt>
                <c:pt idx="249">
                  <c:v>Лариса</c:v>
                </c:pt>
                <c:pt idx="250">
                  <c:v> Орест</c:v>
                </c:pt>
                <c:pt idx="251">
                  <c:v> Майя</c:v>
                </c:pt>
                <c:pt idx="252">
                  <c:v> Ярослав</c:v>
                </c:pt>
                <c:pt idx="253">
                  <c:v> Светозар</c:v>
                </c:pt>
                <c:pt idx="254">
                  <c:v> Павел</c:v>
                </c:pt>
                <c:pt idx="255">
                  <c:v> Марфа</c:v>
                </c:pt>
                <c:pt idx="256">
                  <c:v>Феврония</c:v>
                </c:pt>
                <c:pt idx="257">
                  <c:v> Алла</c:v>
                </c:pt>
                <c:pt idx="258">
                  <c:v>Автоном</c:v>
                </c:pt>
                <c:pt idx="259">
                  <c:v>Виктор</c:v>
                </c:pt>
                <c:pt idx="260">
                  <c:v>Фёкла</c:v>
                </c:pt>
                <c:pt idx="261">
                  <c:v>Никодим</c:v>
                </c:pt>
                <c:pt idx="262">
                  <c:v>Ираида</c:v>
                </c:pt>
                <c:pt idx="263">
                  <c:v>Галина</c:v>
                </c:pt>
                <c:pt idx="264">
                  <c:v> Лев</c:v>
                </c:pt>
                <c:pt idx="265">
                  <c:v> Валентина</c:v>
                </c:pt>
                <c:pt idx="266">
                  <c:v>Филимон</c:v>
                </c:pt>
                <c:pt idx="267">
                  <c:v> Людмила</c:v>
                </c:pt>
                <c:pt idx="268">
                  <c:v>Ирина</c:v>
                </c:pt>
                <c:pt idx="269">
                  <c:v> Марина</c:v>
                </c:pt>
                <c:pt idx="270">
                  <c:v>Ия</c:v>
                </c:pt>
                <c:pt idx="271">
                  <c:v> Софон</c:v>
                </c:pt>
                <c:pt idx="272">
                  <c:v>Капитон</c:v>
                </c:pt>
                <c:pt idx="273">
                  <c:v>Нинель</c:v>
                </c:pt>
                <c:pt idx="274">
                  <c:v> Влас</c:v>
                </c:pt>
                <c:pt idx="275">
                  <c:v>Анастасия</c:v>
                </c:pt>
                <c:pt idx="276">
                  <c:v>Чеслав</c:v>
                </c:pt>
                <c:pt idx="277">
                  <c:v>Валентина</c:v>
                </c:pt>
                <c:pt idx="278">
                  <c:v> Анастасия</c:v>
                </c:pt>
                <c:pt idx="279">
                  <c:v> Татьяна</c:v>
                </c:pt>
                <c:pt idx="280">
                  <c:v> Лора</c:v>
                </c:pt>
                <c:pt idx="281">
                  <c:v> Ипполит</c:v>
                </c:pt>
                <c:pt idx="282">
                  <c:v> Полина</c:v>
                </c:pt>
                <c:pt idx="283">
                  <c:v> Светлана</c:v>
                </c:pt>
                <c:pt idx="284">
                  <c:v> Лука</c:v>
                </c:pt>
                <c:pt idx="285">
                  <c:v>Александра</c:v>
                </c:pt>
                <c:pt idx="286">
                  <c:v> Фома</c:v>
                </c:pt>
                <c:pt idx="287">
                  <c:v>Клавдия</c:v>
                </c:pt>
                <c:pt idx="288">
                  <c:v>Эммануил</c:v>
                </c:pt>
                <c:pt idx="289">
                  <c:v>Регина</c:v>
                </c:pt>
                <c:pt idx="290">
                  <c:v>Иванна</c:v>
                </c:pt>
                <c:pt idx="291">
                  <c:v> Элеонора</c:v>
                </c:pt>
                <c:pt idx="292">
                  <c:v>Зоя</c:v>
                </c:pt>
                <c:pt idx="293">
                  <c:v>Любомир</c:v>
                </c:pt>
                <c:pt idx="294">
                  <c:v>Марфа</c:v>
                </c:pt>
                <c:pt idx="295">
                  <c:v>Агата</c:v>
                </c:pt>
                <c:pt idx="296">
                  <c:v> Жанна</c:v>
                </c:pt>
                <c:pt idx="297">
                  <c:v> Вера</c:v>
                </c:pt>
                <c:pt idx="298">
                  <c:v>Вероника</c:v>
                </c:pt>
                <c:pt idx="299">
                  <c:v>Юлия</c:v>
                </c:pt>
                <c:pt idx="300">
                  <c:v>Эмилия</c:v>
                </c:pt>
                <c:pt idx="301">
                  <c:v> Феврония</c:v>
                </c:pt>
                <c:pt idx="302">
                  <c:v>Любовь</c:v>
                </c:pt>
                <c:pt idx="303">
                  <c:v> Василиса</c:v>
                </c:pt>
                <c:pt idx="304">
                  <c:v>Алевтина</c:v>
                </c:pt>
              </c:strCache>
            </c:strRef>
          </c:cat>
          <c:val>
            <c:numRef>
              <c:f>Имена!$B$4:$B$308</c:f>
              <c:numCache>
                <c:formatCode>General</c:formatCode>
                <c:ptCount val="305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6-4A91-B46D-5343F9DA2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781000"/>
        <c:axId val="878781360"/>
      </c:barChart>
      <c:catAx>
        <c:axId val="87878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781360"/>
        <c:crosses val="autoZero"/>
        <c:auto val="1"/>
        <c:lblAlgn val="ctr"/>
        <c:lblOffset val="100"/>
        <c:noMultiLvlLbl val="0"/>
      </c:catAx>
      <c:valAx>
        <c:axId val="8787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78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xlss_result.xlsx]Платежеспособность по странам!Сводная таблица3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12 Платежеспособность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'Платежеспособность по странам'!$B$3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'Платежеспособность по странам'!$A$4:$A$9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'Платежеспособность по странам'!$B$4:$B$9</c:f>
              <c:numCache>
                <c:formatCode>General</c:formatCode>
                <c:ptCount val="5"/>
                <c:pt idx="0">
                  <c:v>251330</c:v>
                </c:pt>
                <c:pt idx="1">
                  <c:v>163294</c:v>
                </c:pt>
                <c:pt idx="2">
                  <c:v>147543</c:v>
                </c:pt>
                <c:pt idx="3">
                  <c:v>139473</c:v>
                </c:pt>
                <c:pt idx="4">
                  <c:v>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F-448D-B8D3-64E76D5DE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337456"/>
        <c:axId val="1118337816"/>
      </c:barChart>
      <c:catAx>
        <c:axId val="111833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8337816"/>
        <c:crosses val="autoZero"/>
        <c:auto val="1"/>
        <c:lblAlgn val="ctr"/>
        <c:lblOffset val="100"/>
        <c:noMultiLvlLbl val="0"/>
      </c:catAx>
      <c:valAx>
        <c:axId val="111833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833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xlss_result.xlsx]Динамика продаж!Сводная таблица1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 Динамика</a:t>
            </a:r>
          </a:p>
          <a:p>
            <a:pPr>
              <a:defRPr/>
            </a:pPr>
            <a:r>
              <a:rPr lang="en-US"/>
              <a:t> </a:t>
            </a:r>
            <a:r>
              <a:rPr lang="ru-RU"/>
              <a:t>продаж</a:t>
            </a:r>
          </a:p>
        </c:rich>
      </c:tx>
      <c:layout>
        <c:manualLayout>
          <c:xMode val="edge"/>
          <c:yMode val="edge"/>
          <c:x val="0.42004778128048176"/>
          <c:y val="8.8564348450857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продаж'!$B$3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'Динамика продаж'!$A$4:$A$21</c:f>
              <c:multiLvlStrCache>
                <c:ptCount val="15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дек</c:v>
                  </c:pt>
                  <c:pt idx="11">
                    <c:v>янв</c:v>
                  </c:pt>
                  <c:pt idx="12">
                    <c:v>фев</c:v>
                  </c:pt>
                  <c:pt idx="13">
                    <c:v>мар</c:v>
                  </c:pt>
                  <c:pt idx="14">
                    <c:v>апр</c:v>
                  </c:pt>
                </c:lvl>
                <c:lvl>
                  <c:pt idx="0">
                    <c:v>2023</c:v>
                  </c:pt>
                  <c:pt idx="11">
                    <c:v>2024</c:v>
                  </c:pt>
                </c:lvl>
              </c:multiLvlStrCache>
            </c:multiLvlStrRef>
          </c:cat>
          <c:val>
            <c:numRef>
              <c:f>'Динамика продаж'!$B$4:$B$21</c:f>
              <c:numCache>
                <c:formatCode>_-* #,##0_-;\-* #,##0_-;_-* "-"??_-;_-@_-</c:formatCode>
                <c:ptCount val="15"/>
                <c:pt idx="0">
                  <c:v>963</c:v>
                </c:pt>
                <c:pt idx="1">
                  <c:v>1185</c:v>
                </c:pt>
                <c:pt idx="2">
                  <c:v>2444</c:v>
                </c:pt>
                <c:pt idx="3">
                  <c:v>448</c:v>
                </c:pt>
                <c:pt idx="4">
                  <c:v>460</c:v>
                </c:pt>
                <c:pt idx="5">
                  <c:v>2898</c:v>
                </c:pt>
                <c:pt idx="6">
                  <c:v>2715</c:v>
                </c:pt>
                <c:pt idx="7">
                  <c:v>3967</c:v>
                </c:pt>
                <c:pt idx="8">
                  <c:v>2378</c:v>
                </c:pt>
                <c:pt idx="9">
                  <c:v>1397</c:v>
                </c:pt>
                <c:pt idx="10">
                  <c:v>648</c:v>
                </c:pt>
                <c:pt idx="11">
                  <c:v>3648</c:v>
                </c:pt>
                <c:pt idx="12">
                  <c:v>1056</c:v>
                </c:pt>
                <c:pt idx="13">
                  <c:v>762</c:v>
                </c:pt>
                <c:pt idx="14">
                  <c:v>2693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E-4B2F-BD9A-129964D2A9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17939880"/>
        <c:axId val="617939520"/>
      </c:lineChart>
      <c:catAx>
        <c:axId val="617939880"/>
        <c:scaling>
          <c:orientation val="minMax"/>
        </c:scaling>
        <c:delete val="0"/>
        <c:axPos val="b"/>
        <c:majorGridlines>
          <c:spPr>
            <a:ln w="254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939520"/>
        <c:crosses val="autoZero"/>
        <c:auto val="1"/>
        <c:lblAlgn val="ctr"/>
        <c:lblOffset val="100"/>
        <c:noMultiLvlLbl val="0"/>
      </c:catAx>
      <c:valAx>
        <c:axId val="61793952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93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xlss_result.xlsx]Выгода клиента!Сводная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 Средний дисконт по магазинам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клиента'!$A$4:$A$23</c:f>
              <c:strCache>
                <c:ptCount val="20"/>
                <c:pt idx="0">
                  <c:v>Лента</c:v>
                </c:pt>
                <c:pt idx="1">
                  <c:v>Городской Супермаркет</c:v>
                </c:pt>
                <c:pt idx="2">
                  <c:v>Метро</c:v>
                </c:pt>
                <c:pt idx="3">
                  <c:v>Билла</c:v>
                </c:pt>
                <c:pt idx="4">
                  <c:v>Азбука Вкуса</c:v>
                </c:pt>
                <c:pt idx="5">
                  <c:v>Седьмой Континент</c:v>
                </c:pt>
                <c:pt idx="6">
                  <c:v>Ароматный Мир</c:v>
                </c:pt>
                <c:pt idx="7">
                  <c:v>Мосмарт</c:v>
                </c:pt>
                <c:pt idx="8">
                  <c:v>Мираторг</c:v>
                </c:pt>
                <c:pt idx="9">
                  <c:v>Ашан</c:v>
                </c:pt>
                <c:pt idx="10">
                  <c:v>Бристоль</c:v>
                </c:pt>
                <c:pt idx="11">
                  <c:v>Магнит</c:v>
                </c:pt>
                <c:pt idx="12">
                  <c:v>Гиперглобус</c:v>
                </c:pt>
                <c:pt idx="13">
                  <c:v>О'кей</c:v>
                </c:pt>
                <c:pt idx="14">
                  <c:v>Дикси</c:v>
                </c:pt>
                <c:pt idx="15">
                  <c:v>Карусель</c:v>
                </c:pt>
                <c:pt idx="16">
                  <c:v>Верный</c:v>
                </c:pt>
                <c:pt idx="17">
                  <c:v>Перекресток</c:v>
                </c:pt>
                <c:pt idx="18">
                  <c:v>Пятерочка</c:v>
                </c:pt>
                <c:pt idx="19">
                  <c:v>Спар</c:v>
                </c:pt>
              </c:strCache>
            </c:strRef>
          </c:cat>
          <c:val>
            <c:numRef>
              <c:f>'Выгода клиента'!$B$4:$B$23</c:f>
              <c:numCache>
                <c:formatCode>0%</c:formatCode>
                <c:ptCount val="20"/>
                <c:pt idx="0">
                  <c:v>0.13314534519299331</c:v>
                </c:pt>
                <c:pt idx="1">
                  <c:v>6.5458688101188836E-2</c:v>
                </c:pt>
                <c:pt idx="2">
                  <c:v>4.7852648811471908E-2</c:v>
                </c:pt>
                <c:pt idx="3">
                  <c:v>4.5777190114042451E-2</c:v>
                </c:pt>
                <c:pt idx="4">
                  <c:v>4.2135560270227822E-2</c:v>
                </c:pt>
                <c:pt idx="5">
                  <c:v>3.9584187657497022E-2</c:v>
                </c:pt>
                <c:pt idx="6">
                  <c:v>2.6621364094879363E-2</c:v>
                </c:pt>
                <c:pt idx="7">
                  <c:v>1.9548994868373359E-2</c:v>
                </c:pt>
                <c:pt idx="8">
                  <c:v>4.3236684682376649E-3</c:v>
                </c:pt>
                <c:pt idx="9">
                  <c:v>-8.9704364821494888E-3</c:v>
                </c:pt>
                <c:pt idx="10">
                  <c:v>-1.1007391455613379E-2</c:v>
                </c:pt>
                <c:pt idx="11">
                  <c:v>-2.4982715594806547E-2</c:v>
                </c:pt>
                <c:pt idx="12">
                  <c:v>-2.7504514727433791E-2</c:v>
                </c:pt>
                <c:pt idx="13">
                  <c:v>-3.2146689851375775E-2</c:v>
                </c:pt>
                <c:pt idx="14">
                  <c:v>-3.5471436613604371E-2</c:v>
                </c:pt>
                <c:pt idx="15">
                  <c:v>-3.7146382938237202E-2</c:v>
                </c:pt>
                <c:pt idx="16">
                  <c:v>-3.9557255731827064E-2</c:v>
                </c:pt>
                <c:pt idx="17">
                  <c:v>-4.0185016505333057E-2</c:v>
                </c:pt>
                <c:pt idx="18">
                  <c:v>-6.3422653134508081E-2</c:v>
                </c:pt>
                <c:pt idx="19">
                  <c:v>-6.6618318619657391E-2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2-408E-87F4-007A656CA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9021376"/>
        <c:axId val="659019576"/>
      </c:barChart>
      <c:catAx>
        <c:axId val="6590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019576"/>
        <c:crosses val="autoZero"/>
        <c:auto val="1"/>
        <c:lblAlgn val="ctr"/>
        <c:lblOffset val="100"/>
        <c:noMultiLvlLbl val="0"/>
      </c:catAx>
      <c:valAx>
        <c:axId val="65901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9021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xlss_result.xlsx]GMV Продажи по магазинам!Сводная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 GMV Проджи</a:t>
            </a:r>
            <a:r>
              <a:rPr lang="ru-RU" baseline="0"/>
              <a:t> по магазинам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'GMV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'GMV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'GMV Продажи по магазинам'!$B$4:$B$24</c:f>
              <c:numCache>
                <c:formatCode>#,##0"р."</c:formatCode>
                <c:ptCount val="20"/>
                <c:pt idx="0">
                  <c:v>52844</c:v>
                </c:pt>
                <c:pt idx="1">
                  <c:v>51789</c:v>
                </c:pt>
                <c:pt idx="2">
                  <c:v>49580</c:v>
                </c:pt>
                <c:pt idx="3">
                  <c:v>48746</c:v>
                </c:pt>
                <c:pt idx="4">
                  <c:v>47028</c:v>
                </c:pt>
                <c:pt idx="5">
                  <c:v>43098</c:v>
                </c:pt>
                <c:pt idx="6">
                  <c:v>42837</c:v>
                </c:pt>
                <c:pt idx="7">
                  <c:v>41106</c:v>
                </c:pt>
                <c:pt idx="8">
                  <c:v>41010</c:v>
                </c:pt>
                <c:pt idx="9">
                  <c:v>40029</c:v>
                </c:pt>
                <c:pt idx="10">
                  <c:v>39168</c:v>
                </c:pt>
                <c:pt idx="11">
                  <c:v>38312</c:v>
                </c:pt>
                <c:pt idx="12">
                  <c:v>37636</c:v>
                </c:pt>
                <c:pt idx="13">
                  <c:v>36448</c:v>
                </c:pt>
                <c:pt idx="14">
                  <c:v>36436</c:v>
                </c:pt>
                <c:pt idx="15">
                  <c:v>35012</c:v>
                </c:pt>
                <c:pt idx="16">
                  <c:v>32463</c:v>
                </c:pt>
                <c:pt idx="17">
                  <c:v>31954</c:v>
                </c:pt>
                <c:pt idx="18">
                  <c:v>27662</c:v>
                </c:pt>
                <c:pt idx="19">
                  <c:v>27275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0-43E8-97B0-0C82EC32E7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52915920"/>
        <c:axId val="652917720"/>
      </c:barChart>
      <c:catAx>
        <c:axId val="6529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917720"/>
        <c:crosses val="autoZero"/>
        <c:auto val="1"/>
        <c:lblAlgn val="ctr"/>
        <c:lblOffset val="100"/>
        <c:noMultiLvlLbl val="0"/>
      </c:catAx>
      <c:valAx>
        <c:axId val="652917720"/>
        <c:scaling>
          <c:orientation val="minMax"/>
        </c:scaling>
        <c:delete val="0"/>
        <c:axPos val="l"/>
        <c:numFmt formatCode="#,##0&quot;р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91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0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xlss_result.xlsx]Средн. стоим в кат по поставщ. !Сводная таблица1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4 Средн. стоимость в катеории по поставщику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'Средн. стоим в кат по поставщ. 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'Средн. стоим в кат по поставщ. '!$A$4:$A$82</c:f>
              <c:strCache>
                <c:ptCount val="78"/>
                <c:pt idx="0">
                  <c:v>Estrella</c:v>
                </c:pt>
                <c:pt idx="1">
                  <c:v>Green Garden</c:v>
                </c:pt>
                <c:pt idx="2">
                  <c:v>Greenfield</c:v>
                </c:pt>
                <c:pt idx="3">
                  <c:v>Hochland</c:v>
                </c:pt>
                <c:pt idx="4">
                  <c:v>Jacobs</c:v>
                </c:pt>
                <c:pt idx="5">
                  <c:v>Lay's</c:v>
                </c:pt>
                <c:pt idx="6">
                  <c:v>Lipton</c:v>
                </c:pt>
                <c:pt idx="7">
                  <c:v>Nescafe</c:v>
                </c:pt>
                <c:pt idx="8">
                  <c:v>President</c:v>
                </c:pt>
                <c:pt idx="9">
                  <c:v>Pringles</c:v>
                </c:pt>
                <c:pt idx="10">
                  <c:v>Rich</c:v>
                </c:pt>
                <c:pt idx="11">
                  <c:v>Tchibo</c:v>
                </c:pt>
                <c:pt idx="12">
                  <c:v>Агро-Альянс</c:v>
                </c:pt>
                <c:pt idx="13">
                  <c:v>Агрокомплекс</c:v>
                </c:pt>
                <c:pt idx="14">
                  <c:v>Агросахар</c:v>
                </c:pt>
                <c:pt idx="15">
                  <c:v>Активиа</c:v>
                </c:pt>
                <c:pt idx="16">
                  <c:v>Ахмад</c:v>
                </c:pt>
                <c:pt idx="17">
                  <c:v>Бабаевский</c:v>
                </c:pt>
                <c:pt idx="18">
                  <c:v>Балтийский берег</c:v>
                </c:pt>
                <c:pt idx="19">
                  <c:v>Беллакт</c:v>
                </c:pt>
                <c:pt idx="20">
                  <c:v>Белогорье</c:v>
                </c:pt>
                <c:pt idx="21">
                  <c:v>Белый Злат</c:v>
                </c:pt>
                <c:pt idx="22">
                  <c:v>Борилла</c:v>
                </c:pt>
                <c:pt idx="23">
                  <c:v>Вимм-Билль-Данн</c:v>
                </c:pt>
                <c:pt idx="24">
                  <c:v>Гавриш</c:v>
                </c:pt>
                <c:pt idx="25">
                  <c:v>Дарница</c:v>
                </c:pt>
                <c:pt idx="26">
                  <c:v>Добрый</c:v>
                </c:pt>
                <c:pt idx="27">
                  <c:v>Домик в деревне</c:v>
                </c:pt>
                <c:pt idx="28">
                  <c:v>Дымов</c:v>
                </c:pt>
                <c:pt idx="29">
                  <c:v>Зеленая грядка</c:v>
                </c:pt>
                <c:pt idx="30">
                  <c:v>Илецкая</c:v>
                </c:pt>
                <c:pt idx="31">
                  <c:v>Каравай</c:v>
                </c:pt>
                <c:pt idx="32">
                  <c:v>Карат</c:v>
                </c:pt>
                <c:pt idx="33">
                  <c:v>КДВ</c:v>
                </c:pt>
                <c:pt idx="34">
                  <c:v>Красный Октябрь</c:v>
                </c:pt>
                <c:pt idx="35">
                  <c:v>Макфа</c:v>
                </c:pt>
                <c:pt idx="36">
                  <c:v>Меридиан</c:v>
                </c:pt>
                <c:pt idx="37">
                  <c:v>Микоян</c:v>
                </c:pt>
                <c:pt idx="38">
                  <c:v>Мираторг</c:v>
                </c:pt>
                <c:pt idx="39">
                  <c:v>Мистраль</c:v>
                </c:pt>
                <c:pt idx="40">
                  <c:v>Националь</c:v>
                </c:pt>
                <c:pt idx="41">
                  <c:v>Овощной ряд</c:v>
                </c:pt>
                <c:pt idx="42">
                  <c:v>Окраина</c:v>
                </c:pt>
                <c:pt idx="43">
                  <c:v>Паста Зара</c:v>
                </c:pt>
                <c:pt idx="44">
                  <c:v>Посиделкино</c:v>
                </c:pt>
                <c:pt idx="45">
                  <c:v>Продимекс</c:v>
                </c:pt>
                <c:pt idx="46">
                  <c:v>Простоквашино</c:v>
                </c:pt>
                <c:pt idx="47">
                  <c:v>Роллтон</c:v>
                </c:pt>
                <c:pt idx="48">
                  <c:v>Ростагроэкспорт</c:v>
                </c:pt>
                <c:pt idx="49">
                  <c:v>Рот Фронт</c:v>
                </c:pt>
                <c:pt idx="50">
                  <c:v>Русская картошка</c:v>
                </c:pt>
                <c:pt idx="51">
                  <c:v>Русский сахар</c:v>
                </c:pt>
                <c:pt idx="52">
                  <c:v>Русский Хлеб</c:v>
                </c:pt>
                <c:pt idx="53">
                  <c:v>Русское море</c:v>
                </c:pt>
                <c:pt idx="54">
                  <c:v>Сава</c:v>
                </c:pt>
                <c:pt idx="55">
                  <c:v>Сады Придонья</c:v>
                </c:pt>
                <c:pt idx="56">
                  <c:v>Салта</c:v>
                </c:pt>
                <c:pt idx="57">
                  <c:v>Санта Бремор</c:v>
                </c:pt>
                <c:pt idx="58">
                  <c:v>Семко</c:v>
                </c:pt>
                <c:pt idx="59">
                  <c:v>Славянка</c:v>
                </c:pt>
                <c:pt idx="60">
                  <c:v>Славянская</c:v>
                </c:pt>
                <c:pt idx="61">
                  <c:v>Сладов</c:v>
                </c:pt>
                <c:pt idx="62">
                  <c:v>Снежана</c:v>
                </c:pt>
                <c:pt idx="63">
                  <c:v>Сырная долина</c:v>
                </c:pt>
                <c:pt idx="64">
                  <c:v>Тесс</c:v>
                </c:pt>
                <c:pt idx="65">
                  <c:v>Увелка</c:v>
                </c:pt>
                <c:pt idx="66">
                  <c:v>Фруктовый Рай</c:v>
                </c:pt>
                <c:pt idx="67">
                  <c:v>Фруктовый сад</c:v>
                </c:pt>
                <c:pt idx="68">
                  <c:v>Фрукты-Ягоды</c:v>
                </c:pt>
                <c:pt idx="69">
                  <c:v>Хлебный Дом</c:v>
                </c:pt>
                <c:pt idx="70">
                  <c:v>Черкизово</c:v>
                </c:pt>
                <c:pt idx="71">
                  <c:v>Черная Карта</c:v>
                </c:pt>
                <c:pt idx="72">
                  <c:v>Чудо</c:v>
                </c:pt>
                <c:pt idx="73">
                  <c:v>Экзотик</c:v>
                </c:pt>
                <c:pt idx="74">
                  <c:v>Экстра</c:v>
                </c:pt>
                <c:pt idx="75">
                  <c:v>Эрманн</c:v>
                </c:pt>
                <c:pt idx="76">
                  <c:v>Юбилейное</c:v>
                </c:pt>
                <c:pt idx="77">
                  <c:v>Ярмарка</c:v>
                </c:pt>
              </c:strCache>
            </c:strRef>
          </c:cat>
          <c:val>
            <c:numRef>
              <c:f>'Средн. стоим в кат по поставщ. '!$B$4:$B$82</c:f>
              <c:numCache>
                <c:formatCode>0</c:formatCode>
                <c:ptCount val="78"/>
                <c:pt idx="0">
                  <c:v>2929</c:v>
                </c:pt>
                <c:pt idx="1">
                  <c:v>1846</c:v>
                </c:pt>
                <c:pt idx="2">
                  <c:v>6412</c:v>
                </c:pt>
                <c:pt idx="3">
                  <c:v>504</c:v>
                </c:pt>
                <c:pt idx="4">
                  <c:v>5248</c:v>
                </c:pt>
                <c:pt idx="5">
                  <c:v>2244</c:v>
                </c:pt>
                <c:pt idx="6">
                  <c:v>4943</c:v>
                </c:pt>
                <c:pt idx="7">
                  <c:v>2569</c:v>
                </c:pt>
                <c:pt idx="8">
                  <c:v>3935</c:v>
                </c:pt>
                <c:pt idx="9">
                  <c:v>5885</c:v>
                </c:pt>
                <c:pt idx="10">
                  <c:v>1089</c:v>
                </c:pt>
                <c:pt idx="11">
                  <c:v>420</c:v>
                </c:pt>
                <c:pt idx="12">
                  <c:v>2225</c:v>
                </c:pt>
                <c:pt idx="13">
                  <c:v>3112</c:v>
                </c:pt>
                <c:pt idx="14">
                  <c:v>1511</c:v>
                </c:pt>
                <c:pt idx="15">
                  <c:v>1762</c:v>
                </c:pt>
                <c:pt idx="16">
                  <c:v>2433</c:v>
                </c:pt>
                <c:pt idx="17">
                  <c:v>6757</c:v>
                </c:pt>
                <c:pt idx="18">
                  <c:v>2609</c:v>
                </c:pt>
                <c:pt idx="19">
                  <c:v>3548</c:v>
                </c:pt>
                <c:pt idx="20">
                  <c:v>3493</c:v>
                </c:pt>
                <c:pt idx="21">
                  <c:v>4585</c:v>
                </c:pt>
                <c:pt idx="22">
                  <c:v>6852</c:v>
                </c:pt>
                <c:pt idx="23">
                  <c:v>387</c:v>
                </c:pt>
                <c:pt idx="24">
                  <c:v>2229</c:v>
                </c:pt>
                <c:pt idx="25">
                  <c:v>1848</c:v>
                </c:pt>
                <c:pt idx="26">
                  <c:v>2671</c:v>
                </c:pt>
                <c:pt idx="27">
                  <c:v>4946</c:v>
                </c:pt>
                <c:pt idx="28">
                  <c:v>2814</c:v>
                </c:pt>
                <c:pt idx="29">
                  <c:v>796</c:v>
                </c:pt>
                <c:pt idx="30">
                  <c:v>4287</c:v>
                </c:pt>
                <c:pt idx="31">
                  <c:v>3974</c:v>
                </c:pt>
                <c:pt idx="32">
                  <c:v>2802</c:v>
                </c:pt>
                <c:pt idx="33">
                  <c:v>4200</c:v>
                </c:pt>
                <c:pt idx="34">
                  <c:v>2189</c:v>
                </c:pt>
                <c:pt idx="35">
                  <c:v>3622</c:v>
                </c:pt>
                <c:pt idx="36">
                  <c:v>4431</c:v>
                </c:pt>
                <c:pt idx="37">
                  <c:v>82</c:v>
                </c:pt>
                <c:pt idx="38">
                  <c:v>3799</c:v>
                </c:pt>
                <c:pt idx="39">
                  <c:v>2559.9499999999998</c:v>
                </c:pt>
                <c:pt idx="40">
                  <c:v>1703.375</c:v>
                </c:pt>
                <c:pt idx="41">
                  <c:v>5165</c:v>
                </c:pt>
                <c:pt idx="42">
                  <c:v>3283</c:v>
                </c:pt>
                <c:pt idx="43">
                  <c:v>10237</c:v>
                </c:pt>
                <c:pt idx="44">
                  <c:v>3538</c:v>
                </c:pt>
                <c:pt idx="45">
                  <c:v>5172</c:v>
                </c:pt>
                <c:pt idx="46">
                  <c:v>3507</c:v>
                </c:pt>
                <c:pt idx="47">
                  <c:v>2120</c:v>
                </c:pt>
                <c:pt idx="48">
                  <c:v>5929</c:v>
                </c:pt>
                <c:pt idx="49">
                  <c:v>6053</c:v>
                </c:pt>
                <c:pt idx="50">
                  <c:v>2902</c:v>
                </c:pt>
                <c:pt idx="51">
                  <c:v>4988</c:v>
                </c:pt>
                <c:pt idx="52">
                  <c:v>3166</c:v>
                </c:pt>
                <c:pt idx="53">
                  <c:v>878</c:v>
                </c:pt>
                <c:pt idx="54">
                  <c:v>3405</c:v>
                </c:pt>
                <c:pt idx="55">
                  <c:v>2796</c:v>
                </c:pt>
                <c:pt idx="56">
                  <c:v>2737</c:v>
                </c:pt>
                <c:pt idx="57">
                  <c:v>2164</c:v>
                </c:pt>
                <c:pt idx="58">
                  <c:v>2080</c:v>
                </c:pt>
                <c:pt idx="59">
                  <c:v>1608</c:v>
                </c:pt>
                <c:pt idx="60">
                  <c:v>2843</c:v>
                </c:pt>
                <c:pt idx="61">
                  <c:v>3604</c:v>
                </c:pt>
                <c:pt idx="62">
                  <c:v>4630</c:v>
                </c:pt>
                <c:pt idx="63">
                  <c:v>8943</c:v>
                </c:pt>
                <c:pt idx="64">
                  <c:v>1127</c:v>
                </c:pt>
                <c:pt idx="65">
                  <c:v>3023</c:v>
                </c:pt>
                <c:pt idx="66">
                  <c:v>3358</c:v>
                </c:pt>
                <c:pt idx="67">
                  <c:v>9023</c:v>
                </c:pt>
                <c:pt idx="68">
                  <c:v>2526</c:v>
                </c:pt>
                <c:pt idx="69">
                  <c:v>4226</c:v>
                </c:pt>
                <c:pt idx="70">
                  <c:v>1281</c:v>
                </c:pt>
                <c:pt idx="71">
                  <c:v>2222</c:v>
                </c:pt>
                <c:pt idx="72">
                  <c:v>2871</c:v>
                </c:pt>
                <c:pt idx="73">
                  <c:v>4059</c:v>
                </c:pt>
                <c:pt idx="74">
                  <c:v>4171</c:v>
                </c:pt>
                <c:pt idx="75">
                  <c:v>4970</c:v>
                </c:pt>
                <c:pt idx="76">
                  <c:v>2092</c:v>
                </c:pt>
                <c:pt idx="77">
                  <c:v>2773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BC-467C-8093-D0783AEC2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127048"/>
        <c:axId val="1089375632"/>
      </c:barChart>
      <c:catAx>
        <c:axId val="64312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75632"/>
        <c:crosses val="autoZero"/>
        <c:auto val="1"/>
        <c:lblAlgn val="ctr"/>
        <c:lblOffset val="100"/>
        <c:noMultiLvlLbl val="0"/>
      </c:catAx>
      <c:valAx>
        <c:axId val="10893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Ср. стоимость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12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xlss_result.xlsx]Выгода для клиента внутри поста!Сводная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Выгода для клиента внутри поставщика.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для клиента внутри поста'!$B$3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'Выгода для клиента внутри поста'!$A$4:$A$82</c:f>
              <c:strCache>
                <c:ptCount val="78"/>
                <c:pt idx="0">
                  <c:v>Микоян</c:v>
                </c:pt>
                <c:pt idx="1">
                  <c:v>Вимм-Билль-Данн</c:v>
                </c:pt>
                <c:pt idx="2">
                  <c:v>Русское море</c:v>
                </c:pt>
                <c:pt idx="3">
                  <c:v>Hochland</c:v>
                </c:pt>
                <c:pt idx="4">
                  <c:v>Tchibo</c:v>
                </c:pt>
                <c:pt idx="5">
                  <c:v>Черкизово</c:v>
                </c:pt>
                <c:pt idx="6">
                  <c:v>Националь</c:v>
                </c:pt>
                <c:pt idx="7">
                  <c:v>Rich</c:v>
                </c:pt>
                <c:pt idx="8">
                  <c:v>Тесс</c:v>
                </c:pt>
                <c:pt idx="9">
                  <c:v>Green Garden</c:v>
                </c:pt>
                <c:pt idx="10">
                  <c:v>Зеленая грядка</c:v>
                </c:pt>
                <c:pt idx="11">
                  <c:v>Активиа</c:v>
                </c:pt>
                <c:pt idx="12">
                  <c:v>Славянка</c:v>
                </c:pt>
                <c:pt idx="13">
                  <c:v>Lay's</c:v>
                </c:pt>
                <c:pt idx="14">
                  <c:v>Агро-Альянс</c:v>
                </c:pt>
                <c:pt idx="15">
                  <c:v>Агросахар</c:v>
                </c:pt>
                <c:pt idx="16">
                  <c:v>Дарница</c:v>
                </c:pt>
                <c:pt idx="17">
                  <c:v>Красный Октябрь</c:v>
                </c:pt>
                <c:pt idx="18">
                  <c:v>Фрукты-Ягоды</c:v>
                </c:pt>
                <c:pt idx="19">
                  <c:v>Дымов</c:v>
                </c:pt>
                <c:pt idx="20">
                  <c:v>Роллтон</c:v>
                </c:pt>
                <c:pt idx="21">
                  <c:v>Гавриш</c:v>
                </c:pt>
                <c:pt idx="22">
                  <c:v>Юбилейное</c:v>
                </c:pt>
                <c:pt idx="23">
                  <c:v>Карат</c:v>
                </c:pt>
                <c:pt idx="24">
                  <c:v>Балтийский берег</c:v>
                </c:pt>
                <c:pt idx="25">
                  <c:v>Ахмад</c:v>
                </c:pt>
                <c:pt idx="26">
                  <c:v>Мистраль</c:v>
                </c:pt>
                <c:pt idx="27">
                  <c:v>Санта Бремор</c:v>
                </c:pt>
                <c:pt idx="28">
                  <c:v>Семко</c:v>
                </c:pt>
                <c:pt idx="29">
                  <c:v>Nescafe</c:v>
                </c:pt>
                <c:pt idx="30">
                  <c:v>Агрокомплекс</c:v>
                </c:pt>
                <c:pt idx="31">
                  <c:v>Русский Хлеб</c:v>
                </c:pt>
                <c:pt idx="32">
                  <c:v>Черная Карта</c:v>
                </c:pt>
                <c:pt idx="33">
                  <c:v>Чудо</c:v>
                </c:pt>
                <c:pt idx="34">
                  <c:v>Салта</c:v>
                </c:pt>
                <c:pt idx="35">
                  <c:v>Добрый</c:v>
                </c:pt>
                <c:pt idx="36">
                  <c:v>Сады Придонья</c:v>
                </c:pt>
                <c:pt idx="37">
                  <c:v>Беллакт</c:v>
                </c:pt>
                <c:pt idx="38">
                  <c:v>Посиделкино</c:v>
                </c:pt>
                <c:pt idx="39">
                  <c:v>Estrella</c:v>
                </c:pt>
                <c:pt idx="40">
                  <c:v>Ярмарка</c:v>
                </c:pt>
                <c:pt idx="41">
                  <c:v>Простоквашино</c:v>
                </c:pt>
                <c:pt idx="42">
                  <c:v>Макфа</c:v>
                </c:pt>
                <c:pt idx="43">
                  <c:v>Окраина</c:v>
                </c:pt>
                <c:pt idx="44">
                  <c:v>Увелка</c:v>
                </c:pt>
                <c:pt idx="45">
                  <c:v>Каравай</c:v>
                </c:pt>
                <c:pt idx="46">
                  <c:v>Русская картошка</c:v>
                </c:pt>
                <c:pt idx="47">
                  <c:v>Славянская</c:v>
                </c:pt>
                <c:pt idx="48">
                  <c:v>Мираторг</c:v>
                </c:pt>
                <c:pt idx="49">
                  <c:v>Фруктовый Рай</c:v>
                </c:pt>
                <c:pt idx="50">
                  <c:v>Экстра</c:v>
                </c:pt>
                <c:pt idx="51">
                  <c:v>КДВ</c:v>
                </c:pt>
                <c:pt idx="52">
                  <c:v>Белогорье</c:v>
                </c:pt>
                <c:pt idx="53">
                  <c:v>Хлебный Дом</c:v>
                </c:pt>
                <c:pt idx="54">
                  <c:v>Сладов</c:v>
                </c:pt>
                <c:pt idx="55">
                  <c:v>Экзотик</c:v>
                </c:pt>
                <c:pt idx="56">
                  <c:v>Сава</c:v>
                </c:pt>
                <c:pt idx="57">
                  <c:v>Овощной ряд</c:v>
                </c:pt>
                <c:pt idx="58">
                  <c:v>Белый Злат</c:v>
                </c:pt>
                <c:pt idx="59">
                  <c:v>Меридиан</c:v>
                </c:pt>
                <c:pt idx="60">
                  <c:v>Русский сахар</c:v>
                </c:pt>
                <c:pt idx="61">
                  <c:v>President</c:v>
                </c:pt>
                <c:pt idx="62">
                  <c:v>Снежана</c:v>
                </c:pt>
                <c:pt idx="63">
                  <c:v>Домик в деревне</c:v>
                </c:pt>
                <c:pt idx="64">
                  <c:v>Илецкая</c:v>
                </c:pt>
                <c:pt idx="65">
                  <c:v>Jacobs</c:v>
                </c:pt>
                <c:pt idx="66">
                  <c:v>Lipton</c:v>
                </c:pt>
                <c:pt idx="67">
                  <c:v>Эрманн</c:v>
                </c:pt>
                <c:pt idx="68">
                  <c:v>Pringles</c:v>
                </c:pt>
                <c:pt idx="69">
                  <c:v>Рот Фронт</c:v>
                </c:pt>
                <c:pt idx="70">
                  <c:v>Продимекс</c:v>
                </c:pt>
                <c:pt idx="71">
                  <c:v>Greenfield</c:v>
                </c:pt>
                <c:pt idx="72">
                  <c:v>Ростагроэкспорт</c:v>
                </c:pt>
                <c:pt idx="73">
                  <c:v>Бабаевский</c:v>
                </c:pt>
                <c:pt idx="74">
                  <c:v>Борилла</c:v>
                </c:pt>
                <c:pt idx="75">
                  <c:v>Фруктовый сад</c:v>
                </c:pt>
                <c:pt idx="76">
                  <c:v>Сырная долина</c:v>
                </c:pt>
                <c:pt idx="77">
                  <c:v>Паста Зара</c:v>
                </c:pt>
              </c:strCache>
            </c:strRef>
          </c:cat>
          <c:val>
            <c:numRef>
              <c:f>'Выгода для клиента внутри поста'!$B$4:$B$82</c:f>
              <c:numCache>
                <c:formatCode>0%</c:formatCode>
                <c:ptCount val="78"/>
                <c:pt idx="0">
                  <c:v>0</c:v>
                </c:pt>
                <c:pt idx="1">
                  <c:v>-0.5</c:v>
                </c:pt>
                <c:pt idx="2">
                  <c:v>-0.66666666666666663</c:v>
                </c:pt>
                <c:pt idx="3">
                  <c:v>-0.66666666666666663</c:v>
                </c:pt>
                <c:pt idx="4">
                  <c:v>-0.66666666666666663</c:v>
                </c:pt>
                <c:pt idx="5">
                  <c:v>-0.75</c:v>
                </c:pt>
                <c:pt idx="6">
                  <c:v>-0.75</c:v>
                </c:pt>
                <c:pt idx="7">
                  <c:v>-0.75</c:v>
                </c:pt>
                <c:pt idx="8">
                  <c:v>-0.75</c:v>
                </c:pt>
                <c:pt idx="9">
                  <c:v>-0.8</c:v>
                </c:pt>
                <c:pt idx="10">
                  <c:v>-0.8</c:v>
                </c:pt>
                <c:pt idx="11">
                  <c:v>-0.83333333333333337</c:v>
                </c:pt>
                <c:pt idx="12">
                  <c:v>-0.83333333333333337</c:v>
                </c:pt>
                <c:pt idx="13">
                  <c:v>-0.8571428571428571</c:v>
                </c:pt>
                <c:pt idx="14">
                  <c:v>-0.8571428571428571</c:v>
                </c:pt>
                <c:pt idx="15">
                  <c:v>-0.8571428571428571</c:v>
                </c:pt>
                <c:pt idx="16">
                  <c:v>-0.8571428571428571</c:v>
                </c:pt>
                <c:pt idx="17">
                  <c:v>-0.875</c:v>
                </c:pt>
                <c:pt idx="18">
                  <c:v>-0.88888888888888884</c:v>
                </c:pt>
                <c:pt idx="19">
                  <c:v>-0.88888888888888884</c:v>
                </c:pt>
                <c:pt idx="20">
                  <c:v>-0.88888888888888884</c:v>
                </c:pt>
                <c:pt idx="21">
                  <c:v>-0.88888888888888884</c:v>
                </c:pt>
                <c:pt idx="22">
                  <c:v>-0.88888888888888884</c:v>
                </c:pt>
                <c:pt idx="23">
                  <c:v>-0.88888888888888884</c:v>
                </c:pt>
                <c:pt idx="24">
                  <c:v>-0.88888888888888906</c:v>
                </c:pt>
                <c:pt idx="25">
                  <c:v>-0.9</c:v>
                </c:pt>
                <c:pt idx="26">
                  <c:v>-0.9</c:v>
                </c:pt>
                <c:pt idx="27">
                  <c:v>-0.9</c:v>
                </c:pt>
                <c:pt idx="28">
                  <c:v>-0.9</c:v>
                </c:pt>
                <c:pt idx="29">
                  <c:v>-0.9</c:v>
                </c:pt>
                <c:pt idx="30">
                  <c:v>-0.9</c:v>
                </c:pt>
                <c:pt idx="31">
                  <c:v>-0.9</c:v>
                </c:pt>
                <c:pt idx="32">
                  <c:v>-0.9</c:v>
                </c:pt>
                <c:pt idx="33">
                  <c:v>-0.9</c:v>
                </c:pt>
                <c:pt idx="34">
                  <c:v>-0.90000000000000013</c:v>
                </c:pt>
                <c:pt idx="35">
                  <c:v>-0.90909090909090895</c:v>
                </c:pt>
                <c:pt idx="36">
                  <c:v>-0.90909090909090895</c:v>
                </c:pt>
                <c:pt idx="37">
                  <c:v>-0.90909090909090906</c:v>
                </c:pt>
                <c:pt idx="38">
                  <c:v>-0.90909090909090906</c:v>
                </c:pt>
                <c:pt idx="39">
                  <c:v>-0.90909090909090906</c:v>
                </c:pt>
                <c:pt idx="40">
                  <c:v>-0.90909090909090906</c:v>
                </c:pt>
                <c:pt idx="41">
                  <c:v>-0.90909090909090906</c:v>
                </c:pt>
                <c:pt idx="42">
                  <c:v>-0.90909090909090906</c:v>
                </c:pt>
                <c:pt idx="43">
                  <c:v>-0.91666666666666652</c:v>
                </c:pt>
                <c:pt idx="44">
                  <c:v>-0.91666666666666663</c:v>
                </c:pt>
                <c:pt idx="45">
                  <c:v>-0.91666666666666663</c:v>
                </c:pt>
                <c:pt idx="46">
                  <c:v>-0.91666666666666663</c:v>
                </c:pt>
                <c:pt idx="47">
                  <c:v>-0.91666666666666663</c:v>
                </c:pt>
                <c:pt idx="48">
                  <c:v>-0.91666666666666685</c:v>
                </c:pt>
                <c:pt idx="49">
                  <c:v>-0.92307692307692291</c:v>
                </c:pt>
                <c:pt idx="50">
                  <c:v>-0.92307692307692291</c:v>
                </c:pt>
                <c:pt idx="51">
                  <c:v>-0.92307692307692313</c:v>
                </c:pt>
                <c:pt idx="52">
                  <c:v>-0.9285714285714286</c:v>
                </c:pt>
                <c:pt idx="53">
                  <c:v>-0.93333333333333335</c:v>
                </c:pt>
                <c:pt idx="54">
                  <c:v>-0.93333333333333335</c:v>
                </c:pt>
                <c:pt idx="55">
                  <c:v>-0.93749999999999989</c:v>
                </c:pt>
                <c:pt idx="56">
                  <c:v>-0.9375</c:v>
                </c:pt>
                <c:pt idx="57">
                  <c:v>-0.94117647058823528</c:v>
                </c:pt>
                <c:pt idx="58">
                  <c:v>-0.94117647058823528</c:v>
                </c:pt>
                <c:pt idx="59">
                  <c:v>-0.94117647058823528</c:v>
                </c:pt>
                <c:pt idx="60">
                  <c:v>-0.94117647058823528</c:v>
                </c:pt>
                <c:pt idx="61">
                  <c:v>-0.94117647058823528</c:v>
                </c:pt>
                <c:pt idx="62">
                  <c:v>-0.94117647058823528</c:v>
                </c:pt>
                <c:pt idx="63">
                  <c:v>-0.9444444444444442</c:v>
                </c:pt>
                <c:pt idx="64">
                  <c:v>-0.9444444444444442</c:v>
                </c:pt>
                <c:pt idx="65">
                  <c:v>-0.94736842105263175</c:v>
                </c:pt>
                <c:pt idx="66">
                  <c:v>-0.94736842105263175</c:v>
                </c:pt>
                <c:pt idx="67">
                  <c:v>-0.95</c:v>
                </c:pt>
                <c:pt idx="68">
                  <c:v>-0.95238095238095222</c:v>
                </c:pt>
                <c:pt idx="69">
                  <c:v>-0.95238095238095222</c:v>
                </c:pt>
                <c:pt idx="70">
                  <c:v>-0.95238095238095233</c:v>
                </c:pt>
                <c:pt idx="71">
                  <c:v>-0.95454545454545459</c:v>
                </c:pt>
                <c:pt idx="72">
                  <c:v>-0.95652173913043481</c:v>
                </c:pt>
                <c:pt idx="73">
                  <c:v>-0.96296296296296269</c:v>
                </c:pt>
                <c:pt idx="74">
                  <c:v>-0.9655172413793105</c:v>
                </c:pt>
                <c:pt idx="75">
                  <c:v>-0.96875000000000011</c:v>
                </c:pt>
                <c:pt idx="76">
                  <c:v>-0.96969696969696995</c:v>
                </c:pt>
                <c:pt idx="77">
                  <c:v>-0.97297297297297314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3-4B26-9DA4-0A7CFBDC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127048"/>
        <c:axId val="1089375632"/>
      </c:barChart>
      <c:catAx>
        <c:axId val="64312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75632"/>
        <c:crosses val="autoZero"/>
        <c:auto val="1"/>
        <c:lblAlgn val="ctr"/>
        <c:lblOffset val="100"/>
        <c:noMultiLvlLbl val="0"/>
      </c:catAx>
      <c:valAx>
        <c:axId val="10893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12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xlss_result.xlsx]Суммарные продажи по поставщика!Сводная таблица4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5 Суммарные продажи по поставщикам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поставщика'!$B$3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'Суммарные продажи по поставщика'!$A$4:$A$82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Продимекс</c:v>
                </c:pt>
                <c:pt idx="14">
                  <c:v>Снежана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Сладов</c:v>
                </c:pt>
                <c:pt idx="25">
                  <c:v>Экстра</c:v>
                </c:pt>
                <c:pt idx="26">
                  <c:v>President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'Суммарные продажи по поставщика'!$B$4:$B$82</c:f>
              <c:numCache>
                <c:formatCode>_-* #,##0_-;\-* #,##0_-;_-* "-"??_-;_-@_-</c:formatCode>
                <c:ptCount val="78"/>
                <c:pt idx="0">
                  <c:v>29430</c:v>
                </c:pt>
                <c:pt idx="1">
                  <c:v>24872</c:v>
                </c:pt>
                <c:pt idx="2">
                  <c:v>24200</c:v>
                </c:pt>
                <c:pt idx="3">
                  <c:v>21191</c:v>
                </c:pt>
                <c:pt idx="4">
                  <c:v>20462</c:v>
                </c:pt>
                <c:pt idx="5">
                  <c:v>20345</c:v>
                </c:pt>
                <c:pt idx="6">
                  <c:v>18739</c:v>
                </c:pt>
                <c:pt idx="7">
                  <c:v>18368</c:v>
                </c:pt>
                <c:pt idx="8">
                  <c:v>17471</c:v>
                </c:pt>
                <c:pt idx="9">
                  <c:v>16874</c:v>
                </c:pt>
                <c:pt idx="10">
                  <c:v>15751</c:v>
                </c:pt>
                <c:pt idx="11">
                  <c:v>15581</c:v>
                </c:pt>
                <c:pt idx="12">
                  <c:v>15507</c:v>
                </c:pt>
                <c:pt idx="13">
                  <c:v>14516</c:v>
                </c:pt>
                <c:pt idx="14">
                  <c:v>14457</c:v>
                </c:pt>
                <c:pt idx="15">
                  <c:v>13987</c:v>
                </c:pt>
                <c:pt idx="16">
                  <c:v>13772</c:v>
                </c:pt>
                <c:pt idx="17">
                  <c:v>13106</c:v>
                </c:pt>
                <c:pt idx="18">
                  <c:v>13056</c:v>
                </c:pt>
                <c:pt idx="19">
                  <c:v>12899</c:v>
                </c:pt>
                <c:pt idx="20">
                  <c:v>12851</c:v>
                </c:pt>
                <c:pt idx="21">
                  <c:v>12813</c:v>
                </c:pt>
                <c:pt idx="22">
                  <c:v>12712</c:v>
                </c:pt>
                <c:pt idx="23">
                  <c:v>12474</c:v>
                </c:pt>
                <c:pt idx="24">
                  <c:v>12078</c:v>
                </c:pt>
                <c:pt idx="25">
                  <c:v>11937</c:v>
                </c:pt>
                <c:pt idx="26">
                  <c:v>11845</c:v>
                </c:pt>
                <c:pt idx="27">
                  <c:v>11630</c:v>
                </c:pt>
                <c:pt idx="28">
                  <c:v>11100</c:v>
                </c:pt>
                <c:pt idx="29">
                  <c:v>10813</c:v>
                </c:pt>
                <c:pt idx="30">
                  <c:v>10714</c:v>
                </c:pt>
                <c:pt idx="31">
                  <c:v>10620</c:v>
                </c:pt>
                <c:pt idx="32">
                  <c:v>10451</c:v>
                </c:pt>
                <c:pt idx="33">
                  <c:v>10223</c:v>
                </c:pt>
                <c:pt idx="34">
                  <c:v>10168</c:v>
                </c:pt>
                <c:pt idx="35">
                  <c:v>9900</c:v>
                </c:pt>
                <c:pt idx="36">
                  <c:v>9699</c:v>
                </c:pt>
                <c:pt idx="37">
                  <c:v>9294</c:v>
                </c:pt>
                <c:pt idx="38">
                  <c:v>9286</c:v>
                </c:pt>
                <c:pt idx="39">
                  <c:v>9123</c:v>
                </c:pt>
                <c:pt idx="40">
                  <c:v>8954</c:v>
                </c:pt>
                <c:pt idx="41">
                  <c:v>8905</c:v>
                </c:pt>
                <c:pt idx="42">
                  <c:v>8861</c:v>
                </c:pt>
                <c:pt idx="43">
                  <c:v>8841</c:v>
                </c:pt>
                <c:pt idx="44">
                  <c:v>8649</c:v>
                </c:pt>
                <c:pt idx="45">
                  <c:v>8568</c:v>
                </c:pt>
                <c:pt idx="46">
                  <c:v>8543</c:v>
                </c:pt>
                <c:pt idx="47">
                  <c:v>8502</c:v>
                </c:pt>
                <c:pt idx="48">
                  <c:v>8237</c:v>
                </c:pt>
                <c:pt idx="49">
                  <c:v>8230</c:v>
                </c:pt>
                <c:pt idx="50">
                  <c:v>8047</c:v>
                </c:pt>
                <c:pt idx="51">
                  <c:v>7964</c:v>
                </c:pt>
                <c:pt idx="52">
                  <c:v>7420</c:v>
                </c:pt>
                <c:pt idx="53">
                  <c:v>7239</c:v>
                </c:pt>
                <c:pt idx="54">
                  <c:v>7224</c:v>
                </c:pt>
                <c:pt idx="55">
                  <c:v>6781</c:v>
                </c:pt>
                <c:pt idx="56">
                  <c:v>6367</c:v>
                </c:pt>
                <c:pt idx="57">
                  <c:v>6364</c:v>
                </c:pt>
                <c:pt idx="58">
                  <c:v>6329</c:v>
                </c:pt>
                <c:pt idx="59">
                  <c:v>6186</c:v>
                </c:pt>
                <c:pt idx="60">
                  <c:v>6162</c:v>
                </c:pt>
                <c:pt idx="61">
                  <c:v>6133</c:v>
                </c:pt>
                <c:pt idx="62">
                  <c:v>5915</c:v>
                </c:pt>
                <c:pt idx="63">
                  <c:v>5903</c:v>
                </c:pt>
                <c:pt idx="64">
                  <c:v>5896</c:v>
                </c:pt>
                <c:pt idx="65">
                  <c:v>5878</c:v>
                </c:pt>
                <c:pt idx="66">
                  <c:v>5299</c:v>
                </c:pt>
                <c:pt idx="67">
                  <c:v>5099</c:v>
                </c:pt>
                <c:pt idx="68">
                  <c:v>4813</c:v>
                </c:pt>
                <c:pt idx="69">
                  <c:v>3892</c:v>
                </c:pt>
                <c:pt idx="70">
                  <c:v>3625</c:v>
                </c:pt>
                <c:pt idx="71">
                  <c:v>3104</c:v>
                </c:pt>
                <c:pt idx="72">
                  <c:v>2748</c:v>
                </c:pt>
                <c:pt idx="73">
                  <c:v>1546</c:v>
                </c:pt>
                <c:pt idx="74">
                  <c:v>1529</c:v>
                </c:pt>
                <c:pt idx="75">
                  <c:v>1201</c:v>
                </c:pt>
                <c:pt idx="76">
                  <c:v>1082</c:v>
                </c:pt>
                <c:pt idx="7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F-4FDE-8C9C-C34874A2E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89373112"/>
        <c:axId val="1089373472"/>
      </c:barChart>
      <c:catAx>
        <c:axId val="108937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73472"/>
        <c:crosses val="autoZero"/>
        <c:auto val="1"/>
        <c:lblAlgn val="ctr"/>
        <c:lblOffset val="100"/>
        <c:noMultiLvlLbl val="0"/>
      </c:catAx>
      <c:valAx>
        <c:axId val="1089373472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9373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xlss_result.xlsx]Средн_кол-во_штук_в_чеке_по_кат!Сводная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7 Среднее кол-во штук в чеке</a:t>
            </a:r>
            <a:r>
              <a:rPr lang="en-US"/>
              <a:t> </a:t>
            </a:r>
            <a:r>
              <a:rPr lang="ru-RU"/>
              <a:t>по</a:t>
            </a:r>
            <a:r>
              <a:rPr lang="en-US"/>
              <a:t> </a:t>
            </a:r>
            <a:r>
              <a:rPr lang="ru-RU"/>
              <a:t>категориям</a:t>
            </a:r>
          </a:p>
        </c:rich>
      </c:tx>
      <c:layout>
        <c:manualLayout>
          <c:xMode val="edge"/>
          <c:yMode val="edge"/>
          <c:x val="0.3166087914089603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'Средн_кол-во_штук_в_чеке_по_кат'!$B$3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'Средн_кол-во_штук_в_чеке_по_кат'!$A$4:$A$24</c:f>
              <c:strCache>
                <c:ptCount val="20"/>
                <c:pt idx="0">
                  <c:v>Йогурт</c:v>
                </c:pt>
                <c:pt idx="1">
                  <c:v>Колбаса</c:v>
                </c:pt>
                <c:pt idx="2">
                  <c:v>Конфеты</c:v>
                </c:pt>
                <c:pt idx="3">
                  <c:v>Кофе</c:v>
                </c:pt>
                <c:pt idx="4">
                  <c:v>Крупа</c:v>
                </c:pt>
                <c:pt idx="5">
                  <c:v>Макароны</c:v>
                </c:pt>
                <c:pt idx="6">
                  <c:v>Молоко</c:v>
                </c:pt>
                <c:pt idx="7">
                  <c:v>Мясо</c:v>
                </c:pt>
                <c:pt idx="8">
                  <c:v>Овощи</c:v>
                </c:pt>
                <c:pt idx="9">
                  <c:v>Печенье</c:v>
                </c:pt>
                <c:pt idx="10">
                  <c:v>Рис</c:v>
                </c:pt>
                <c:pt idx="11">
                  <c:v>Рыба</c:v>
                </c:pt>
                <c:pt idx="12">
                  <c:v>Сахар</c:v>
                </c:pt>
                <c:pt idx="13">
                  <c:v>Сок</c:v>
                </c:pt>
                <c:pt idx="14">
                  <c:v>Соль</c:v>
                </c:pt>
                <c:pt idx="15">
                  <c:v>Сыр</c:v>
                </c:pt>
                <c:pt idx="16">
                  <c:v>Фрукты</c:v>
                </c:pt>
                <c:pt idx="17">
                  <c:v>Хлеб</c:v>
                </c:pt>
                <c:pt idx="18">
                  <c:v>Чай</c:v>
                </c:pt>
                <c:pt idx="19">
                  <c:v>Чипсы</c:v>
                </c:pt>
              </c:strCache>
            </c:strRef>
          </c:cat>
          <c:val>
            <c:numRef>
              <c:f>'Средн_кол-во_штук_в_чеке_по_кат'!$B$4:$B$24</c:f>
              <c:numCache>
                <c:formatCode>_-* #,##0_-;\-* #,##0_-;_-* "-"??_-;_-@_-</c:formatCode>
                <c:ptCount val="20"/>
                <c:pt idx="0">
                  <c:v>2.7627118644067798</c:v>
                </c:pt>
                <c:pt idx="1">
                  <c:v>2.8846153846153846</c:v>
                </c:pt>
                <c:pt idx="2">
                  <c:v>2.9838709677419355</c:v>
                </c:pt>
                <c:pt idx="3">
                  <c:v>3.0476190476190474</c:v>
                </c:pt>
                <c:pt idx="4">
                  <c:v>2.7209302325581395</c:v>
                </c:pt>
                <c:pt idx="5">
                  <c:v>2.941860465116279</c:v>
                </c:pt>
                <c:pt idx="6">
                  <c:v>3.2380952380952381</c:v>
                </c:pt>
                <c:pt idx="7">
                  <c:v>3.1272727272727274</c:v>
                </c:pt>
                <c:pt idx="8">
                  <c:v>3.1463414634146343</c:v>
                </c:pt>
                <c:pt idx="9">
                  <c:v>3.0638297872340425</c:v>
                </c:pt>
                <c:pt idx="10">
                  <c:v>3.1875</c:v>
                </c:pt>
                <c:pt idx="11">
                  <c:v>3.1282051282051282</c:v>
                </c:pt>
                <c:pt idx="12">
                  <c:v>3.1</c:v>
                </c:pt>
                <c:pt idx="13">
                  <c:v>2.9827586206896552</c:v>
                </c:pt>
                <c:pt idx="14">
                  <c:v>3.0754716981132075</c:v>
                </c:pt>
                <c:pt idx="15">
                  <c:v>2.6129032258064515</c:v>
                </c:pt>
                <c:pt idx="16">
                  <c:v>2.9534883720930232</c:v>
                </c:pt>
                <c:pt idx="17">
                  <c:v>3.0909090909090908</c:v>
                </c:pt>
                <c:pt idx="18">
                  <c:v>2.9272727272727272</c:v>
                </c:pt>
                <c:pt idx="19">
                  <c:v>3.0588235294117645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8-4D24-987D-75C5ACC5E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29256"/>
        <c:axId val="100828536"/>
      </c:lineChart>
      <c:catAx>
        <c:axId val="10082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28536"/>
        <c:crosses val="autoZero"/>
        <c:auto val="1"/>
        <c:lblAlgn val="ctr"/>
        <c:lblOffset val="100"/>
        <c:noMultiLvlLbl val="0"/>
      </c:catAx>
      <c:valAx>
        <c:axId val="10082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829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xlss_result.xlsx]продажи по категориям!Сводная таблица2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6 Сумма продаж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'продажи по категориям'!$B$3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'продажи по категориям'!$A$4:$A$24</c:f>
              <c:strCache>
                <c:ptCount val="20"/>
                <c:pt idx="0">
                  <c:v>Макароны</c:v>
                </c:pt>
                <c:pt idx="1">
                  <c:v>Конфеты</c:v>
                </c:pt>
                <c:pt idx="2">
                  <c:v>Мясо</c:v>
                </c:pt>
                <c:pt idx="3">
                  <c:v>Сок</c:v>
                </c:pt>
                <c:pt idx="4">
                  <c:v>Чипсы</c:v>
                </c:pt>
                <c:pt idx="5">
                  <c:v>Сахар</c:v>
                </c:pt>
                <c:pt idx="6">
                  <c:v>Соль</c:v>
                </c:pt>
                <c:pt idx="7">
                  <c:v>Сыр</c:v>
                </c:pt>
                <c:pt idx="8">
                  <c:v>Чай</c:v>
                </c:pt>
                <c:pt idx="9">
                  <c:v>Хлеб</c:v>
                </c:pt>
                <c:pt idx="10">
                  <c:v>Молоко</c:v>
                </c:pt>
                <c:pt idx="11">
                  <c:v>Йогурт</c:v>
                </c:pt>
                <c:pt idx="12">
                  <c:v>Печенье</c:v>
                </c:pt>
                <c:pt idx="13">
                  <c:v>Фрукты</c:v>
                </c:pt>
                <c:pt idx="14">
                  <c:v>Рыба</c:v>
                </c:pt>
                <c:pt idx="15">
                  <c:v>Овощи</c:v>
                </c:pt>
                <c:pt idx="16">
                  <c:v>Кофе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'продажи по категориям'!$B$4:$B$24</c:f>
              <c:numCache>
                <c:formatCode>_-* #,##0.0_-;\-* #,##0.0_-;_-* "-"??_-;_-@_-</c:formatCode>
                <c:ptCount val="20"/>
                <c:pt idx="0">
                  <c:v>66945</c:v>
                </c:pt>
                <c:pt idx="1">
                  <c:v>48797</c:v>
                </c:pt>
                <c:pt idx="2">
                  <c:v>47223</c:v>
                </c:pt>
                <c:pt idx="3">
                  <c:v>45862</c:v>
                </c:pt>
                <c:pt idx="4">
                  <c:v>44539</c:v>
                </c:pt>
                <c:pt idx="5">
                  <c:v>44513</c:v>
                </c:pt>
                <c:pt idx="6">
                  <c:v>44468</c:v>
                </c:pt>
                <c:pt idx="7">
                  <c:v>43903</c:v>
                </c:pt>
                <c:pt idx="8">
                  <c:v>43626</c:v>
                </c:pt>
                <c:pt idx="9">
                  <c:v>42352</c:v>
                </c:pt>
                <c:pt idx="10">
                  <c:v>42165</c:v>
                </c:pt>
                <c:pt idx="11">
                  <c:v>41745</c:v>
                </c:pt>
                <c:pt idx="12">
                  <c:v>39632</c:v>
                </c:pt>
                <c:pt idx="13">
                  <c:v>33802</c:v>
                </c:pt>
                <c:pt idx="14">
                  <c:v>32430</c:v>
                </c:pt>
                <c:pt idx="15">
                  <c:v>31147</c:v>
                </c:pt>
                <c:pt idx="16">
                  <c:v>30543</c:v>
                </c:pt>
                <c:pt idx="17">
                  <c:v>28053</c:v>
                </c:pt>
                <c:pt idx="18">
                  <c:v>27375</c:v>
                </c:pt>
                <c:pt idx="19">
                  <c:v>21313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1-4F64-A6B9-44E77A75E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757816"/>
        <c:axId val="655761056"/>
      </c:barChart>
      <c:catAx>
        <c:axId val="65575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761056"/>
        <c:crosses val="autoZero"/>
        <c:auto val="1"/>
        <c:lblAlgn val="ctr"/>
        <c:lblOffset val="100"/>
        <c:noMultiLvlLbl val="0"/>
      </c:catAx>
      <c:valAx>
        <c:axId val="655761056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5757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xlss_result.xlsx]Платежеспособность по странам!Сводная таблица3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12 Платежеспособность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'Платежеспособность по странам'!$B$3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'Платежеспособность по странам'!$A$4:$A$9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'Платежеспособность по странам'!$B$4:$B$9</c:f>
              <c:numCache>
                <c:formatCode>General</c:formatCode>
                <c:ptCount val="5"/>
                <c:pt idx="0">
                  <c:v>251330</c:v>
                </c:pt>
                <c:pt idx="1">
                  <c:v>163294</c:v>
                </c:pt>
                <c:pt idx="2">
                  <c:v>147543</c:v>
                </c:pt>
                <c:pt idx="3">
                  <c:v>139473</c:v>
                </c:pt>
                <c:pt idx="4">
                  <c:v>98793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E-4C3A-8F30-6F5C17D61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337456"/>
        <c:axId val="1118337816"/>
      </c:barChart>
      <c:catAx>
        <c:axId val="111833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8337816"/>
        <c:crosses val="autoZero"/>
        <c:auto val="1"/>
        <c:lblAlgn val="ctr"/>
        <c:lblOffset val="100"/>
        <c:noMultiLvlLbl val="0"/>
      </c:catAx>
      <c:valAx>
        <c:axId val="111833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833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xlss_result.xlsx]География клиентов!Сводная таблица3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8 Распределение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'География клиентов'!$A$2:$A$7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клиентов'!$B$2:$B$7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4-4442-AC37-1B469D8A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0143000"/>
        <c:axId val="340141200"/>
      </c:barChart>
      <c:catAx>
        <c:axId val="34014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141200"/>
        <c:crosses val="autoZero"/>
        <c:auto val="1"/>
        <c:lblAlgn val="ctr"/>
        <c:lblOffset val="100"/>
        <c:noMultiLvlLbl val="0"/>
      </c:catAx>
      <c:valAx>
        <c:axId val="3401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143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xlss_result.xlsx]Программа лояльности!Сводная таблица6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Программа</a:t>
            </a:r>
            <a:r>
              <a:rPr lang="ru-RU" baseline="0"/>
              <a:t> лояльности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'Программа лояльности'!$B$3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'Программа лояльности'!$A$4:$A$6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'Программа лояльности'!$B$4:$B$6</c:f>
              <c:numCache>
                <c:formatCode>General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E-4E73-887F-05A9EB179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4983248"/>
        <c:axId val="1114984328"/>
      </c:barChart>
      <c:catAx>
        <c:axId val="111498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984328"/>
        <c:crosses val="autoZero"/>
        <c:auto val="1"/>
        <c:lblAlgn val="ctr"/>
        <c:lblOffset val="100"/>
        <c:noMultiLvlLbl val="0"/>
      </c:catAx>
      <c:valAx>
        <c:axId val="111498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498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 11 xlss_result.xlsx]Имена!Сводная таблица1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Имена!$B$3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Имена!$A$4:$A$308</c:f>
              <c:strCache>
                <c:ptCount val="305"/>
                <c:pt idx="0">
                  <c:v>(пусто)</c:v>
                </c:pt>
                <c:pt idx="1">
                  <c:v>Август</c:v>
                </c:pt>
                <c:pt idx="2">
                  <c:v>Алексей</c:v>
                </c:pt>
                <c:pt idx="3">
                  <c:v> Аверьян</c:v>
                </c:pt>
                <c:pt idx="4">
                  <c:v>Алина</c:v>
                </c:pt>
                <c:pt idx="5">
                  <c:v> Алевтина</c:v>
                </c:pt>
                <c:pt idx="6">
                  <c:v>Амос</c:v>
                </c:pt>
                <c:pt idx="7">
                  <c:v> Амвросий</c:v>
                </c:pt>
                <c:pt idx="8">
                  <c:v>Андрон</c:v>
                </c:pt>
                <c:pt idx="9">
                  <c:v> Ангелина</c:v>
                </c:pt>
                <c:pt idx="10">
                  <c:v>Анжелика</c:v>
                </c:pt>
                <c:pt idx="11">
                  <c:v> Анжелика</c:v>
                </c:pt>
                <c:pt idx="12">
                  <c:v>Анна</c:v>
                </c:pt>
                <c:pt idx="13">
                  <c:v> Анисим</c:v>
                </c:pt>
                <c:pt idx="14">
                  <c:v>Анна </c:v>
                </c:pt>
                <c:pt idx="15">
                  <c:v> Антонина</c:v>
                </c:pt>
                <c:pt idx="16">
                  <c:v>Антонина</c:v>
                </c:pt>
                <c:pt idx="17">
                  <c:v> Арефий</c:v>
                </c:pt>
                <c:pt idx="18">
                  <c:v>Артемьева</c:v>
                </c:pt>
                <c:pt idx="19">
                  <c:v> Богдан</c:v>
                </c:pt>
                <c:pt idx="20">
                  <c:v>Афанасьев</c:v>
                </c:pt>
                <c:pt idx="21">
                  <c:v> Борислав</c:v>
                </c:pt>
                <c:pt idx="22">
                  <c:v>Бажен</c:v>
                </c:pt>
                <c:pt idx="23">
                  <c:v> Вадим</c:v>
                </c:pt>
                <c:pt idx="24">
                  <c:v>Боян</c:v>
                </c:pt>
                <c:pt idx="25">
                  <c:v> Викентий</c:v>
                </c:pt>
                <c:pt idx="26">
                  <c:v>Вадим</c:v>
                </c:pt>
                <c:pt idx="27">
                  <c:v> Геннадий</c:v>
                </c:pt>
                <c:pt idx="28">
                  <c:v>Валерьян</c:v>
                </c:pt>
                <c:pt idx="29">
                  <c:v> Гостомысл</c:v>
                </c:pt>
                <c:pt idx="30">
                  <c:v>Василиса</c:v>
                </c:pt>
                <c:pt idx="31">
                  <c:v> Демид</c:v>
                </c:pt>
                <c:pt idx="32">
                  <c:v>Велимир</c:v>
                </c:pt>
                <c:pt idx="33">
                  <c:v> Евдокия</c:v>
                </c:pt>
                <c:pt idx="34">
                  <c:v>Вера</c:v>
                </c:pt>
                <c:pt idx="35">
                  <c:v> Евстафий</c:v>
                </c:pt>
                <c:pt idx="36">
                  <c:v>Владилен</c:v>
                </c:pt>
                <c:pt idx="37">
                  <c:v> Екатерина</c:v>
                </c:pt>
                <c:pt idx="38">
                  <c:v>Галактион</c:v>
                </c:pt>
                <c:pt idx="39">
                  <c:v> Елизавета</c:v>
                </c:pt>
                <c:pt idx="40">
                  <c:v>Герман</c:v>
                </c:pt>
                <c:pt idx="41">
                  <c:v> Еремей</c:v>
                </c:pt>
                <c:pt idx="42">
                  <c:v>Глафира</c:v>
                </c:pt>
                <c:pt idx="43">
                  <c:v> Ефрем</c:v>
                </c:pt>
                <c:pt idx="44">
                  <c:v>Гордей</c:v>
                </c:pt>
                <c:pt idx="45">
                  <c:v> Зинаида</c:v>
                </c:pt>
                <c:pt idx="46">
                  <c:v>Гостомысл</c:v>
                </c:pt>
                <c:pt idx="47">
                  <c:v> Зоя</c:v>
                </c:pt>
                <c:pt idx="48">
                  <c:v>Дарья</c:v>
                </c:pt>
                <c:pt idx="49">
                  <c:v> Игорь</c:v>
                </c:pt>
                <c:pt idx="50">
                  <c:v>Дементий</c:v>
                </c:pt>
                <c:pt idx="51">
                  <c:v> Ирина</c:v>
                </c:pt>
                <c:pt idx="52">
                  <c:v>Демид</c:v>
                </c:pt>
                <c:pt idx="53">
                  <c:v> Касьян</c:v>
                </c:pt>
                <c:pt idx="54">
                  <c:v>Дмитрий</c:v>
                </c:pt>
                <c:pt idx="55">
                  <c:v> Климент</c:v>
                </c:pt>
                <c:pt idx="56">
                  <c:v>Евгения</c:v>
                </c:pt>
                <c:pt idx="57">
                  <c:v> Лидия</c:v>
                </c:pt>
                <c:pt idx="58">
                  <c:v>Евпраксия</c:v>
                </c:pt>
                <c:pt idx="59">
                  <c:v> Мартьян</c:v>
                </c:pt>
                <c:pt idx="60">
                  <c:v>Екатерина</c:v>
                </c:pt>
                <c:pt idx="61">
                  <c:v> Милан</c:v>
                </c:pt>
                <c:pt idx="62">
                  <c:v>Елена</c:v>
                </c:pt>
                <c:pt idx="63">
                  <c:v> Мина</c:v>
                </c:pt>
                <c:pt idx="64">
                  <c:v>Елисей</c:v>
                </c:pt>
                <c:pt idx="65">
                  <c:v> Натан</c:v>
                </c:pt>
                <c:pt idx="66">
                  <c:v>Еремей</c:v>
                </c:pt>
                <c:pt idx="67">
                  <c:v> Никифор</c:v>
                </c:pt>
                <c:pt idx="68">
                  <c:v>Захар</c:v>
                </c:pt>
                <c:pt idx="69">
                  <c:v> Нина</c:v>
                </c:pt>
                <c:pt idx="70">
                  <c:v>Измаил</c:v>
                </c:pt>
                <c:pt idx="71">
                  <c:v> Ольга</c:v>
                </c:pt>
                <c:pt idx="72">
                  <c:v>Ипат</c:v>
                </c:pt>
                <c:pt idx="73">
                  <c:v> Пантелеймон</c:v>
                </c:pt>
                <c:pt idx="74">
                  <c:v>Ипатий</c:v>
                </c:pt>
                <c:pt idx="75">
                  <c:v> Платон</c:v>
                </c:pt>
                <c:pt idx="76">
                  <c:v>Ираклий</c:v>
                </c:pt>
                <c:pt idx="77">
                  <c:v> Радислав</c:v>
                </c:pt>
                <c:pt idx="78">
                  <c:v>Карп</c:v>
                </c:pt>
                <c:pt idx="79">
                  <c:v> Ростислав</c:v>
                </c:pt>
                <c:pt idx="80">
                  <c:v>Кир</c:v>
                </c:pt>
                <c:pt idx="81">
                  <c:v> Серафим</c:v>
                </c:pt>
                <c:pt idx="82">
                  <c:v>Кира</c:v>
                </c:pt>
                <c:pt idx="83">
                  <c:v> Силантий</c:v>
                </c:pt>
                <c:pt idx="84">
                  <c:v>Конон</c:v>
                </c:pt>
                <c:pt idx="85">
                  <c:v> Станислав</c:v>
                </c:pt>
                <c:pt idx="86">
                  <c:v>Константин</c:v>
                </c:pt>
                <c:pt idx="87">
                  <c:v> Тамара</c:v>
                </c:pt>
                <c:pt idx="88">
                  <c:v>Корнил</c:v>
                </c:pt>
                <c:pt idx="89">
                  <c:v> Тимур</c:v>
                </c:pt>
                <c:pt idx="90">
                  <c:v>Ксения</c:v>
                </c:pt>
                <c:pt idx="91">
                  <c:v> Филипп</c:v>
                </c:pt>
                <c:pt idx="92">
                  <c:v>Лавр</c:v>
                </c:pt>
                <c:pt idx="93">
                  <c:v> Христофор</c:v>
                </c:pt>
                <c:pt idx="94">
                  <c:v>Лаврентий</c:v>
                </c:pt>
                <c:pt idx="95">
                  <c:v> Эмилия</c:v>
                </c:pt>
                <c:pt idx="96">
                  <c:v>Ладимир</c:v>
                </c:pt>
                <c:pt idx="97">
                  <c:v> Эрнест</c:v>
                </c:pt>
                <c:pt idx="98">
                  <c:v>Леон</c:v>
                </c:pt>
                <c:pt idx="99">
                  <c:v> Януарий</c:v>
                </c:pt>
                <c:pt idx="100">
                  <c:v>Леонид</c:v>
                </c:pt>
                <c:pt idx="101">
                  <c:v>Агап</c:v>
                </c:pt>
                <c:pt idx="102">
                  <c:v>Лидия</c:v>
                </c:pt>
                <c:pt idx="103">
                  <c:v>Александр</c:v>
                </c:pt>
                <c:pt idx="104">
                  <c:v>Лонгин</c:v>
                </c:pt>
                <c:pt idx="105">
                  <c:v> Акулина</c:v>
                </c:pt>
                <c:pt idx="106">
                  <c:v>Лука</c:v>
                </c:pt>
                <c:pt idx="107">
                  <c:v> Амос</c:v>
                </c:pt>
                <c:pt idx="108">
                  <c:v>Любим</c:v>
                </c:pt>
                <c:pt idx="109">
                  <c:v> Аникей</c:v>
                </c:pt>
                <c:pt idx="110">
                  <c:v>Любосмысл</c:v>
                </c:pt>
                <c:pt idx="111">
                  <c:v> Аполлинарий</c:v>
                </c:pt>
                <c:pt idx="112">
                  <c:v>Людмила</c:v>
                </c:pt>
                <c:pt idx="113">
                  <c:v> Борис</c:v>
                </c:pt>
                <c:pt idx="114">
                  <c:v>Майя</c:v>
                </c:pt>
                <c:pt idx="115">
                  <c:v> Валерьян</c:v>
                </c:pt>
                <c:pt idx="116">
                  <c:v>Максим</c:v>
                </c:pt>
                <c:pt idx="117">
                  <c:v> Глеб</c:v>
                </c:pt>
                <c:pt idx="118">
                  <c:v>Маргарита</c:v>
                </c:pt>
                <c:pt idx="119">
                  <c:v> Евграф</c:v>
                </c:pt>
                <c:pt idx="120">
                  <c:v>Марк</c:v>
                </c:pt>
                <c:pt idx="121">
                  <c:v> Евфросиния</c:v>
                </c:pt>
                <c:pt idx="122">
                  <c:v>Мартын</c:v>
                </c:pt>
                <c:pt idx="123">
                  <c:v> Епифан</c:v>
                </c:pt>
                <c:pt idx="124">
                  <c:v>Матвей</c:v>
                </c:pt>
                <c:pt idx="125">
                  <c:v> Захар</c:v>
                </c:pt>
                <c:pt idx="126">
                  <c:v>Мефодий</c:v>
                </c:pt>
                <c:pt idx="127">
                  <c:v> Иванна</c:v>
                </c:pt>
                <c:pt idx="128">
                  <c:v>Мирон</c:v>
                </c:pt>
                <c:pt idx="129">
                  <c:v> Карл</c:v>
                </c:pt>
                <c:pt idx="130">
                  <c:v>Михей</c:v>
                </c:pt>
                <c:pt idx="131">
                  <c:v> Леон</c:v>
                </c:pt>
                <c:pt idx="132">
                  <c:v>Назар</c:v>
                </c:pt>
                <c:pt idx="133">
                  <c:v> Матвей</c:v>
                </c:pt>
                <c:pt idx="134">
                  <c:v>Наталья</c:v>
                </c:pt>
                <c:pt idx="135">
                  <c:v> Модест</c:v>
                </c:pt>
                <c:pt idx="136">
                  <c:v>Никанор</c:v>
                </c:pt>
                <c:pt idx="137">
                  <c:v> Никодим</c:v>
                </c:pt>
                <c:pt idx="138">
                  <c:v>Октябрина</c:v>
                </c:pt>
                <c:pt idx="139">
                  <c:v> Панкратий</c:v>
                </c:pt>
                <c:pt idx="140">
                  <c:v>Олимпиада</c:v>
                </c:pt>
                <c:pt idx="141">
                  <c:v> Прасковья</c:v>
                </c:pt>
                <c:pt idx="142">
                  <c:v>Ольга</c:v>
                </c:pt>
                <c:pt idx="143">
                  <c:v> Севастьян</c:v>
                </c:pt>
                <c:pt idx="144">
                  <c:v>Панфил</c:v>
                </c:pt>
                <c:pt idx="145">
                  <c:v> Симон</c:v>
                </c:pt>
                <c:pt idx="146">
                  <c:v>Пахом</c:v>
                </c:pt>
                <c:pt idx="147">
                  <c:v> Творимир</c:v>
                </c:pt>
                <c:pt idx="148">
                  <c:v>Пелагея</c:v>
                </c:pt>
                <c:pt idx="149">
                  <c:v> Харлампий</c:v>
                </c:pt>
                <c:pt idx="150">
                  <c:v>Полина</c:v>
                </c:pt>
                <c:pt idx="151">
                  <c:v> Эраст</c:v>
                </c:pt>
                <c:pt idx="152">
                  <c:v>Потап</c:v>
                </c:pt>
                <c:pt idx="153">
                  <c:v>Авдей</c:v>
                </c:pt>
                <c:pt idx="154">
                  <c:v>Прокл</c:v>
                </c:pt>
                <c:pt idx="155">
                  <c:v>Якуб</c:v>
                </c:pt>
                <c:pt idx="156">
                  <c:v>Радислав</c:v>
                </c:pt>
                <c:pt idx="157">
                  <c:v> Андроник</c:v>
                </c:pt>
                <c:pt idx="158">
                  <c:v>Раиса</c:v>
                </c:pt>
                <c:pt idx="159">
                  <c:v> Аристарх</c:v>
                </c:pt>
                <c:pt idx="160">
                  <c:v>Родион</c:v>
                </c:pt>
                <c:pt idx="161">
                  <c:v> Всеслав</c:v>
                </c:pt>
                <c:pt idx="162">
                  <c:v>Рубен</c:v>
                </c:pt>
                <c:pt idx="163">
                  <c:v> Евсей</c:v>
                </c:pt>
                <c:pt idx="164">
                  <c:v>Савватий</c:v>
                </c:pt>
                <c:pt idx="165">
                  <c:v> Ефимовна</c:v>
                </c:pt>
                <c:pt idx="166">
                  <c:v>Самуил</c:v>
                </c:pt>
                <c:pt idx="167">
                  <c:v> Измаил</c:v>
                </c:pt>
                <c:pt idx="168">
                  <c:v>Светлана</c:v>
                </c:pt>
                <c:pt idx="169">
                  <c:v> Любомир</c:v>
                </c:pt>
                <c:pt idx="170">
                  <c:v>Сидор</c:v>
                </c:pt>
                <c:pt idx="171">
                  <c:v> Никита</c:v>
                </c:pt>
                <c:pt idx="172">
                  <c:v>Сила</c:v>
                </c:pt>
                <c:pt idx="173">
                  <c:v> Пелагея</c:v>
                </c:pt>
                <c:pt idx="174">
                  <c:v>Сократ</c:v>
                </c:pt>
                <c:pt idx="175">
                  <c:v> Сила</c:v>
                </c:pt>
                <c:pt idx="176">
                  <c:v>Станислав</c:v>
                </c:pt>
                <c:pt idx="177">
                  <c:v> Феофан</c:v>
                </c:pt>
                <c:pt idx="178">
                  <c:v>Таисия</c:v>
                </c:pt>
                <c:pt idx="179">
                  <c:v> Юлия</c:v>
                </c:pt>
                <c:pt idx="180">
                  <c:v>Творимир</c:v>
                </c:pt>
                <c:pt idx="181">
                  <c:v> Александра</c:v>
                </c:pt>
                <c:pt idx="182">
                  <c:v>Трифон </c:v>
                </c:pt>
                <c:pt idx="183">
                  <c:v> Боян</c:v>
                </c:pt>
                <c:pt idx="184">
                  <c:v>Фадей</c:v>
                </c:pt>
                <c:pt idx="185">
                  <c:v> Елена</c:v>
                </c:pt>
                <c:pt idx="186">
                  <c:v>Фаина</c:v>
                </c:pt>
                <c:pt idx="187">
                  <c:v> Клавдия</c:v>
                </c:pt>
                <c:pt idx="188">
                  <c:v>Федосий</c:v>
                </c:pt>
                <c:pt idx="189">
                  <c:v> Оксана</c:v>
                </c:pt>
                <c:pt idx="190">
                  <c:v>Феликс</c:v>
                </c:pt>
                <c:pt idx="191">
                  <c:v> Степан</c:v>
                </c:pt>
                <c:pt idx="192">
                  <c:v>Феофан</c:v>
                </c:pt>
                <c:pt idx="193">
                  <c:v> Аверкий</c:v>
                </c:pt>
                <c:pt idx="194">
                  <c:v>Флорентин</c:v>
                </c:pt>
                <c:pt idx="195">
                  <c:v> Дарья</c:v>
                </c:pt>
                <c:pt idx="196">
                  <c:v>Фрол</c:v>
                </c:pt>
                <c:pt idx="197">
                  <c:v> Милица</c:v>
                </c:pt>
                <c:pt idx="198">
                  <c:v>Харлампий</c:v>
                </c:pt>
                <c:pt idx="199">
                  <c:v> Чеслав</c:v>
                </c:pt>
                <c:pt idx="200">
                  <c:v>Христофор</c:v>
                </c:pt>
                <c:pt idx="201">
                  <c:v> Зосима</c:v>
                </c:pt>
                <c:pt idx="202">
                  <c:v>Эдуард</c:v>
                </c:pt>
                <c:pt idx="203">
                  <c:v> Анна</c:v>
                </c:pt>
                <c:pt idx="204">
                  <c:v>Элеонора</c:v>
                </c:pt>
                <c:pt idx="205">
                  <c:v> Ратмир</c:v>
                </c:pt>
                <c:pt idx="206">
                  <c:v>Юрий</c:v>
                </c:pt>
                <c:pt idx="207">
                  <c:v>Аггей</c:v>
                </c:pt>
                <c:pt idx="208">
                  <c:v>Давыд</c:v>
                </c:pt>
                <c:pt idx="209">
                  <c:v>Алла</c:v>
                </c:pt>
                <c:pt idx="210">
                  <c:v> Ульяна</c:v>
                </c:pt>
                <c:pt idx="211">
                  <c:v> Алина</c:v>
                </c:pt>
                <c:pt idx="212">
                  <c:v>Прасковья</c:v>
                </c:pt>
                <c:pt idx="213">
                  <c:v> Раиса</c:v>
                </c:pt>
                <c:pt idx="214">
                  <c:v> Наина</c:v>
                </c:pt>
                <c:pt idx="215">
                  <c:v>Анжела</c:v>
                </c:pt>
                <c:pt idx="216">
                  <c:v> Ия</c:v>
                </c:pt>
                <c:pt idx="217">
                  <c:v> Родион</c:v>
                </c:pt>
                <c:pt idx="218">
                  <c:v> Евгения</c:v>
                </c:pt>
                <c:pt idx="219">
                  <c:v>Лора</c:v>
                </c:pt>
                <c:pt idx="220">
                  <c:v>Ратибор</c:v>
                </c:pt>
                <c:pt idx="221">
                  <c:v>Арсений</c:v>
                </c:pt>
                <c:pt idx="222">
                  <c:v> Адриан</c:v>
                </c:pt>
                <c:pt idx="223">
                  <c:v> Маргарита</c:v>
                </c:pt>
                <c:pt idx="224">
                  <c:v>Евдокия</c:v>
                </c:pt>
                <c:pt idx="225">
                  <c:v> Антип</c:v>
                </c:pt>
                <c:pt idx="226">
                  <c:v> Кира</c:v>
                </c:pt>
                <c:pt idx="227">
                  <c:v>Мария</c:v>
                </c:pt>
                <c:pt idx="228">
                  <c:v>Евфросиния</c:v>
                </c:pt>
                <c:pt idx="229">
                  <c:v>Валерия</c:v>
                </c:pt>
                <c:pt idx="230">
                  <c:v> Агафья</c:v>
                </c:pt>
                <c:pt idx="231">
                  <c:v> Сократ</c:v>
                </c:pt>
                <c:pt idx="232">
                  <c:v> Евпраксия</c:v>
                </c:pt>
                <c:pt idx="233">
                  <c:v> Анжела</c:v>
                </c:pt>
                <c:pt idx="234">
                  <c:v>Елизавета</c:v>
                </c:pt>
                <c:pt idx="235">
                  <c:v>Виктория</c:v>
                </c:pt>
                <c:pt idx="236">
                  <c:v>Синклитикия</c:v>
                </c:pt>
                <c:pt idx="237">
                  <c:v>Никита</c:v>
                </c:pt>
                <c:pt idx="238">
                  <c:v>Елизар</c:v>
                </c:pt>
                <c:pt idx="239">
                  <c:v>Николай</c:v>
                </c:pt>
                <c:pt idx="240">
                  <c:v>Спиридон</c:v>
                </c:pt>
                <c:pt idx="241">
                  <c:v> Таисия</c:v>
                </c:pt>
                <c:pt idx="242">
                  <c:v> Олимпий</c:v>
                </c:pt>
                <c:pt idx="243">
                  <c:v> Милован</c:v>
                </c:pt>
                <c:pt idx="244">
                  <c:v> Ксения</c:v>
                </c:pt>
                <c:pt idx="245">
                  <c:v> Ираида</c:v>
                </c:pt>
                <c:pt idx="246">
                  <c:v>Татьяна</c:v>
                </c:pt>
                <c:pt idx="247">
                  <c:v>Амвросий</c:v>
                </c:pt>
                <c:pt idx="248">
                  <c:v>Жанна</c:v>
                </c:pt>
                <c:pt idx="249">
                  <c:v>Лариса</c:v>
                </c:pt>
                <c:pt idx="250">
                  <c:v> Орест</c:v>
                </c:pt>
                <c:pt idx="251">
                  <c:v> Майя</c:v>
                </c:pt>
                <c:pt idx="252">
                  <c:v> Ярослав</c:v>
                </c:pt>
                <c:pt idx="253">
                  <c:v> Светозар</c:v>
                </c:pt>
                <c:pt idx="254">
                  <c:v> Павел</c:v>
                </c:pt>
                <c:pt idx="255">
                  <c:v> Марфа</c:v>
                </c:pt>
                <c:pt idx="256">
                  <c:v>Феврония</c:v>
                </c:pt>
                <c:pt idx="257">
                  <c:v> Алла</c:v>
                </c:pt>
                <c:pt idx="258">
                  <c:v>Автоном</c:v>
                </c:pt>
                <c:pt idx="259">
                  <c:v>Виктор</c:v>
                </c:pt>
                <c:pt idx="260">
                  <c:v>Фёкла</c:v>
                </c:pt>
                <c:pt idx="261">
                  <c:v>Никодим</c:v>
                </c:pt>
                <c:pt idx="262">
                  <c:v>Ираида</c:v>
                </c:pt>
                <c:pt idx="263">
                  <c:v>Галина</c:v>
                </c:pt>
                <c:pt idx="264">
                  <c:v> Лев</c:v>
                </c:pt>
                <c:pt idx="265">
                  <c:v> Валентина</c:v>
                </c:pt>
                <c:pt idx="266">
                  <c:v>Филимон</c:v>
                </c:pt>
                <c:pt idx="267">
                  <c:v> Людмила</c:v>
                </c:pt>
                <c:pt idx="268">
                  <c:v>Ирина</c:v>
                </c:pt>
                <c:pt idx="269">
                  <c:v> Марина</c:v>
                </c:pt>
                <c:pt idx="270">
                  <c:v>Ия</c:v>
                </c:pt>
                <c:pt idx="271">
                  <c:v> Софон</c:v>
                </c:pt>
                <c:pt idx="272">
                  <c:v>Капитон</c:v>
                </c:pt>
                <c:pt idx="273">
                  <c:v>Нинель</c:v>
                </c:pt>
                <c:pt idx="274">
                  <c:v> Влас</c:v>
                </c:pt>
                <c:pt idx="275">
                  <c:v>Анастасия</c:v>
                </c:pt>
                <c:pt idx="276">
                  <c:v>Чеслав</c:v>
                </c:pt>
                <c:pt idx="277">
                  <c:v>Валентина</c:v>
                </c:pt>
                <c:pt idx="278">
                  <c:v> Анастасия</c:v>
                </c:pt>
                <c:pt idx="279">
                  <c:v> Татьяна</c:v>
                </c:pt>
                <c:pt idx="280">
                  <c:v> Лора</c:v>
                </c:pt>
                <c:pt idx="281">
                  <c:v> Ипполит</c:v>
                </c:pt>
                <c:pt idx="282">
                  <c:v> Полина</c:v>
                </c:pt>
                <c:pt idx="283">
                  <c:v> Светлана</c:v>
                </c:pt>
                <c:pt idx="284">
                  <c:v> Лука</c:v>
                </c:pt>
                <c:pt idx="285">
                  <c:v>Александра</c:v>
                </c:pt>
                <c:pt idx="286">
                  <c:v> Фома</c:v>
                </c:pt>
                <c:pt idx="287">
                  <c:v>Клавдия</c:v>
                </c:pt>
                <c:pt idx="288">
                  <c:v>Эммануил</c:v>
                </c:pt>
                <c:pt idx="289">
                  <c:v>Регина</c:v>
                </c:pt>
                <c:pt idx="290">
                  <c:v>Иванна</c:v>
                </c:pt>
                <c:pt idx="291">
                  <c:v> Элеонора</c:v>
                </c:pt>
                <c:pt idx="292">
                  <c:v>Зоя</c:v>
                </c:pt>
                <c:pt idx="293">
                  <c:v>Любомир</c:v>
                </c:pt>
                <c:pt idx="294">
                  <c:v>Марфа</c:v>
                </c:pt>
                <c:pt idx="295">
                  <c:v>Агата</c:v>
                </c:pt>
                <c:pt idx="296">
                  <c:v> Жанна</c:v>
                </c:pt>
                <c:pt idx="297">
                  <c:v> Вера</c:v>
                </c:pt>
                <c:pt idx="298">
                  <c:v>Вероника</c:v>
                </c:pt>
                <c:pt idx="299">
                  <c:v>Юлия</c:v>
                </c:pt>
                <c:pt idx="300">
                  <c:v>Эмилия</c:v>
                </c:pt>
                <c:pt idx="301">
                  <c:v> Феврония</c:v>
                </c:pt>
                <c:pt idx="302">
                  <c:v>Любовь</c:v>
                </c:pt>
                <c:pt idx="303">
                  <c:v> Василиса</c:v>
                </c:pt>
                <c:pt idx="304">
                  <c:v>Алевтина</c:v>
                </c:pt>
              </c:strCache>
            </c:strRef>
          </c:cat>
          <c:val>
            <c:numRef>
              <c:f>Имена!$B$4:$B$308</c:f>
              <c:numCache>
                <c:formatCode>General</c:formatCode>
                <c:ptCount val="305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8-4BEF-B893-C15C0C151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781000"/>
        <c:axId val="878781360"/>
      </c:barChart>
      <c:catAx>
        <c:axId val="87878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781360"/>
        <c:crosses val="autoZero"/>
        <c:auto val="1"/>
        <c:lblAlgn val="ctr"/>
        <c:lblOffset val="100"/>
        <c:noMultiLvlLbl val="0"/>
      </c:catAx>
      <c:valAx>
        <c:axId val="8787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78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9 Кол-во дней с момента регистрац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9 Кол-во дней с момента регистрац</a:t>
          </a:r>
        </a:p>
      </cx:txPr>
    </cx:title>
    <cx:plotArea>
      <cx:plotAreaRegion>
        <cx:series layoutId="clusteredColumn" uniqueId="{4BE2E100-B34C-4791-9952-1EA5DDE30C9E}">
          <cx:tx>
            <cx:txData>
              <cx:f>_xlchart.v1.2</cx:f>
              <cx:v>Кол-во дней с момента регистрации</cx:v>
            </cx:txData>
          </cx:tx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 w="38100">
      <a:solidFill>
        <a:schemeClr val="bg1">
          <a:lumMod val="85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Лайфтайм клиента в месяцах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10 Лайфтайм клиента в месяцах</a:t>
          </a:r>
        </a:p>
      </cx:txPr>
    </cx:title>
    <cx:plotArea>
      <cx:plotAreaRegion>
        <cx:plotSurface>
          <cx:spPr>
            <a:ln w="38100">
              <a:solidFill>
                <a:schemeClr val="bg1">
                  <a:lumMod val="85000"/>
                </a:schemeClr>
              </a:solidFill>
            </a:ln>
          </cx:spPr>
        </cx:plotSurface>
        <cx:series layoutId="clusteredColumn" uniqueId="{6B259131-EC9C-4B69-8D45-E24C7782731A}">
          <cx:tx>
            <cx:txData>
              <cx:f>_xlchart.v1.0</cx:f>
              <cx:v>Лайфтайм клиента</cx:v>
            </cx:txData>
          </cx:tx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Кол-во дней с момента регистрац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Кол-во дней с момента регистрац</a:t>
          </a:r>
        </a:p>
      </cx:txPr>
    </cx:title>
    <cx:plotArea>
      <cx:plotAreaRegion>
        <cx:series layoutId="clusteredColumn" uniqueId="{4BE2E100-B34C-4791-9952-1EA5DDE30C9E}">
          <cx:tx>
            <cx:txData>
              <cx:f>_xlchart.v1.4</cx:f>
              <cx:v>Кол-во дней с момента регистрации</cx:v>
            </cx:txData>
          </cx:tx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10 Лайфтайм клиента в месяцах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10 Лайфтайм клиента в месяцах</a:t>
          </a:r>
        </a:p>
      </cx:txPr>
    </cx:title>
    <cx:plotArea>
      <cx:plotAreaRegion>
        <cx:series layoutId="clusteredColumn" uniqueId="{6B259131-EC9C-4B69-8D45-E24C7782731A}">
          <cx:tx>
            <cx:txData>
              <cx:f>_xlchart.v1.6</cx:f>
              <cx:v>Лайфтайм клиента</cx:v>
            </cx:txData>
          </cx:tx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10 Лайфтайм клиента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10 Лайфтайм клиента</a:t>
          </a:r>
        </a:p>
      </cx:txPr>
    </cx:title>
    <cx:plotArea>
      <cx:plotAreaRegion>
        <cx:series layoutId="clusteredColumn" uniqueId="{6B259131-EC9C-4B69-8D45-E24C7782731A}">
          <cx:tx>
            <cx:txData>
              <cx:f>_xlchart.v1.8</cx:f>
              <cx:v>Лайфтайм клиента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microsoft.com/office/2014/relationships/chartEx" Target="../charts/chartEx2.xml"/><Relationship Id="rId4" Type="http://schemas.openxmlformats.org/officeDocument/2006/relationships/chart" Target="../charts/chart4.xml"/><Relationship Id="rId9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514351</xdr:colOff>
      <xdr:row>19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C162723-5AF2-4E63-B1AD-20B11FB7C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66675</xdr:rowOff>
    </xdr:from>
    <xdr:to>
      <xdr:col>9</xdr:col>
      <xdr:colOff>504825</xdr:colOff>
      <xdr:row>39</xdr:row>
      <xdr:rowOff>142875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F3C00F4-B628-4C18-88C3-8327D1A37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571499</xdr:colOff>
      <xdr:row>20</xdr:row>
      <xdr:rowOff>19050</xdr:rowOff>
    </xdr:from>
    <xdr:to>
      <xdr:col>19</xdr:col>
      <xdr:colOff>600075</xdr:colOff>
      <xdr:row>39</xdr:row>
      <xdr:rowOff>123825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5D91F9C6-4E3E-43DA-B3D9-92B8B25B7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40</xdr:row>
      <xdr:rowOff>104775</xdr:rowOff>
    </xdr:from>
    <xdr:to>
      <xdr:col>9</xdr:col>
      <xdr:colOff>514350</xdr:colOff>
      <xdr:row>58</xdr:row>
      <xdr:rowOff>95250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5AF911B-4DBE-419C-9640-76DBD7010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40</xdr:row>
      <xdr:rowOff>76199</xdr:rowOff>
    </xdr:from>
    <xdr:to>
      <xdr:col>19</xdr:col>
      <xdr:colOff>600075</xdr:colOff>
      <xdr:row>58</xdr:row>
      <xdr:rowOff>85724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43032A8E-07C1-41F3-BDF9-6BC758673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19050</xdr:colOff>
      <xdr:row>0</xdr:row>
      <xdr:rowOff>0</xdr:rowOff>
    </xdr:from>
    <xdr:to>
      <xdr:col>19</xdr:col>
      <xdr:colOff>581025</xdr:colOff>
      <xdr:row>19</xdr:row>
      <xdr:rowOff>38100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2715FD9A-6C04-45DB-8ED6-D8ADD770B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9</xdr:col>
      <xdr:colOff>552450</xdr:colOff>
      <xdr:row>73</xdr:row>
      <xdr:rowOff>76200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E9CCBB78-DE84-488C-8BC6-55304CC0E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59</xdr:row>
      <xdr:rowOff>0</xdr:rowOff>
    </xdr:from>
    <xdr:to>
      <xdr:col>19</xdr:col>
      <xdr:colOff>590550</xdr:colOff>
      <xdr:row>73</xdr:row>
      <xdr:rowOff>76200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950401D6-641E-421A-8F5E-25D0C14F9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74</xdr:row>
      <xdr:rowOff>0</xdr:rowOff>
    </xdr:from>
    <xdr:to>
      <xdr:col>9</xdr:col>
      <xdr:colOff>523875</xdr:colOff>
      <xdr:row>88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Диаграмма 21">
              <a:extLst>
                <a:ext uri="{FF2B5EF4-FFF2-40B4-BE49-F238E27FC236}">
                  <a16:creationId xmlns:a16="http://schemas.microsoft.com/office/drawing/2014/main" id="{B7D9AD9D-C22F-48A0-92B8-E8BA7D2BC3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097000"/>
              <a:ext cx="60102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74</xdr:row>
      <xdr:rowOff>0</xdr:rowOff>
    </xdr:from>
    <xdr:to>
      <xdr:col>19</xdr:col>
      <xdr:colOff>581025</xdr:colOff>
      <xdr:row>88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5A692D75-9812-46D0-A1CE-A19B074185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0" y="14097000"/>
              <a:ext cx="60674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89</xdr:row>
      <xdr:rowOff>0</xdr:rowOff>
    </xdr:from>
    <xdr:to>
      <xdr:col>9</xdr:col>
      <xdr:colOff>552450</xdr:colOff>
      <xdr:row>103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7EAE345-AC59-4451-9407-8A1A3CFEB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89</xdr:row>
      <xdr:rowOff>0</xdr:rowOff>
    </xdr:from>
    <xdr:to>
      <xdr:col>19</xdr:col>
      <xdr:colOff>561974</xdr:colOff>
      <xdr:row>103</xdr:row>
      <xdr:rowOff>76200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ECA97D0-F285-4DD8-B570-8EE894B1E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2</xdr:row>
      <xdr:rowOff>66675</xdr:rowOff>
    </xdr:from>
    <xdr:to>
      <xdr:col>13</xdr:col>
      <xdr:colOff>114300</xdr:colOff>
      <xdr:row>21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48DED1E-99BD-54C0-F6A1-8DA712809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</xdr:row>
      <xdr:rowOff>28574</xdr:rowOff>
    </xdr:from>
    <xdr:to>
      <xdr:col>16</xdr:col>
      <xdr:colOff>523874</xdr:colOff>
      <xdr:row>22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5E09F0-999F-82ED-90C9-CC9BD68D9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3</xdr:row>
      <xdr:rowOff>19050</xdr:rowOff>
    </xdr:from>
    <xdr:to>
      <xdr:col>13</xdr:col>
      <xdr:colOff>95250</xdr:colOff>
      <xdr:row>22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4A10FF1-A050-6B1D-BEFE-B13C22751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2</xdr:row>
      <xdr:rowOff>47625</xdr:rowOff>
    </xdr:from>
    <xdr:to>
      <xdr:col>16</xdr:col>
      <xdr:colOff>200025</xdr:colOff>
      <xdr:row>25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35B703-BED1-4108-A774-C616D30AE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4</xdr:row>
      <xdr:rowOff>19049</xdr:rowOff>
    </xdr:from>
    <xdr:to>
      <xdr:col>15</xdr:col>
      <xdr:colOff>495300</xdr:colOff>
      <xdr:row>21</xdr:row>
      <xdr:rowOff>47624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483E2B9-43C9-457C-AD0E-584734272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85725</xdr:rowOff>
    </xdr:from>
    <xdr:to>
      <xdr:col>12</xdr:col>
      <xdr:colOff>352425</xdr:colOff>
      <xdr:row>19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7B8543-F901-25C1-8B81-0F0887D38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3</xdr:row>
      <xdr:rowOff>142875</xdr:rowOff>
    </xdr:from>
    <xdr:to>
      <xdr:col>13</xdr:col>
      <xdr:colOff>514350</xdr:colOff>
      <xdr:row>18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AE8B62-7D44-3A3E-D397-A47FE64F1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314324</xdr:colOff>
      <xdr:row>2</xdr:row>
      <xdr:rowOff>123825</xdr:rowOff>
    </xdr:from>
    <xdr:to>
      <xdr:col>12</xdr:col>
      <xdr:colOff>304799</xdr:colOff>
      <xdr:row>18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C54B42-6A20-3FD1-4013-036424F1E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3</xdr:row>
      <xdr:rowOff>161925</xdr:rowOff>
    </xdr:from>
    <xdr:to>
      <xdr:col>10</xdr:col>
      <xdr:colOff>381000</xdr:colOff>
      <xdr:row>18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E30E21-F9DD-B31B-32B6-12650025A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3</xdr:row>
      <xdr:rowOff>0</xdr:rowOff>
    </xdr:from>
    <xdr:to>
      <xdr:col>13</xdr:col>
      <xdr:colOff>304800</xdr:colOff>
      <xdr:row>17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59ED3B0C-BF8E-4CEE-B2F7-C83329943B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0875" y="571500"/>
              <a:ext cx="5038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6</xdr:row>
      <xdr:rowOff>0</xdr:rowOff>
    </xdr:from>
    <xdr:to>
      <xdr:col>13</xdr:col>
      <xdr:colOff>28574</xdr:colOff>
      <xdr:row>20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E5253F33-CD12-45EB-B8EF-509BC79656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7999" y="1143000"/>
              <a:ext cx="4905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1152525</xdr:colOff>
      <xdr:row>7</xdr:row>
      <xdr:rowOff>19050</xdr:rowOff>
    </xdr:from>
    <xdr:to>
      <xdr:col>16</xdr:col>
      <xdr:colOff>1143000</xdr:colOff>
      <xdr:row>20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D7427DB8-B74B-49AA-A440-3403D0C91A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36125" y="1695450"/>
              <a:ext cx="457200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76200</xdr:rowOff>
    </xdr:from>
    <xdr:to>
      <xdr:col>9</xdr:col>
      <xdr:colOff>600075</xdr:colOff>
      <xdr:row>14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CE1EB4-E369-361E-A0B7-697826D00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1076325</xdr:colOff>
      <xdr:row>7</xdr:row>
      <xdr:rowOff>76200</xdr:rowOff>
    </xdr:from>
    <xdr:to>
      <xdr:col>5</xdr:col>
      <xdr:colOff>419100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9E6B1D-907F-B116-86BF-B1CFD5DD2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959FDA6-D65B-4876-921A-5AC1512AE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asan" refreshedDate="45889.647829050926" createdVersion="8" refreshedVersion="8" minRefreshableVersion="3" recordCount="1000" xr:uid="{7C8CEBF5-1BCA-4D5B-A46A-3543AAD1214B}">
  <cacheSource type="worksheet">
    <worksheetSource ref="A1:M1001" sheet="продажи"/>
  </cacheSource>
  <cacheFields count="16">
    <cacheField name="id чека" numFmtId="0">
      <sharedItems containsSemiMixedTypes="0" containsString="0" containsNumber="1" containsInteger="1" minValue="1" maxValue="1000"/>
    </cacheField>
    <cacheField name="id товара" numFmtId="0">
      <sharedItems containsSemiMixedTypes="0" containsString="0" containsNumber="1" containsInteger="1" minValue="1" maxValue="499"/>
    </cacheField>
    <cacheField name="цена за шт в рублях" numFmtId="0">
      <sharedItems containsSemiMixedTypes="0" containsString="0" containsNumber="1" containsInteger="1" minValue="50" maxValue="500"/>
    </cacheField>
    <cacheField name="кол-во штук в чеке" numFmtId="0">
      <sharedItems containsSemiMixedTypes="0" containsString="0" containsNumber="1" containsInteger="1" minValue="1" maxValue="5"/>
    </cacheField>
    <cacheField name="сумма чека" numFmtId="0">
      <sharedItems containsSemiMixedTypes="0" containsString="0" containsNumber="1" containsInteger="1" minValue="50" maxValue="2495"/>
    </cacheField>
    <cacheField name="дата создания чека" numFmtId="0">
      <sharedItems containsSemiMixedTypes="0" containsNonDate="0" containsDate="1" containsString="0" minDate="2023-01-01T00:00:00" maxDate="2024-05-23T00:00:00" count="436">
        <d v="2023-09-18T00:00:00"/>
        <d v="2023-06-06T00:00:00"/>
        <d v="2024-03-12T00:00:00"/>
        <d v="2023-12-02T00:00:00"/>
        <d v="2023-08-13T00:00:00"/>
        <d v="2023-12-21T00:00:00"/>
        <d v="2024-02-27T00:00:00"/>
        <d v="2024-02-05T00:00:00"/>
        <d v="2024-03-25T00:00:00"/>
        <d v="2023-04-16T00:00:00"/>
        <d v="2023-07-29T00:00:00"/>
        <d v="2024-04-12T00:00:00"/>
        <d v="2023-12-06T00:00:00"/>
        <d v="2023-07-26T00:00:00"/>
        <d v="2023-02-15T00:00:00"/>
        <d v="2023-02-23T00:00:00"/>
        <d v="2023-10-17T00:00:00"/>
        <d v="2023-07-09T00:00:00"/>
        <d v="2023-05-12T00:00:00"/>
        <d v="2023-08-20T00:00:00"/>
        <d v="2023-11-14T00:00:00"/>
        <d v="2023-07-16T00:00:00"/>
        <d v="2023-04-11T00:00:00"/>
        <d v="2023-02-09T00:00:00"/>
        <d v="2024-02-04T00:00:00"/>
        <d v="2023-09-05T00:00:00"/>
        <d v="2023-06-22T00:00:00"/>
        <d v="2024-03-17T00:00:00"/>
        <d v="2024-04-08T00:00:00"/>
        <d v="2024-05-02T00:00:00"/>
        <d v="2023-07-18T00:00:00"/>
        <d v="2024-03-01T00:00:00"/>
        <d v="2023-03-12T00:00:00"/>
        <d v="2023-12-07T00:00:00"/>
        <d v="2024-03-30T00:00:00"/>
        <d v="2023-02-14T00:00:00"/>
        <d v="2023-01-21T00:00:00"/>
        <d v="2023-07-22T00:00:00"/>
        <d v="2024-04-24T00:00:00"/>
        <d v="2023-07-10T00:00:00"/>
        <d v="2023-09-25T00:00:00"/>
        <d v="2023-09-27T00:00:00"/>
        <d v="2023-06-27T00:00:00"/>
        <d v="2023-11-04T00:00:00"/>
        <d v="2024-04-05T00:00:00"/>
        <d v="2023-02-19T00:00:00"/>
        <d v="2023-05-17T00:00:00"/>
        <d v="2023-10-09T00:00:00"/>
        <d v="2024-04-16T00:00:00"/>
        <d v="2023-11-09T00:00:00"/>
        <d v="2023-06-03T00:00:00"/>
        <d v="2024-01-17T00:00:00"/>
        <d v="2023-11-16T00:00:00"/>
        <d v="2024-03-05T00:00:00"/>
        <d v="2024-04-18T00:00:00"/>
        <d v="2023-10-15T00:00:00"/>
        <d v="2024-05-11T00:00:00"/>
        <d v="2023-02-24T00:00:00"/>
        <d v="2023-11-15T00:00:00"/>
        <d v="2023-01-08T00:00:00"/>
        <d v="2023-12-20T00:00:00"/>
        <d v="2023-07-07T00:00:00"/>
        <d v="2023-02-16T00:00:00"/>
        <d v="2023-03-04T00:00:00"/>
        <d v="2023-12-27T00:00:00"/>
        <d v="2023-02-18T00:00:00"/>
        <d v="2023-04-30T00:00:00"/>
        <d v="2023-03-15T00:00:00"/>
        <d v="2024-01-15T00:00:00"/>
        <d v="2023-03-08T00:00:00"/>
        <d v="2024-03-09T00:00:00"/>
        <d v="2023-01-04T00:00:00"/>
        <d v="2024-01-25T00:00:00"/>
        <d v="2023-07-02T00:00:00"/>
        <d v="2024-01-11T00:00:00"/>
        <d v="2023-08-26T00:00:00"/>
        <d v="2023-01-20T00:00:00"/>
        <d v="2023-03-19T00:00:00"/>
        <d v="2023-12-12T00:00:00"/>
        <d v="2023-01-13T00:00:00"/>
        <d v="2023-09-20T00:00:00"/>
        <d v="2023-06-02T00:00:00"/>
        <d v="2023-01-01T00:00:00"/>
        <d v="2023-10-27T00:00:00"/>
        <d v="2024-04-06T00:00:00"/>
        <d v="2024-05-12T00:00:00"/>
        <d v="2023-09-14T00:00:00"/>
        <d v="2023-10-19T00:00:00"/>
        <d v="2023-12-30T00:00:00"/>
        <d v="2023-11-05T00:00:00"/>
        <d v="2023-09-28T00:00:00"/>
        <d v="2023-01-16T00:00:00"/>
        <d v="2023-05-31T00:00:00"/>
        <d v="2024-02-09T00:00:00"/>
        <d v="2023-10-11T00:00:00"/>
        <d v="2023-06-05T00:00:00"/>
        <d v="2023-09-02T00:00:00"/>
        <d v="2023-11-29T00:00:00"/>
        <d v="2023-06-18T00:00:00"/>
        <d v="2023-04-17T00:00:00"/>
        <d v="2023-12-25T00:00:00"/>
        <d v="2023-03-28T00:00:00"/>
        <d v="2023-04-23T00:00:00"/>
        <d v="2023-12-17T00:00:00"/>
        <d v="2023-09-07T00:00:00"/>
        <d v="2023-01-22T00:00:00"/>
        <d v="2023-02-02T00:00:00"/>
        <d v="2023-11-11T00:00:00"/>
        <d v="2024-02-16T00:00:00"/>
        <d v="2024-03-31T00:00:00"/>
        <d v="2023-02-03T00:00:00"/>
        <d v="2024-05-21T00:00:00"/>
        <d v="2024-01-22T00:00:00"/>
        <d v="2024-03-10T00:00:00"/>
        <d v="2023-04-09T00:00:00"/>
        <d v="2024-03-28T00:00:00"/>
        <d v="2023-11-30T00:00:00"/>
        <d v="2023-03-24T00:00:00"/>
        <d v="2023-04-13T00:00:00"/>
        <d v="2024-04-02T00:00:00"/>
        <d v="2024-01-23T00:00:00"/>
        <d v="2024-05-22T00:00:00"/>
        <d v="2023-04-22T00:00:00"/>
        <d v="2023-05-24T00:00:00"/>
        <d v="2023-07-03T00:00:00"/>
        <d v="2024-03-21T00:00:00"/>
        <d v="2024-04-26T00:00:00"/>
        <d v="2024-02-14T00:00:00"/>
        <d v="2023-08-29T00:00:00"/>
        <d v="2023-05-23T00:00:00"/>
        <d v="2023-06-26T00:00:00"/>
        <d v="2023-12-04T00:00:00"/>
        <d v="2024-05-13T00:00:00"/>
        <d v="2024-02-21T00:00:00"/>
        <d v="2023-03-05T00:00:00"/>
        <d v="2023-09-16T00:00:00"/>
        <d v="2023-08-15T00:00:00"/>
        <d v="2023-05-05T00:00:00"/>
        <d v="2023-06-04T00:00:00"/>
        <d v="2023-03-27T00:00:00"/>
        <d v="2023-03-06T00:00:00"/>
        <d v="2023-12-23T00:00:00"/>
        <d v="2023-12-31T00:00:00"/>
        <d v="2023-10-03T00:00:00"/>
        <d v="2023-01-23T00:00:00"/>
        <d v="2024-04-30T00:00:00"/>
        <d v="2023-04-25T00:00:00"/>
        <d v="2024-02-19T00:00:00"/>
        <d v="2023-12-29T00:00:00"/>
        <d v="2023-09-06T00:00:00"/>
        <d v="2024-03-18T00:00:00"/>
        <d v="2024-03-02T00:00:00"/>
        <d v="2024-05-01T00:00:00"/>
        <d v="2023-08-27T00:00:00"/>
        <d v="2024-02-03T00:00:00"/>
        <d v="2023-10-13T00:00:00"/>
        <d v="2023-11-23T00:00:00"/>
        <d v="2024-05-09T00:00:00"/>
        <d v="2024-04-29T00:00:00"/>
        <d v="2024-01-18T00:00:00"/>
        <d v="2023-06-07T00:00:00"/>
        <d v="2023-02-12T00:00:00"/>
        <d v="2023-12-16T00:00:00"/>
        <d v="2024-03-29T00:00:00"/>
        <d v="2023-09-24T00:00:00"/>
        <d v="2024-02-13T00:00:00"/>
        <d v="2023-11-25T00:00:00"/>
        <d v="2023-02-10T00:00:00"/>
        <d v="2023-03-25T00:00:00"/>
        <d v="2023-08-16T00:00:00"/>
        <d v="2023-09-09T00:00:00"/>
        <d v="2023-11-21T00:00:00"/>
        <d v="2023-04-03T00:00:00"/>
        <d v="2023-02-26T00:00:00"/>
        <d v="2023-04-15T00:00:00"/>
        <d v="2023-06-15T00:00:00"/>
        <d v="2023-06-28T00:00:00"/>
        <d v="2023-12-05T00:00:00"/>
        <d v="2023-07-01T00:00:00"/>
        <d v="2024-03-20T00:00:00"/>
        <d v="2023-04-06T00:00:00"/>
        <d v="2023-04-02T00:00:00"/>
        <d v="2023-12-22T00:00:00"/>
        <d v="2023-10-25T00:00:00"/>
        <d v="2023-08-01T00:00:00"/>
        <d v="2023-05-30T00:00:00"/>
        <d v="2023-03-20T00:00:00"/>
        <d v="2024-02-29T00:00:00"/>
        <d v="2024-05-18T00:00:00"/>
        <d v="2024-05-15T00:00:00"/>
        <d v="2023-06-29T00:00:00"/>
        <d v="2024-04-27T00:00:00"/>
        <d v="2023-08-09T00:00:00"/>
        <d v="2023-03-11T00:00:00"/>
        <d v="2024-04-14T00:00:00"/>
        <d v="2023-05-13T00:00:00"/>
        <d v="2023-03-02T00:00:00"/>
        <d v="2024-03-14T00:00:00"/>
        <d v="2024-01-31T00:00:00"/>
        <d v="2023-05-11T00:00:00"/>
        <d v="2023-03-26T00:00:00"/>
        <d v="2023-04-12T00:00:00"/>
        <d v="2023-03-21T00:00:00"/>
        <d v="2024-01-09T00:00:00"/>
        <d v="2023-01-25T00:00:00"/>
        <d v="2024-04-23T00:00:00"/>
        <d v="2023-02-04T00:00:00"/>
        <d v="2023-01-07T00:00:00"/>
        <d v="2023-12-01T00:00:00"/>
        <d v="2024-02-07T00:00:00"/>
        <d v="2024-02-15T00:00:00"/>
        <d v="2023-04-29T00:00:00"/>
        <d v="2023-08-08T00:00:00"/>
        <d v="2023-01-19T00:00:00"/>
        <d v="2023-08-04T00:00:00"/>
        <d v="2023-04-21T00:00:00"/>
        <d v="2023-11-20T00:00:00"/>
        <d v="2024-05-04T00:00:00"/>
        <d v="2023-09-30T00:00:00"/>
        <d v="2023-08-28T00:00:00"/>
        <d v="2023-07-19T00:00:00"/>
        <d v="2024-04-09T00:00:00"/>
        <d v="2024-04-10T00:00:00"/>
        <d v="2024-03-11T00:00:00"/>
        <d v="2023-03-16T00:00:00"/>
        <d v="2023-01-17T00:00:00"/>
        <d v="2023-02-28T00:00:00"/>
        <d v="2024-02-01T00:00:00"/>
        <d v="2024-01-19T00:00:00"/>
        <d v="2024-01-08T00:00:00"/>
        <d v="2023-05-21T00:00:00"/>
        <d v="2023-06-30T00:00:00"/>
        <d v="2023-02-27T00:00:00"/>
        <d v="2023-09-23T00:00:00"/>
        <d v="2023-01-10T00:00:00"/>
        <d v="2023-08-30T00:00:00"/>
        <d v="2023-01-29T00:00:00"/>
        <d v="2024-01-06T00:00:00"/>
        <d v="2023-10-23T00:00:00"/>
        <d v="2023-04-24T00:00:00"/>
        <d v="2023-10-12T00:00:00"/>
        <d v="2023-09-15T00:00:00"/>
        <d v="2023-05-18T00:00:00"/>
        <d v="2023-11-28T00:00:00"/>
        <d v="2023-12-19T00:00:00"/>
        <d v="2023-06-10T00:00:00"/>
        <d v="2024-03-19T00:00:00"/>
        <d v="2024-03-15T00:00:00"/>
        <d v="2023-06-25T00:00:00"/>
        <d v="2023-08-23T00:00:00"/>
        <d v="2023-09-13T00:00:00"/>
        <d v="2023-10-28T00:00:00"/>
        <d v="2023-11-02T00:00:00"/>
        <d v="2023-06-14T00:00:00"/>
        <d v="2024-02-28T00:00:00"/>
        <d v="2024-02-24T00:00:00"/>
        <d v="2023-01-12T00:00:00"/>
        <d v="2023-04-20T00:00:00"/>
        <d v="2023-10-18T00:00:00"/>
        <d v="2024-01-01T00:00:00"/>
        <d v="2024-04-03T00:00:00"/>
        <d v="2023-05-08T00:00:00"/>
        <d v="2023-11-13T00:00:00"/>
        <d v="2023-12-14T00:00:00"/>
        <d v="2023-01-06T00:00:00"/>
        <d v="2024-03-23T00:00:00"/>
        <d v="2023-08-19T00:00:00"/>
        <d v="2023-05-29T00:00:00"/>
        <d v="2023-08-22T00:00:00"/>
        <d v="2023-07-25T00:00:00"/>
        <d v="2023-06-21T00:00:00"/>
        <d v="2023-11-08T00:00:00"/>
        <d v="2023-10-08T00:00:00"/>
        <d v="2023-05-06T00:00:00"/>
        <d v="2023-02-25T00:00:00"/>
        <d v="2024-02-18T00:00:00"/>
        <d v="2023-11-24T00:00:00"/>
        <d v="2023-08-05T00:00:00"/>
        <d v="2024-02-20T00:00:00"/>
        <d v="2024-03-22T00:00:00"/>
        <d v="2024-02-10T00:00:00"/>
        <d v="2024-03-24T00:00:00"/>
        <d v="2023-01-02T00:00:00"/>
        <d v="2023-11-01T00:00:00"/>
        <d v="2023-07-17T00:00:00"/>
        <d v="2023-08-07T00:00:00"/>
        <d v="2024-02-26T00:00:00"/>
        <d v="2023-11-03T00:00:00"/>
        <d v="2023-10-06T00:00:00"/>
        <d v="2024-03-06T00:00:00"/>
        <d v="2023-01-28T00:00:00"/>
        <d v="2023-03-01T00:00:00"/>
        <d v="2023-01-05T00:00:00"/>
        <d v="2023-09-29T00:00:00"/>
        <d v="2024-03-26T00:00:00"/>
        <d v="2023-05-28T00:00:00"/>
        <d v="2023-07-13T00:00:00"/>
        <d v="2023-05-20T00:00:00"/>
        <d v="2023-10-07T00:00:00"/>
        <d v="2023-11-26T00:00:00"/>
        <d v="2023-03-22T00:00:00"/>
        <d v="2023-01-09T00:00:00"/>
        <d v="2023-03-23T00:00:00"/>
        <d v="2023-10-20T00:00:00"/>
        <d v="2024-01-21T00:00:00"/>
        <d v="2024-04-28T00:00:00"/>
        <d v="2024-05-08T00:00:00"/>
        <d v="2023-10-14T00:00:00"/>
        <d v="2023-08-18T00:00:00"/>
        <d v="2023-04-05T00:00:00"/>
        <d v="2023-12-11T00:00:00"/>
        <d v="2023-09-19T00:00:00"/>
        <d v="2023-06-17T00:00:00"/>
        <d v="2024-01-13T00:00:00"/>
        <d v="2024-04-07T00:00:00"/>
        <d v="2023-06-01T00:00:00"/>
        <d v="2024-04-25T00:00:00"/>
        <d v="2024-02-22T00:00:00"/>
        <d v="2023-07-24T00:00:00"/>
        <d v="2023-09-04T00:00:00"/>
        <d v="2024-01-10T00:00:00"/>
        <d v="2024-03-08T00:00:00"/>
        <d v="2023-08-17T00:00:00"/>
        <d v="2023-11-17T00:00:00"/>
        <d v="2024-01-26T00:00:00"/>
        <d v="2023-12-09T00:00:00"/>
        <d v="2024-03-13T00:00:00"/>
        <d v="2023-02-08T00:00:00"/>
        <d v="2023-03-31T00:00:00"/>
        <d v="2024-01-20T00:00:00"/>
        <d v="2023-09-08T00:00:00"/>
        <d v="2023-12-24T00:00:00"/>
        <d v="2023-07-14T00:00:00"/>
        <d v="2024-04-15T00:00:00"/>
        <d v="2023-03-17T00:00:00"/>
        <d v="2023-05-01T00:00:00"/>
        <d v="2024-02-08T00:00:00"/>
        <d v="2023-10-04T00:00:00"/>
        <d v="2024-03-04T00:00:00"/>
        <d v="2024-03-27T00:00:00"/>
        <d v="2024-04-04T00:00:00"/>
        <d v="2023-09-17T00:00:00"/>
        <d v="2023-05-27T00:00:00"/>
        <d v="2023-12-03T00:00:00"/>
        <d v="2023-01-24T00:00:00"/>
        <d v="2023-04-07T00:00:00"/>
        <d v="2023-07-30T00:00:00"/>
        <d v="2023-09-12T00:00:00"/>
        <d v="2023-06-11T00:00:00"/>
        <d v="2023-02-01T00:00:00"/>
        <d v="2023-07-05T00:00:00"/>
        <d v="2023-05-09T00:00:00"/>
        <d v="2023-12-18T00:00:00"/>
        <d v="2024-04-20T00:00:00"/>
        <d v="2023-09-22T00:00:00"/>
        <d v="2023-05-15T00:00:00"/>
        <d v="2023-03-14T00:00:00"/>
        <d v="2024-04-11T00:00:00"/>
        <d v="2024-01-27T00:00:00"/>
        <d v="2023-05-07T00:00:00"/>
        <d v="2024-04-22T00:00:00"/>
        <d v="2023-08-10T00:00:00"/>
        <d v="2023-09-26T00:00:00"/>
        <d v="2024-05-17T00:00:00"/>
        <d v="2023-10-24T00:00:00"/>
        <d v="2024-03-07T00:00:00"/>
        <d v="2023-01-03T00:00:00"/>
        <d v="2023-02-22T00:00:00"/>
        <d v="2023-08-12T00:00:00"/>
        <d v="2023-03-29T00:00:00"/>
        <d v="2023-07-06T00:00:00"/>
        <d v="2023-03-18T00:00:00"/>
        <d v="2024-01-04T00:00:00"/>
        <d v="2023-12-26T00:00:00"/>
        <d v="2023-12-28T00:00:00"/>
        <d v="2024-02-02T00:00:00"/>
        <d v="2023-06-09T00:00:00"/>
        <d v="2024-05-03T00:00:00"/>
        <d v="2024-01-02T00:00:00"/>
        <d v="2023-08-02T00:00:00"/>
        <d v="2023-10-30T00:00:00"/>
        <d v="2023-01-18T00:00:00"/>
        <d v="2024-05-19T00:00:00"/>
        <d v="2024-01-24T00:00:00"/>
        <d v="2023-07-15T00:00:00"/>
        <d v="2023-04-04T00:00:00"/>
        <d v="2024-01-05T00:00:00"/>
        <d v="2023-02-07T00:00:00"/>
        <d v="2023-04-01T00:00:00"/>
        <d v="2024-05-10T00:00:00"/>
        <d v="2023-06-23T00:00:00"/>
        <d v="2023-03-07T00:00:00"/>
        <d v="2023-08-06T00:00:00"/>
        <d v="2023-07-27T00:00:00"/>
        <d v="2023-05-19T00:00:00"/>
        <d v="2024-01-12T00:00:00"/>
        <d v="2023-04-18T00:00:00"/>
        <d v="2023-11-07T00:00:00"/>
        <d v="2023-05-16T00:00:00"/>
        <d v="2024-01-07T00:00:00"/>
        <d v="2024-02-11T00:00:00"/>
        <d v="2023-08-25T00:00:00"/>
        <d v="2023-11-06T00:00:00"/>
        <d v="2023-10-31T00:00:00"/>
        <d v="2023-12-15T00:00:00"/>
        <d v="2024-01-03T00:00:00"/>
        <d v="2024-05-07T00:00:00"/>
        <d v="2023-07-21T00:00:00"/>
        <d v="2024-01-28T00:00:00"/>
        <d v="2024-04-13T00:00:00"/>
        <d v="2023-08-21T00:00:00"/>
        <d v="2023-05-14T00:00:00"/>
        <d v="2023-06-16T00:00:00"/>
        <d v="2023-05-10T00:00:00"/>
        <d v="2024-01-29T00:00:00"/>
        <d v="2023-07-28T00:00:00"/>
        <d v="2023-05-04T00:00:00"/>
        <d v="2023-11-10T00:00:00"/>
        <d v="2023-07-04T00:00:00"/>
        <d v="2023-02-13T00:00:00"/>
        <d v="2024-04-19T00:00:00"/>
        <d v="2023-01-11T00:00:00"/>
        <d v="2023-04-14T00:00:00"/>
        <d v="2023-06-24T00:00:00"/>
        <d v="2023-02-05T00:00:00"/>
        <d v="2024-02-17T00:00:00"/>
        <d v="2023-04-10T00:00:00"/>
        <d v="2023-06-20T00:00:00"/>
        <d v="2023-05-26T00:00:00"/>
        <d v="2023-11-22T00:00:00"/>
        <d v="2023-07-31T00:00:00"/>
        <d v="2023-01-14T00:00:00"/>
        <d v="2023-11-19T00:00:00"/>
        <d v="2023-03-10T00:00:00"/>
        <d v="2023-12-13T00:00:00"/>
        <d v="2023-11-18T00:00:00"/>
      </sharedItems>
      <fieldGroup par="15"/>
    </cacheField>
    <cacheField name="магазин покупки" numFmtId="0">
      <sharedItems count="20"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 minValue="1" maxValue="499"/>
    </cacheField>
    <cacheField name="Категория товара" numFmtId="0">
      <sharedItems/>
    </cacheField>
    <cacheField name="Поставщик" numFmtId="0">
      <sharedItems/>
    </cacheField>
    <cacheField name="Средняя цена в категории за штуку" numFmtId="165">
      <sharedItems containsSemiMixedTypes="0" containsString="0" containsNumber="1" minValue="249.02380952380952" maxValue="300.31818181818181"/>
    </cacheField>
    <cacheField name="Выгода клиента" numFmtId="9">
      <sharedItems containsSemiMixedTypes="0" containsString="0" containsNumber="1" minValue="-0.81562185719074753" maxValue="1.0078401376804664"/>
    </cacheField>
    <cacheField name="средняя стоимость в категории по поставщику." numFmtId="0">
      <sharedItems containsSemiMixedTypes="0" containsString="0" containsNumber="1" containsInteger="1" minValue="82" maxValue="10237"/>
    </cacheField>
    <cacheField name="Месяцы (дата создания чека)" numFmtId="0" databaseField="0">
      <fieldGroup base="5">
        <rangePr groupBy="months" startDate="2023-01-01T00:00:00" endDate="2024-05-23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5.2024"/>
        </groupItems>
      </fieldGroup>
    </cacheField>
    <cacheField name="Кварталы (дата создания чека)" numFmtId="0" databaseField="0">
      <fieldGroup base="5">
        <rangePr groupBy="quarters" startDate="2023-01-01T00:00:00" endDate="2024-05-23T00:00:00"/>
        <groupItems count="6">
          <s v="&lt;01.01.2023"/>
          <s v="Кв-л1"/>
          <s v="Кв-л2"/>
          <s v="Кв-л3"/>
          <s v="Кв-л4"/>
          <s v="&gt;23.05.2024"/>
        </groupItems>
      </fieldGroup>
    </cacheField>
    <cacheField name="Годы (дата создания чека)" numFmtId="0" databaseField="0">
      <fieldGroup base="5">
        <rangePr groupBy="years" startDate="2023-01-01T00:00:00" endDate="2024-05-23T00:00:00"/>
        <groupItems count="4">
          <s v="&lt;01.01.2023"/>
          <s v="2023"/>
          <s v="2024"/>
          <s v="&gt;23.05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asan" refreshedDate="45889.699114120369" createdVersion="8" refreshedVersion="8" minRefreshableVersion="3" recordCount="1000" xr:uid="{41402552-AF09-4155-8469-A38AADE57F0F}">
  <cacheSource type="worksheet">
    <worksheetSource name="Таблица1"/>
  </cacheSource>
  <cacheFields count="21">
    <cacheField name="id чека" numFmtId="0">
      <sharedItems containsSemiMixedTypes="0" containsString="0" containsNumber="1" containsInteger="1" minValue="1" maxValue="1000"/>
    </cacheField>
    <cacheField name="id товара" numFmtId="0">
      <sharedItems containsSemiMixedTypes="0" containsString="0" containsNumber="1" containsInteger="1" minValue="1" maxValue="499"/>
    </cacheField>
    <cacheField name="цена за шт в рублях" numFmtId="0">
      <sharedItems containsSemiMixedTypes="0" containsString="0" containsNumber="1" containsInteger="1" minValue="50" maxValue="500"/>
    </cacheField>
    <cacheField name="кол-во штук в чеке" numFmtId="0">
      <sharedItems containsSemiMixedTypes="0" containsString="0" containsNumber="1" containsInteger="1" minValue="1" maxValue="5"/>
    </cacheField>
    <cacheField name="сумма чека" numFmtId="0">
      <sharedItems containsSemiMixedTypes="0" containsString="0" containsNumber="1" containsInteger="1" minValue="50" maxValue="2495"/>
    </cacheField>
    <cacheField name="дата создания чека" numFmtId="0">
      <sharedItems containsSemiMixedTypes="0" containsNonDate="0" containsDate="1" containsString="0" minDate="2023-01-01T00:00:00" maxDate="2024-05-23T00:00:00"/>
    </cacheField>
    <cacheField name="магазин покупки" numFmtId="0">
      <sharedItems/>
    </cacheField>
    <cacheField name="id клиента" numFmtId="0">
      <sharedItems containsSemiMixedTypes="0" containsString="0" containsNumber="1" containsInteger="1" minValue="1" maxValue="499"/>
    </cacheField>
    <cacheField name="Категория товара" numFmtId="0">
      <sharedItems count="20"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Поставщик" numFmtId="0">
      <sharedItems count="78"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ingles"/>
        <s v="Простоквашино"/>
        <s v="Хлебный Дом"/>
        <s v="Овощной ряд"/>
        <s v="Санта Бремор"/>
        <s v="President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Русское море"/>
        <s v="Активиа"/>
        <s v="Гавриш"/>
        <s v="Русский Хлеб"/>
        <s v="Русская картошка"/>
        <s v="Nescafe"/>
        <s v="Беллакт"/>
        <s v="Балтийский берег"/>
        <s v="Националь"/>
        <s v="Hochland"/>
        <s v="Estrella"/>
        <s v="Славянская"/>
        <s v="Фруктовый Рай"/>
        <s v="Домик в деревне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Семко"/>
        <s v="Green Garden"/>
        <s v="Tchibo"/>
        <s v="Вимм-Билль-Данн"/>
      </sharedItems>
    </cacheField>
    <cacheField name="Средняя цена в категории за штуку" numFmtId="165">
      <sharedItems containsSemiMixedTypes="0" containsString="0" containsNumber="1" minValue="249.02380952380952" maxValue="300.31818181818181"/>
    </cacheField>
    <cacheField name="Выгода клиента" numFmtId="9">
      <sharedItems containsSemiMixedTypes="0" containsString="0" containsNumber="1" minValue="-0.81562185719074753" maxValue="1.0078401376804664"/>
    </cacheField>
    <cacheField name="средняя стоимость в категории по поставщику." numFmtId="0">
      <sharedItems containsSemiMixedTypes="0" containsString="0" containsNumber="1" containsInteger="1" minValue="82" maxValue="10237"/>
    </cacheField>
    <cacheField name="Выгода для клиента внутри поставщика." numFmtId="9">
      <sharedItems containsSemiMixedTypes="0" containsString="0" containsNumber="1" minValue="-0.99412612213232854" maxValue="0"/>
    </cacheField>
    <cacheField name="Дата регистрации клента" numFmtId="14">
      <sharedItems containsSemiMixedTypes="0" containsNonDate="0" containsDate="1" containsString="0" minDate="2022-01-01T00:00:00" maxDate="2022-12-30T00:00:00"/>
    </cacheField>
    <cacheField name="Кол-во дней с момента регистрации" numFmtId="0">
      <sharedItems containsSemiMixedTypes="0" containsString="0" containsNumber="1" containsInteger="1" minValue="8" maxValue="866"/>
    </cacheField>
    <cacheField name="Текущая дата" numFmtId="14">
      <sharedItems containsSemiMixedTypes="0" containsNonDate="0" containsDate="1" containsString="0" minDate="2025-08-20T00:00:00" maxDate="2025-08-21T00:00:00"/>
    </cacheField>
    <cacheField name="Лайфтайм клиента" numFmtId="1">
      <sharedItems containsSemiMixedTypes="0" containsString="0" containsNumber="1" minValue="32.166666666666664" maxValue="44.233333333333334" count="253">
        <n v="38.06666666666667"/>
        <n v="37.966666666666669"/>
        <n v="34.9"/>
        <n v="41.533333333333331"/>
        <n v="43.733333333333334"/>
        <n v="43.56666666666667"/>
        <n v="38.366666666666667"/>
        <n v="42.333333333333336"/>
        <n v="40.166666666666664"/>
        <n v="39.666666666666664"/>
        <n v="41.166666666666664"/>
        <n v="41.1"/>
        <n v="34.366666666666667"/>
        <n v="36.5"/>
        <n v="35.633333333333333"/>
        <n v="40.366666666666667"/>
        <n v="42.866666666666667"/>
        <n v="33.200000000000003"/>
        <n v="34.06666666666667"/>
        <n v="37.766666666666666"/>
        <n v="40.466666666666669"/>
        <n v="38.700000000000003"/>
        <n v="44.2"/>
        <n v="41.2"/>
        <n v="40"/>
        <n v="36.833333333333336"/>
        <n v="42.666666666666664"/>
        <n v="41.233333333333334"/>
        <n v="43.7"/>
        <n v="39.866666666666667"/>
        <n v="41.333333333333336"/>
        <n v="34.4"/>
        <n v="37.6"/>
        <n v="36.06666666666667"/>
        <n v="35.200000000000003"/>
        <n v="39.4"/>
        <n v="33.233333333333334"/>
        <n v="37.4"/>
        <n v="32.166666666666664"/>
        <n v="32.633333333333333"/>
        <n v="33.6"/>
        <n v="42.7"/>
        <n v="35.4"/>
        <n v="32.966666666666669"/>
        <n v="37.133333333333333"/>
        <n v="37.43333333333333"/>
        <n v="37.866666666666667"/>
        <n v="42.266666666666666"/>
        <n v="34.466666666666669"/>
        <n v="36.466666666666669"/>
        <n v="39.833333333333336"/>
        <n v="34.633333333333333"/>
        <n v="40.200000000000003"/>
        <n v="42.233333333333334"/>
        <n v="34.833333333333336"/>
        <n v="44.033333333333331"/>
        <n v="39.299999999999997"/>
        <n v="33.56666666666667"/>
        <n v="41.766666666666666"/>
        <n v="40.93333333333333"/>
        <n v="35.233333333333334"/>
        <n v="36.866666666666667"/>
        <n v="41.466666666666669"/>
        <n v="37.299999999999997"/>
        <n v="37.366666666666667"/>
        <n v="37.93333333333333"/>
        <n v="32.333333333333336"/>
        <n v="35.799999999999997"/>
        <n v="39.966666666666669"/>
        <n v="34.200000000000003"/>
        <n v="42.06666666666667"/>
        <n v="34.93333333333333"/>
        <n v="37.333333333333336"/>
        <n v="43.466666666666669"/>
        <n v="36.43333333333333"/>
        <n v="37.56666666666667"/>
        <n v="33.1"/>
        <n v="39.166666666666664"/>
        <n v="43.5"/>
        <n v="42.8"/>
        <n v="36.166666666666664"/>
        <n v="35.56666666666667"/>
        <n v="43.966666666666669"/>
        <n v="41.666666666666664"/>
        <n v="38.200000000000003"/>
        <n v="42.93333333333333"/>
        <n v="35.6"/>
        <n v="43"/>
        <n v="32.93333333333333"/>
        <n v="33.93333333333333"/>
        <n v="38.966666666666669"/>
        <n v="41.966666666666669"/>
        <n v="39.266666666666666"/>
        <n v="33.333333333333336"/>
        <n v="41.9"/>
        <n v="43.866666666666667"/>
        <n v="38.5"/>
        <n v="32.43333333333333"/>
        <n v="43.6"/>
        <n v="43.766666666666666"/>
        <n v="34.299999999999997"/>
        <n v="33.533333333333331"/>
        <n v="40.700000000000003"/>
        <n v="40.799999999999997"/>
        <n v="41.366666666666667"/>
        <n v="39.200000000000003"/>
        <n v="39.06666666666667"/>
        <n v="40.533333333333331"/>
        <n v="33.799999999999997"/>
        <n v="39.1"/>
        <n v="36.233333333333334"/>
        <n v="32.233333333333334"/>
        <n v="40.56666666666667"/>
        <n v="39.700000000000003"/>
        <n v="38.633333333333333"/>
        <n v="38.4"/>
        <n v="32.4"/>
        <n v="33.299999999999997"/>
        <n v="35.266666666666666"/>
        <n v="37.266666666666666"/>
        <n v="39.6"/>
        <n v="39.533333333333331"/>
        <n v="42.43333333333333"/>
        <n v="40.1"/>
        <n v="42.2"/>
        <n v="43.133333333333333"/>
        <n v="36.533333333333331"/>
        <n v="44.133333333333333"/>
        <n v="42.733333333333334"/>
        <n v="44.166666666666664"/>
        <n v="35.93333333333333"/>
        <n v="32.5"/>
        <n v="36.733333333333334"/>
        <n v="33.43333333333333"/>
        <n v="40.6"/>
        <n v="43.366666666666667"/>
        <n v="41.8"/>
        <n v="32.799999999999997"/>
        <n v="41.266666666666666"/>
        <n v="38.766666666666666"/>
        <n v="42.133333333333333"/>
        <n v="33.766666666666666"/>
        <n v="36.93333333333333"/>
        <n v="39.43333333333333"/>
        <n v="37.533333333333331"/>
        <n v="36.366666666666667"/>
        <n v="43.4"/>
        <n v="38.166666666666664"/>
        <n v="42.366666666666667"/>
        <n v="43.633333333333333"/>
        <n v="41.133333333333333"/>
        <n v="41.5"/>
        <n v="43.9"/>
        <n v="44.233333333333334"/>
        <n v="40.133333333333333"/>
        <n v="34.333333333333336"/>
        <n v="38.833333333333336"/>
        <n v="34"/>
        <n v="42.3"/>
        <n v="39.9"/>
        <n v="40.5"/>
        <n v="37.06666666666667"/>
        <n v="39.93333333333333"/>
        <n v="41.733333333333334"/>
        <n v="39.56666666666667"/>
        <n v="37.700000000000003"/>
        <n v="39.5"/>
        <n v="40.766666666666666"/>
        <n v="35.43333333333333"/>
        <n v="34.1"/>
        <n v="42.033333333333331"/>
        <n v="37.9"/>
        <n v="41.93333333333333"/>
        <n v="37.233333333333334"/>
        <n v="38.56666666666667"/>
        <n v="41.033333333333331"/>
        <n v="34.700000000000003"/>
        <n v="37.5"/>
        <n v="39.466666666666669"/>
        <n v="43.8"/>
        <n v="36.133333333333333"/>
        <n v="35.466666666666669"/>
        <n v="40.666666666666664"/>
        <n v="33.133333333333333"/>
        <n v="40.9"/>
        <n v="37"/>
        <n v="32.766666666666666"/>
        <n v="35.666666666666664"/>
        <n v="34.033333333333331"/>
        <n v="32.9"/>
        <n v="40.733333333333334"/>
        <n v="32.299999999999997"/>
        <n v="32.366666666666667"/>
        <n v="36.6"/>
        <n v="33"/>
        <n v="34.233333333333334"/>
        <n v="32.200000000000003"/>
        <n v="39.033333333333331"/>
        <n v="39.633333333333333"/>
        <n v="42.56666666666667"/>
        <n v="38.733333333333334"/>
        <n v="33.9"/>
        <n v="38.866666666666667"/>
        <n v="36.9"/>
        <n v="32.56666666666667"/>
        <n v="38.233333333333334"/>
        <n v="34.43333333333333"/>
        <n v="36.333333333333336"/>
        <n v="33.733333333333334"/>
        <n v="40.43333333333333"/>
        <n v="42.9"/>
        <n v="38.6"/>
        <n v="38.533333333333331"/>
        <n v="33.666666666666664"/>
        <n v="43.43333333333333"/>
        <n v="43.2"/>
        <n v="36.766666666666666"/>
        <n v="40.033333333333331"/>
        <n v="35.5"/>
        <n v="34.733333333333334"/>
        <n v="44"/>
        <n v="39.799999999999997"/>
        <n v="39.133333333333333"/>
        <n v="33.033333333333331"/>
        <n v="43.93333333333333"/>
        <n v="34.866666666666667"/>
        <n v="38.93333333333333"/>
        <n v="43.166666666666664"/>
        <n v="36.799999999999997"/>
        <n v="40.266666666666666"/>
        <n v="43.266666666666666"/>
        <n v="38.333333333333336"/>
        <n v="42.966666666666669"/>
        <n v="38.1"/>
        <n v="35.866666666666667"/>
        <n v="35.133333333333333"/>
        <n v="33.966666666666669"/>
        <n v="36.266666666666666"/>
        <n v="32.666666666666664"/>
        <n v="38.666666666666664"/>
        <n v="39.366666666666667"/>
        <n v="37.033333333333331"/>
        <n v="32.733333333333334"/>
        <n v="32.533333333333331"/>
        <n v="42.4"/>
        <n v="38.43333333333333"/>
        <n v="33.833333333333336"/>
        <n v="40.06666666666667"/>
        <n v="40.333333333333336"/>
        <n v="41"/>
        <n v="37.466666666666669"/>
        <n v="38.466666666666669"/>
        <n v="35.166666666666664"/>
      </sharedItems>
      <fieldGroup par="20"/>
    </cacheField>
    <cacheField name="Страна" numFmtId="0">
      <sharedItems count="5">
        <s v="Узбекистан"/>
        <s v="Беларусь"/>
        <s v="Россия"/>
        <s v="Украина"/>
        <s v="Таджикистан"/>
      </sharedItems>
    </cacheField>
    <cacheField name="Столбец2" numFmtId="14">
      <sharedItems containsNonDate="0" containsString="0" containsBlank="1"/>
    </cacheField>
    <cacheField name="Лайфтайм клиента2" numFmtId="0" databaseField="0">
      <fieldGroup base="17">
        <discretePr count="253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Группа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asan" refreshedDate="45889.754631944445" createdVersion="8" refreshedVersion="8" minRefreshableVersion="3" recordCount="434" xr:uid="{C1E40BE1-FD14-4BC3-A092-5ADDD3D33C3C}">
  <cacheSource type="worksheet">
    <worksheetSource name="Таблица8"/>
  </cacheSource>
  <cacheFields count="11">
    <cacheField name="id клиента" numFmtId="1">
      <sharedItems containsSemiMixedTypes="0" containsString="0" containsNumber="1" containsInteger="1" minValue="1" maxValue="499"/>
    </cacheField>
    <cacheField name="номер телефона клиента" numFmtId="0">
      <sharedItems/>
    </cacheField>
    <cacheField name="ФИО" numFmtId="0">
      <sharedItems/>
    </cacheField>
    <cacheField name="Программа лояльности клиента" numFmtId="0">
      <sharedItems count="2">
        <s v="да"/>
        <s v="нет"/>
      </sharedItems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д телефона" numFmtId="0">
      <sharedItems/>
    </cacheField>
    <cacheField name="Страна" numFmtId="0">
      <sharedItems count="5">
        <s v="Россия"/>
        <s v="Украина"/>
        <s v="Таджикистан"/>
        <s v="Беларусь"/>
        <s v="Узбекистан"/>
      </sharedItems>
    </cacheField>
    <cacheField name="Столбец1" numFmtId="0">
      <sharedItems/>
    </cacheField>
    <cacheField name="Имя" numFmtId="0">
      <sharedItems/>
    </cacheField>
    <cacheField name="Фамилия" numFmtId="0">
      <sharedItems/>
    </cacheField>
    <cacheField name="От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asan" refreshedDate="45889.996950000001" createdVersion="8" refreshedVersion="8" minRefreshableVersion="3" recordCount="435" xr:uid="{5EB71E76-B3A6-4642-9C03-421E23BB3B5A}">
  <cacheSource type="worksheet">
    <worksheetSource ref="Q1:Q1048576" sheet="клиенты"/>
  </cacheSource>
  <cacheFields count="1">
    <cacheField name="Имя" numFmtId="0">
      <sharedItems containsBlank="1" count="305">
        <s v=" Адриан"/>
        <s v=" Амвросий"/>
        <s v=" Евдокия"/>
        <s v=" Елизавета"/>
        <s v="Август"/>
        <s v=" Олимпий"/>
        <s v=" Филипп"/>
        <s v="Авдей"/>
        <s v="Автоном"/>
        <s v="Агап"/>
        <s v="Агата"/>
        <s v="Аггей"/>
        <s v="Алевтина"/>
        <s v="Александр"/>
        <s v="Александра"/>
        <s v=" Касьян"/>
        <s v="Алексей"/>
        <s v="Алина"/>
        <s v="Алла"/>
        <s v="Амвросий"/>
        <s v="Амос"/>
        <s v="Анастасия"/>
        <s v="Андрон"/>
        <s v="Анжела"/>
        <s v="Анжелика"/>
        <s v="Анна"/>
        <s v="Антонина"/>
        <s v="Арсений"/>
        <s v="Артемьева"/>
        <s v="Афанасьев"/>
        <s v="Бажен"/>
        <s v=" Эраст"/>
        <s v=" Раиса"/>
        <s v=" Симон"/>
        <s v=" Лука"/>
        <s v=" Жанна"/>
        <s v=" Агафья"/>
        <s v=" Натан"/>
        <s v=" Никодим"/>
        <s v=" Анна"/>
        <s v=" Антип"/>
        <s v="Боян"/>
        <s v=" Любомир"/>
        <s v=" Полина"/>
        <s v=" Марфа"/>
        <s v="Вадим"/>
        <s v="Валентина"/>
        <s v="Валерия"/>
        <s v="Валерьян"/>
        <s v="Василиса"/>
        <s v=" Милован"/>
        <s v=" Анжелика"/>
        <s v="Велимир"/>
        <s v="Вера"/>
        <s v="Вероника"/>
        <s v="Виктор"/>
        <s v="Виктория"/>
        <s v=" Карл"/>
        <s v=" Фома"/>
        <s v=" Ярослав"/>
        <s v="Владилен"/>
        <s v=" Орест"/>
        <s v=" Алина"/>
        <s v=" Викентий"/>
        <s v=" Валентина"/>
        <s v=" Анжела"/>
        <s v=" Матвей"/>
        <s v="Галактион"/>
        <s v="Галина"/>
        <s v=" Еремей"/>
        <s v=" Родион"/>
        <s v="Герман"/>
        <s v="Иванна"/>
        <s v="Анна "/>
        <s v="Клавдия"/>
        <s v="Глафира"/>
        <s v="Трифон "/>
        <s v="Лаврентий"/>
        <s v="Федосий"/>
        <s v=" Алевтина"/>
        <s v=" Наина"/>
        <s v="Гордей"/>
        <s v=" Василиса"/>
        <s v=" Клавдия"/>
        <s v="Гостомысл"/>
        <s v=" Сократ"/>
        <s v=" Ульяна"/>
        <s v=" Влас"/>
        <s v=" Евсей"/>
        <s v=" Людмила"/>
        <s v=" Ипполит"/>
        <s v="Давыд"/>
        <s v=" Амос"/>
        <s v="Дарья"/>
        <s v="Дементий"/>
        <s v="Демид"/>
        <s v="Дмитрий"/>
        <s v=" Тимур"/>
        <s v=" Серафим"/>
        <s v="Евгения"/>
        <s v=" Януарий"/>
        <s v="Евдокия"/>
        <s v="Евпраксия"/>
        <s v=" Ратмир"/>
        <s v="Евфросиния"/>
        <s v="Екатерина"/>
        <s v="Елена"/>
        <s v="Елизавета"/>
        <s v="Елизар"/>
        <s v="Елисей"/>
        <s v=" Игорь"/>
        <s v="Еремей"/>
        <s v=" Вадим"/>
        <s v=" Всеслав"/>
        <s v=" Степан"/>
        <s v=" Дарья"/>
        <s v=" Епифан"/>
        <s v="Жанна"/>
        <s v=" Аверьян"/>
        <s v=" Никифор"/>
        <s v=" Аристарх"/>
        <s v=" Александра"/>
        <s v=" Ефрем"/>
        <s v="Захар"/>
        <s v="Зоя"/>
        <s v=" Гостомысл"/>
        <s v=" Таисия"/>
        <s v=" Христофор"/>
        <s v=" Вера"/>
        <s v="Измаил"/>
        <s v=" Милица"/>
        <s v="Ипат"/>
        <s v="Ипатий"/>
        <s v="Ираида"/>
        <s v="Ираклий"/>
        <s v="Ирина"/>
        <s v="Ия"/>
        <s v=" Лев"/>
        <s v=" Никита"/>
        <s v=" Ирина"/>
        <s v="Капитон"/>
        <s v=" Тамара"/>
        <s v="Карп"/>
        <s v="Кир"/>
        <s v="Кира"/>
        <s v=" Валерьян"/>
        <s v=" Пелагея"/>
        <s v=" Платон"/>
        <s v=" Акулина"/>
        <s v="Конон"/>
        <s v=" Прасковья"/>
        <s v=" Элеонора"/>
        <s v="Константин"/>
        <s v=" Мартьян"/>
        <s v=" Эмилия"/>
        <s v="Корнил"/>
        <s v=" Леон"/>
        <s v=" Феофан"/>
        <s v=" Марина"/>
        <s v=" Павел"/>
        <s v="Ксения"/>
        <s v=" Демид"/>
        <s v=" Севастьян"/>
        <s v=" Нина"/>
        <s v=" Евгения"/>
        <s v="Лавр"/>
        <s v=" Маргарита"/>
        <s v="Ладимир"/>
        <s v=" Аникей"/>
        <s v=" Арефий"/>
        <s v=" Софон"/>
        <s v=" Эрнест"/>
        <s v="Лариса"/>
        <s v="Леон"/>
        <s v="Леонид"/>
        <s v="Лидия"/>
        <s v="Лонгин"/>
        <s v="Лора"/>
        <s v="Лука"/>
        <s v=" Борис"/>
        <s v=" Харлампий"/>
        <s v=" Ефимовна"/>
        <s v=" Ираида"/>
        <s v="Любим"/>
        <s v="Любовь"/>
        <s v="Любомир"/>
        <s v="Любосмысл"/>
        <s v="Людмила"/>
        <s v="Майя"/>
        <s v="Максим"/>
        <s v=" Евпраксия"/>
        <s v=" Елена"/>
        <s v="Маргарита"/>
        <s v="Мария"/>
        <s v="Марк"/>
        <s v=" Ксения"/>
        <s v="Мартын"/>
        <s v="Марфа"/>
        <s v=" Захар"/>
        <s v=" Анастасия"/>
        <s v=" Иванна"/>
        <s v="Матвей"/>
        <s v="Мефодий"/>
        <s v="Мирон"/>
        <s v=" Аверкий"/>
        <s v=" Лора"/>
        <s v=" Андроник"/>
        <s v="Михей"/>
        <s v=" Евстафий"/>
        <s v=" Майя"/>
        <s v=" Феврония"/>
        <s v=" Алла"/>
        <s v=" Зосима"/>
        <s v="Назар"/>
        <s v=" Пантелеймон"/>
        <s v=" Ия"/>
        <s v="Наталья"/>
        <s v=" Чеслав"/>
        <s v="Никанор"/>
        <s v="Никита"/>
        <s v=" Светозар"/>
        <s v=" Богдан"/>
        <s v="Никодим"/>
        <s v=" Зинаида"/>
        <s v="Николай"/>
        <s v="Нинель"/>
        <s v=" Ростислав"/>
        <s v=" Лидия"/>
        <s v=" Ольга"/>
        <s v=" Зоя"/>
        <s v=" Анисим"/>
        <s v="Октябрина"/>
        <s v="Олимпиада"/>
        <s v="Ольга"/>
        <s v=" Кира"/>
        <s v="Панфил"/>
        <s v="Пахом"/>
        <s v="Пелагея"/>
        <s v=" Измаил"/>
        <s v="Полина"/>
        <s v=" Боян"/>
        <s v=" Силантий"/>
        <s v=" Творимир"/>
        <s v="Потап"/>
        <s v="Прасковья"/>
        <s v="Прокл"/>
        <s v="Радислав"/>
        <s v="Раиса"/>
        <s v="Ратибор"/>
        <s v="Регина"/>
        <s v=" Сила"/>
        <s v="Родион"/>
        <s v="Рубен"/>
        <s v=" Модест"/>
        <s v="Савватий"/>
        <s v=" Климент"/>
        <s v=" Оксана"/>
        <s v=" Татьяна"/>
        <s v=" Борислав"/>
        <s v="Самуил"/>
        <s v="Светлана"/>
        <s v=" Панкратий"/>
        <s v="Сидор"/>
        <s v="Сила"/>
        <s v="Синклитикия"/>
        <s v="Сократ"/>
        <s v="Спиридон"/>
        <s v="Станислав"/>
        <s v=" Геннадий"/>
        <s v=" Станислав"/>
        <s v=" Светлана"/>
        <s v="Таисия"/>
        <s v="Татьяна"/>
        <s v="Творимир"/>
        <s v=" Аполлинарий"/>
        <s v=" Евфросиния"/>
        <s v=" Евграф"/>
        <s v=" Милан"/>
        <s v="Фадей"/>
        <s v="Фаина"/>
        <s v="Феврония"/>
        <s v=" Радислав"/>
        <s v=" Ангелина"/>
        <s v="Фёкла"/>
        <s v="Феликс"/>
        <s v="Феофан"/>
        <s v="Филимон"/>
        <s v=" Юлия"/>
        <s v="Флорентин"/>
        <s v=" Глеб"/>
        <s v=" Антонина"/>
        <s v="Фрол"/>
        <s v="Харлампий"/>
        <s v="Христофор"/>
        <s v="Чеслав"/>
        <s v=" Екатерина"/>
        <s v="Эдуард"/>
        <s v="Элеонора"/>
        <s v="Эмилия"/>
        <s v="Эммануил"/>
        <s v="Юлия"/>
        <s v="Юрий"/>
        <s v="Якуб"/>
        <s v=" Мина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300"/>
    <n v="103"/>
    <n v="4"/>
    <n v="412"/>
    <x v="0"/>
    <x v="0"/>
    <n v="315"/>
    <s v="Сахар"/>
    <s v="Продимекс"/>
    <n v="254.58333333333334"/>
    <n v="-0.59541734860883799"/>
    <n v="5172"/>
  </r>
  <r>
    <n v="2"/>
    <n v="486"/>
    <n v="296"/>
    <n v="3"/>
    <n v="888"/>
    <x v="1"/>
    <x v="1"/>
    <n v="253"/>
    <s v="Соль"/>
    <s v="Илецкая"/>
    <n v="264.8679245283019"/>
    <n v="0.11753811084200017"/>
    <n v="4287"/>
  </r>
  <r>
    <n v="3"/>
    <n v="76"/>
    <n v="139"/>
    <n v="5"/>
    <n v="695"/>
    <x v="2"/>
    <x v="2"/>
    <n v="12"/>
    <s v="Печенье"/>
    <s v="Юбилейное"/>
    <n v="283.468085106383"/>
    <n v="-0.50964497485551308"/>
    <n v="2092"/>
  </r>
  <r>
    <n v="4"/>
    <n v="240"/>
    <n v="141"/>
    <n v="5"/>
    <n v="705"/>
    <x v="3"/>
    <x v="3"/>
    <n v="116"/>
    <s v="Макароны"/>
    <s v="Борилла"/>
    <n v="265.47674418604652"/>
    <n v="-0.46888003153606939"/>
    <n v="6852"/>
  </r>
  <r>
    <n v="5"/>
    <n v="32"/>
    <n v="123"/>
    <n v="2"/>
    <n v="246"/>
    <x v="4"/>
    <x v="4"/>
    <n v="471"/>
    <s v="Овощи"/>
    <s v="Зеленая грядка"/>
    <n v="250.48780487804879"/>
    <n v="-0.5089581304771178"/>
    <n v="796"/>
  </r>
  <r>
    <n v="6"/>
    <n v="162"/>
    <n v="452"/>
    <n v="2"/>
    <n v="904"/>
    <x v="5"/>
    <x v="0"/>
    <n v="374"/>
    <s v="Сок"/>
    <s v="Фруктовый сад"/>
    <n v="268.60344827586209"/>
    <n v="0.68277809872263928"/>
    <n v="9023"/>
  </r>
  <r>
    <n v="7"/>
    <n v="323"/>
    <n v="149"/>
    <n v="5"/>
    <n v="745"/>
    <x v="6"/>
    <x v="5"/>
    <n v="477"/>
    <s v="Рыба"/>
    <s v="Меридиан"/>
    <n v="258.5128205128205"/>
    <n v="-0.42362626463003372"/>
    <n v="4431"/>
  </r>
  <r>
    <n v="8"/>
    <n v="60"/>
    <n v="489"/>
    <n v="4"/>
    <n v="1956"/>
    <x v="7"/>
    <x v="6"/>
    <n v="335"/>
    <s v="Кофе"/>
    <s v="Jacobs"/>
    <n v="249.02380952380952"/>
    <n v="0.9636676546514964"/>
    <n v="5248"/>
  </r>
  <r>
    <n v="9"/>
    <n v="401"/>
    <n v="416"/>
    <n v="5"/>
    <n v="2080"/>
    <x v="8"/>
    <x v="7"/>
    <n v="350"/>
    <s v="Чай"/>
    <s v="Greenfield"/>
    <n v="271.18181818181819"/>
    <n v="0.53402614817298022"/>
    <n v="6412"/>
  </r>
  <r>
    <n v="10"/>
    <n v="100"/>
    <n v="449"/>
    <n v="2"/>
    <n v="898"/>
    <x v="9"/>
    <x v="5"/>
    <n v="413"/>
    <s v="Йогурт"/>
    <s v="Ростагроэкспорт"/>
    <n v="263.25423728813558"/>
    <n v="0.7055755858872006"/>
    <n v="5929"/>
  </r>
  <r>
    <n v="11"/>
    <n v="217"/>
    <n v="296"/>
    <n v="2"/>
    <n v="592"/>
    <x v="10"/>
    <x v="5"/>
    <n v="495"/>
    <s v="Мясо"/>
    <s v="Агрокомплекс"/>
    <n v="271.74545454545455"/>
    <n v="8.925465007359823E-2"/>
    <n v="3112"/>
  </r>
  <r>
    <n v="12"/>
    <n v="445"/>
    <n v="109"/>
    <n v="5"/>
    <n v="545"/>
    <x v="11"/>
    <x v="6"/>
    <n v="353"/>
    <s v="Сахар"/>
    <s v="Сладов"/>
    <n v="254.58333333333334"/>
    <n v="-0.57184942716857612"/>
    <n v="3604"/>
  </r>
  <r>
    <n v="13"/>
    <n v="284"/>
    <n v="213"/>
    <n v="3"/>
    <n v="639"/>
    <x v="12"/>
    <x v="2"/>
    <n v="332"/>
    <s v="Мясо"/>
    <s v="Сава"/>
    <n v="271.74545454545455"/>
    <n v="-0.21617824167001209"/>
    <n v="3405"/>
  </r>
  <r>
    <n v="14"/>
    <n v="116"/>
    <n v="190"/>
    <n v="4"/>
    <n v="760"/>
    <x v="13"/>
    <x v="3"/>
    <n v="414"/>
    <s v="Соль"/>
    <s v="Экстра"/>
    <n v="264.8679245283019"/>
    <n v="-0.28266134777033769"/>
    <n v="4171"/>
  </r>
  <r>
    <n v="15"/>
    <n v="378"/>
    <n v="237"/>
    <n v="1"/>
    <n v="237"/>
    <x v="14"/>
    <x v="5"/>
    <n v="236"/>
    <s v="Сок"/>
    <s v="Фруктовый сад"/>
    <n v="268.60344827586209"/>
    <n v="-0.11765838628923564"/>
    <n v="9023"/>
  </r>
  <r>
    <n v="16"/>
    <n v="299"/>
    <n v="178"/>
    <n v="3"/>
    <n v="534"/>
    <x v="15"/>
    <x v="6"/>
    <n v="164"/>
    <s v="Чай"/>
    <s v="Lipton"/>
    <n v="271.18181818181819"/>
    <n v="-0.34361381159906135"/>
    <n v="4943"/>
  </r>
  <r>
    <n v="17"/>
    <n v="359"/>
    <n v="320"/>
    <n v="5"/>
    <n v="1600"/>
    <x v="16"/>
    <x v="8"/>
    <n v="490"/>
    <s v="Мясо"/>
    <s v="Мираторг"/>
    <n v="271.74545454545455"/>
    <n v="0.1775725946741602"/>
    <n v="3799"/>
  </r>
  <r>
    <n v="18"/>
    <n v="337"/>
    <n v="419"/>
    <n v="2"/>
    <n v="838"/>
    <x v="17"/>
    <x v="2"/>
    <n v="223"/>
    <s v="Макароны"/>
    <s v="Паста Зара"/>
    <n v="265.47674418604652"/>
    <n v="0.57829267224387881"/>
    <n v="10237"/>
  </r>
  <r>
    <n v="19"/>
    <n v="226"/>
    <n v="190"/>
    <n v="5"/>
    <n v="950"/>
    <x v="18"/>
    <x v="9"/>
    <n v="204"/>
    <s v="Сыр"/>
    <s v="Карат"/>
    <n v="261.03225806451616"/>
    <n v="-0.27212061295106282"/>
    <n v="2802"/>
  </r>
  <r>
    <n v="20"/>
    <n v="310"/>
    <n v="458"/>
    <n v="2"/>
    <n v="916"/>
    <x v="19"/>
    <x v="9"/>
    <n v="481"/>
    <s v="Макароны"/>
    <s v="Паста Зара"/>
    <n v="265.47674418604652"/>
    <n v="0.72519819543603004"/>
    <n v="10237"/>
  </r>
  <r>
    <n v="21"/>
    <n v="137"/>
    <n v="152"/>
    <n v="2"/>
    <n v="304"/>
    <x v="20"/>
    <x v="0"/>
    <n v="363"/>
    <s v="Фрукты"/>
    <s v="Экзотик"/>
    <n v="274.16279069767444"/>
    <n v="-0.4455848672491306"/>
    <n v="4059"/>
  </r>
  <r>
    <n v="22"/>
    <n v="385"/>
    <n v="352"/>
    <n v="2"/>
    <n v="704"/>
    <x v="21"/>
    <x v="6"/>
    <n v="397"/>
    <s v="Макароны"/>
    <s v="Макфа"/>
    <n v="265.47674418604652"/>
    <n v="0.32591651701633739"/>
    <n v="3622"/>
  </r>
  <r>
    <n v="23"/>
    <n v="226"/>
    <n v="228"/>
    <n v="2"/>
    <n v="456"/>
    <x v="22"/>
    <x v="10"/>
    <n v="280"/>
    <s v="Сыр"/>
    <s v="Карат"/>
    <n v="261.03225806451616"/>
    <n v="-0.12654473554127543"/>
    <n v="2802"/>
  </r>
  <r>
    <n v="24"/>
    <n v="451"/>
    <n v="161"/>
    <n v="4"/>
    <n v="644"/>
    <x v="23"/>
    <x v="7"/>
    <n v="39"/>
    <s v="Рис"/>
    <s v="Белый Злат"/>
    <n v="258.375"/>
    <n v="-0.37687469762941461"/>
    <n v="4585"/>
  </r>
  <r>
    <n v="25"/>
    <n v="7"/>
    <n v="362"/>
    <n v="1"/>
    <n v="362"/>
    <x v="24"/>
    <x v="4"/>
    <n v="303"/>
    <s v="Сахар"/>
    <s v="Продимекс"/>
    <n v="254.58333333333334"/>
    <n v="0.42193126022913252"/>
    <n v="5172"/>
  </r>
  <r>
    <n v="26"/>
    <n v="495"/>
    <n v="312"/>
    <n v="1"/>
    <n v="312"/>
    <x v="25"/>
    <x v="8"/>
    <n v="422"/>
    <s v="Чай"/>
    <s v="Greenfield"/>
    <n v="271.18181818181819"/>
    <n v="0.15051961112973511"/>
    <n v="6412"/>
  </r>
  <r>
    <n v="27"/>
    <n v="415"/>
    <n v="311"/>
    <n v="5"/>
    <n v="1555"/>
    <x v="26"/>
    <x v="11"/>
    <n v="24"/>
    <s v="Чипсы"/>
    <s v="Pringles"/>
    <n v="273.72549019607845"/>
    <n v="0.13617478510028636"/>
    <n v="5885"/>
  </r>
  <r>
    <n v="28"/>
    <n v="176"/>
    <n v="220"/>
    <n v="1"/>
    <n v="220"/>
    <x v="27"/>
    <x v="0"/>
    <n v="112"/>
    <s v="Сахар"/>
    <s v="Продимекс"/>
    <n v="254.58333333333334"/>
    <n v="-0.13584288052373161"/>
    <n v="5172"/>
  </r>
  <r>
    <n v="845"/>
    <n v="474"/>
    <n v="405"/>
    <n v="2"/>
    <n v="810"/>
    <x v="28"/>
    <x v="8"/>
    <n v="18"/>
    <s v="Молоко"/>
    <s v="Простоквашино"/>
    <n v="294.95238095238096"/>
    <n v="0.48837584759444619"/>
    <n v="3507"/>
  </r>
  <r>
    <n v="30"/>
    <n v="399"/>
    <n v="190"/>
    <n v="1"/>
    <n v="190"/>
    <x v="29"/>
    <x v="2"/>
    <n v="131"/>
    <s v="Хлеб"/>
    <s v="Хлебный Дом"/>
    <n v="300.31818181818181"/>
    <n v="-0.36733767216588464"/>
    <n v="4226"/>
  </r>
  <r>
    <n v="31"/>
    <n v="382"/>
    <n v="198"/>
    <n v="5"/>
    <n v="990"/>
    <x v="30"/>
    <x v="12"/>
    <n v="160"/>
    <s v="Овощи"/>
    <s v="Овощной ряд"/>
    <n v="250.48780487804879"/>
    <n v="-0.2095423563777995"/>
    <n v="5165"/>
  </r>
  <r>
    <n v="32"/>
    <n v="103"/>
    <n v="254"/>
    <n v="3"/>
    <n v="762"/>
    <x v="31"/>
    <x v="13"/>
    <n v="408"/>
    <s v="Рыба"/>
    <s v="Санта Бремор"/>
    <n v="258.5128205128205"/>
    <n v="-1.7456853798849425E-2"/>
    <n v="2164"/>
  </r>
  <r>
    <n v="33"/>
    <n v="104"/>
    <n v="351"/>
    <n v="1"/>
    <n v="351"/>
    <x v="32"/>
    <x v="12"/>
    <n v="324"/>
    <s v="Йогурт"/>
    <s v="Ростагроэкспорт"/>
    <n v="263.25423728813558"/>
    <n v="0.33331187226371362"/>
    <n v="5929"/>
  </r>
  <r>
    <n v="34"/>
    <n v="213"/>
    <n v="387"/>
    <n v="1"/>
    <n v="387"/>
    <x v="33"/>
    <x v="5"/>
    <n v="310"/>
    <s v="Сахар"/>
    <s v="Продимекс"/>
    <n v="254.58333333333334"/>
    <n v="0.52013093289689039"/>
    <n v="5172"/>
  </r>
  <r>
    <n v="35"/>
    <n v="157"/>
    <n v="55"/>
    <n v="2"/>
    <n v="110"/>
    <x v="34"/>
    <x v="2"/>
    <n v="179"/>
    <s v="Сыр"/>
    <s v="President"/>
    <n v="261.03225806451616"/>
    <n v="-0.78929807217004455"/>
    <n v="3935"/>
  </r>
  <r>
    <n v="36"/>
    <n v="237"/>
    <n v="336"/>
    <n v="1"/>
    <n v="336"/>
    <x v="35"/>
    <x v="9"/>
    <n v="64"/>
    <s v="Конфеты"/>
    <s v="Рот Фронт"/>
    <n v="267.85483870967744"/>
    <n v="0.25441079063045691"/>
    <n v="6053"/>
  </r>
  <r>
    <n v="37"/>
    <n v="8"/>
    <n v="480"/>
    <n v="4"/>
    <n v="1920"/>
    <x v="36"/>
    <x v="14"/>
    <n v="318"/>
    <s v="Макароны"/>
    <s v="Паста Зара"/>
    <n v="265.47674418604652"/>
    <n v="0.80806797774955097"/>
    <n v="10237"/>
  </r>
  <r>
    <n v="38"/>
    <n v="65"/>
    <n v="214"/>
    <n v="3"/>
    <n v="642"/>
    <x v="37"/>
    <x v="0"/>
    <n v="239"/>
    <s v="Хлеб"/>
    <s v="Хлебный Дом"/>
    <n v="300.31818181818181"/>
    <n v="-0.28742243075525953"/>
    <n v="4226"/>
  </r>
  <r>
    <n v="39"/>
    <n v="45"/>
    <n v="60"/>
    <n v="2"/>
    <n v="120"/>
    <x v="38"/>
    <x v="15"/>
    <n v="194"/>
    <s v="Сок"/>
    <s v="Добрый"/>
    <n v="268.60344827586209"/>
    <n v="-0.77662237627575581"/>
    <n v="2671"/>
  </r>
  <r>
    <n v="40"/>
    <n v="36"/>
    <n v="414"/>
    <n v="3"/>
    <n v="1242"/>
    <x v="39"/>
    <x v="6"/>
    <n v="267"/>
    <s v="Макароны"/>
    <s v="Роллтон"/>
    <n v="265.47674418604652"/>
    <n v="0.55945863080898772"/>
    <n v="2120"/>
  </r>
  <r>
    <n v="41"/>
    <n v="443"/>
    <n v="62"/>
    <n v="3"/>
    <n v="186"/>
    <x v="40"/>
    <x v="4"/>
    <n v="334"/>
    <s v="Кофе"/>
    <s v="Jacobs"/>
    <n v="249.02380952380952"/>
    <n v="-0.75102782292762216"/>
    <n v="5248"/>
  </r>
  <r>
    <n v="42"/>
    <n v="384"/>
    <n v="357"/>
    <n v="1"/>
    <n v="357"/>
    <x v="41"/>
    <x v="16"/>
    <n v="47"/>
    <s v="Сахар"/>
    <s v="Сладов"/>
    <n v="254.58333333333334"/>
    <n v="0.4022913256955809"/>
    <n v="3604"/>
  </r>
  <r>
    <n v="43"/>
    <n v="41"/>
    <n v="493"/>
    <n v="3"/>
    <n v="1479"/>
    <x v="42"/>
    <x v="1"/>
    <n v="287"/>
    <s v="Рис"/>
    <s v="Агро-Альянс"/>
    <n v="258.375"/>
    <n v="0.90807934204160623"/>
    <n v="2225"/>
  </r>
  <r>
    <n v="44"/>
    <n v="484"/>
    <n v="305"/>
    <n v="2"/>
    <n v="610"/>
    <x v="43"/>
    <x v="11"/>
    <n v="145"/>
    <s v="Печенье"/>
    <s v="КДВ"/>
    <n v="283.468085106383"/>
    <n v="7.5958868122795176E-2"/>
    <n v="4200"/>
  </r>
  <r>
    <n v="45"/>
    <n v="7"/>
    <n v="162"/>
    <n v="4"/>
    <n v="648"/>
    <x v="44"/>
    <x v="8"/>
    <n v="270"/>
    <s v="Сыр"/>
    <s v="President"/>
    <n v="261.03225806451616"/>
    <n v="-0.37938704893722197"/>
    <n v="3935"/>
  </r>
  <r>
    <n v="46"/>
    <n v="390"/>
    <n v="78"/>
    <n v="1"/>
    <n v="78"/>
    <x v="45"/>
    <x v="7"/>
    <n v="64"/>
    <s v="Сок"/>
    <s v="Сады Придонья"/>
    <n v="268.60344827586209"/>
    <n v="-0.70960908915848253"/>
    <n v="2796"/>
  </r>
  <r>
    <n v="47"/>
    <n v="57"/>
    <n v="343"/>
    <n v="5"/>
    <n v="1715"/>
    <x v="46"/>
    <x v="1"/>
    <n v="183"/>
    <s v="Печенье"/>
    <s v="Юбилейное"/>
    <n v="283.468085106383"/>
    <n v="0.21001275988891388"/>
    <n v="2092"/>
  </r>
  <r>
    <n v="48"/>
    <n v="285"/>
    <n v="498"/>
    <n v="4"/>
    <n v="1992"/>
    <x v="47"/>
    <x v="9"/>
    <n v="2"/>
    <s v="Макароны"/>
    <s v="Паста Зара"/>
    <n v="265.47674418604652"/>
    <n v="0.87587052691515921"/>
    <n v="10237"/>
  </r>
  <r>
    <n v="49"/>
    <n v="299"/>
    <n v="133"/>
    <n v="1"/>
    <n v="133"/>
    <x v="42"/>
    <x v="8"/>
    <n v="204"/>
    <s v="Чай"/>
    <s v="Lipton"/>
    <n v="271.18181818181819"/>
    <n v="-0.50955414012738853"/>
    <n v="4943"/>
  </r>
  <r>
    <n v="50"/>
    <n v="444"/>
    <n v="311"/>
    <n v="4"/>
    <n v="1244"/>
    <x v="48"/>
    <x v="15"/>
    <n v="229"/>
    <s v="Йогурт"/>
    <s v="Эрманн"/>
    <n v="263.25423728813558"/>
    <n v="0.18136749935616803"/>
    <n v="4970"/>
  </r>
  <r>
    <n v="51"/>
    <n v="35"/>
    <n v="242"/>
    <n v="2"/>
    <n v="484"/>
    <x v="49"/>
    <x v="14"/>
    <n v="385"/>
    <s v="Крупа"/>
    <s v="Мистраль"/>
    <n v="255.11627906976744"/>
    <n v="-5.1412944393801285E-2"/>
    <n v="3254"/>
  </r>
  <r>
    <n v="52"/>
    <n v="296"/>
    <n v="101"/>
    <n v="3"/>
    <n v="303"/>
    <x v="50"/>
    <x v="11"/>
    <n v="407"/>
    <s v="Крупа"/>
    <s v="Мистраль"/>
    <n v="255.11627906976744"/>
    <n v="-0.60410209662716507"/>
    <n v="3254"/>
  </r>
  <r>
    <n v="53"/>
    <n v="227"/>
    <n v="65"/>
    <n v="1"/>
    <n v="65"/>
    <x v="51"/>
    <x v="2"/>
    <n v="493"/>
    <s v="Макароны"/>
    <s v="Макфа"/>
    <n v="265.47674418604652"/>
    <n v="-0.75515746134641493"/>
    <n v="3622"/>
  </r>
  <r>
    <n v="54"/>
    <n v="167"/>
    <n v="143"/>
    <n v="3"/>
    <n v="429"/>
    <x v="52"/>
    <x v="14"/>
    <n v="34"/>
    <s v="Мясо"/>
    <s v="Сава"/>
    <n v="271.74545454545455"/>
    <n v="-0.47377224675498464"/>
    <n v="3405"/>
  </r>
  <r>
    <n v="55"/>
    <n v="146"/>
    <n v="402"/>
    <n v="5"/>
    <n v="2010"/>
    <x v="53"/>
    <x v="5"/>
    <n v="190"/>
    <s v="Сок"/>
    <s v="Добрый"/>
    <n v="268.60344827586209"/>
    <n v="0.49663007895243583"/>
    <n v="2671"/>
  </r>
  <r>
    <n v="56"/>
    <n v="338"/>
    <n v="97"/>
    <n v="1"/>
    <n v="97"/>
    <x v="43"/>
    <x v="9"/>
    <n v="266"/>
    <s v="Сыр"/>
    <s v="President"/>
    <n v="261.03225806451616"/>
    <n v="-0.62839841819080577"/>
    <n v="3935"/>
  </r>
  <r>
    <n v="57"/>
    <n v="155"/>
    <n v="482"/>
    <n v="1"/>
    <n v="482"/>
    <x v="54"/>
    <x v="6"/>
    <n v="222"/>
    <s v="Йогурт"/>
    <s v="Эрманн"/>
    <n v="263.25423728813558"/>
    <n v="0.83092969353592583"/>
    <n v="4970"/>
  </r>
  <r>
    <n v="58"/>
    <n v="239"/>
    <n v="59"/>
    <n v="1"/>
    <n v="59"/>
    <x v="55"/>
    <x v="17"/>
    <n v="382"/>
    <s v="Йогурт"/>
    <s v="Эрманн"/>
    <n v="263.25423728813558"/>
    <n v="-0.77588204996137011"/>
    <n v="4970"/>
  </r>
  <r>
    <n v="59"/>
    <n v="158"/>
    <n v="87"/>
    <n v="4"/>
    <n v="348"/>
    <x v="56"/>
    <x v="8"/>
    <n v="142"/>
    <s v="Сахар"/>
    <s v="Сладов"/>
    <n v="254.58333333333334"/>
    <n v="-0.65826513911620288"/>
    <n v="3604"/>
  </r>
  <r>
    <n v="60"/>
    <n v="147"/>
    <n v="238"/>
    <n v="5"/>
    <n v="1190"/>
    <x v="57"/>
    <x v="7"/>
    <n v="270"/>
    <s v="Конфеты"/>
    <s v="Бабаевский"/>
    <n v="267.85483870967744"/>
    <n v="-0.11145902330342627"/>
    <n v="6757"/>
  </r>
  <r>
    <n v="61"/>
    <n v="311"/>
    <n v="238"/>
    <n v="5"/>
    <n v="1190"/>
    <x v="58"/>
    <x v="7"/>
    <n v="150"/>
    <s v="Макароны"/>
    <s v="Паста Зара"/>
    <n v="265.47674418604652"/>
    <n v="-0.10349962769918097"/>
    <n v="10237"/>
  </r>
  <r>
    <n v="62"/>
    <n v="465"/>
    <n v="311"/>
    <n v="2"/>
    <n v="622"/>
    <x v="59"/>
    <x v="1"/>
    <n v="14"/>
    <s v="Йогурт"/>
    <s v="Ростагроэкспорт"/>
    <n v="263.25423728813558"/>
    <n v="0.18136749935616803"/>
    <n v="5929"/>
  </r>
  <r>
    <n v="63"/>
    <n v="449"/>
    <n v="392"/>
    <n v="3"/>
    <n v="1176"/>
    <x v="33"/>
    <x v="11"/>
    <n v="371"/>
    <s v="Мясо"/>
    <s v="Агрокомплекс"/>
    <n v="271.74545454545455"/>
    <n v="0.44252642847584633"/>
    <n v="3112"/>
  </r>
  <r>
    <n v="64"/>
    <n v="144"/>
    <n v="473"/>
    <n v="5"/>
    <n v="2365"/>
    <x v="60"/>
    <x v="9"/>
    <n v="328"/>
    <s v="Макароны"/>
    <s v="Роллтон"/>
    <n v="265.47674418604652"/>
    <n v="0.78170031974070331"/>
    <n v="2120"/>
  </r>
  <r>
    <n v="65"/>
    <n v="375"/>
    <n v="231"/>
    <n v="2"/>
    <n v="462"/>
    <x v="61"/>
    <x v="10"/>
    <n v="171"/>
    <s v="Макароны"/>
    <s v="Борилла"/>
    <n v="265.47674418604652"/>
    <n v="-0.12986728570802852"/>
    <n v="6852"/>
  </r>
  <r>
    <n v="66"/>
    <n v="408"/>
    <n v="438"/>
    <n v="3"/>
    <n v="1314"/>
    <x v="62"/>
    <x v="11"/>
    <n v="68"/>
    <s v="Йогурт"/>
    <s v="Эрманн"/>
    <n v="263.25423728813558"/>
    <n v="0.66379088333762559"/>
    <n v="4970"/>
  </r>
  <r>
    <n v="67"/>
    <n v="425"/>
    <n v="365"/>
    <n v="2"/>
    <n v="730"/>
    <x v="63"/>
    <x v="13"/>
    <n v="346"/>
    <s v="Соль"/>
    <s v="Экстра"/>
    <n v="264.8679245283019"/>
    <n v="0.37804530559908822"/>
    <n v="4171"/>
  </r>
  <r>
    <n v="68"/>
    <n v="277"/>
    <n v="324"/>
    <n v="2"/>
    <n v="648"/>
    <x v="64"/>
    <x v="13"/>
    <n v="415"/>
    <s v="Чай"/>
    <s v="Greenfield"/>
    <n v="271.18181818181819"/>
    <n v="0.19477036540395565"/>
    <n v="6412"/>
  </r>
  <r>
    <n v="69"/>
    <n v="130"/>
    <n v="208"/>
    <n v="5"/>
    <n v="1040"/>
    <x v="65"/>
    <x v="7"/>
    <n v="115"/>
    <s v="Соль"/>
    <s v="Илецкая"/>
    <n v="264.8679245283019"/>
    <n v="-0.21470294913805388"/>
    <n v="4287"/>
  </r>
  <r>
    <n v="70"/>
    <n v="337"/>
    <n v="115"/>
    <n v="3"/>
    <n v="345"/>
    <x v="66"/>
    <x v="0"/>
    <n v="42"/>
    <s v="Макароны"/>
    <s v="Паста Зара"/>
    <n v="265.47674418604652"/>
    <n v="-0.56681704699750335"/>
    <n v="10237"/>
  </r>
  <r>
    <n v="71"/>
    <n v="30"/>
    <n v="261"/>
    <n v="1"/>
    <n v="261"/>
    <x v="67"/>
    <x v="14"/>
    <n v="378"/>
    <s v="Чипсы"/>
    <s v="Pringles"/>
    <n v="273.72549019607845"/>
    <n v="-4.6489971346704961E-2"/>
    <n v="5885"/>
  </r>
  <r>
    <n v="72"/>
    <n v="75"/>
    <n v="257"/>
    <n v="2"/>
    <n v="514"/>
    <x v="68"/>
    <x v="17"/>
    <n v="449"/>
    <s v="Печенье"/>
    <s v="Белогорье"/>
    <n v="283.468085106383"/>
    <n v="-9.3372363581775919E-2"/>
    <n v="3493"/>
  </r>
  <r>
    <n v="73"/>
    <n v="118"/>
    <n v="459"/>
    <n v="2"/>
    <n v="918"/>
    <x v="69"/>
    <x v="9"/>
    <n v="318"/>
    <s v="Сахар"/>
    <s v="Продимекс"/>
    <n v="254.58333333333334"/>
    <n v="0.80294599018003265"/>
    <n v="5172"/>
  </r>
  <r>
    <n v="74"/>
    <n v="19"/>
    <n v="112"/>
    <n v="4"/>
    <n v="448"/>
    <x v="70"/>
    <x v="9"/>
    <n v="317"/>
    <s v="Мясо"/>
    <s v="Снежана"/>
    <n v="271.74545454545455"/>
    <n v="-0.58784959186404384"/>
    <n v="4630"/>
  </r>
  <r>
    <n v="75"/>
    <n v="204"/>
    <n v="491"/>
    <n v="4"/>
    <n v="1964"/>
    <x v="71"/>
    <x v="10"/>
    <n v="426"/>
    <s v="Печенье"/>
    <s v="Юбилейное"/>
    <n v="283.468085106383"/>
    <n v="0.73211739097800788"/>
    <n v="2092"/>
  </r>
  <r>
    <n v="76"/>
    <n v="304"/>
    <n v="162"/>
    <n v="1"/>
    <n v="162"/>
    <x v="72"/>
    <x v="7"/>
    <n v="25"/>
    <s v="Конфеты"/>
    <s v="Рот Фронт"/>
    <n v="267.85483870967744"/>
    <n v="-0.39519479737460106"/>
    <n v="6053"/>
  </r>
  <r>
    <n v="77"/>
    <n v="189"/>
    <n v="278"/>
    <n v="2"/>
    <n v="556"/>
    <x v="73"/>
    <x v="15"/>
    <n v="462"/>
    <s v="Хлеб"/>
    <s v="Дарница"/>
    <n v="300.31818181818181"/>
    <n v="-7.4315120326925999E-2"/>
    <n v="1848"/>
  </r>
  <r>
    <n v="78"/>
    <n v="392"/>
    <n v="484"/>
    <n v="4"/>
    <n v="1936"/>
    <x v="74"/>
    <x v="2"/>
    <n v="252"/>
    <s v="Кофе"/>
    <s v="Черная Карта"/>
    <n v="249.02380952380952"/>
    <n v="0.94358925327469167"/>
    <n v="2222"/>
  </r>
  <r>
    <n v="79"/>
    <n v="10"/>
    <n v="53"/>
    <n v="1"/>
    <n v="53"/>
    <x v="75"/>
    <x v="17"/>
    <n v="392"/>
    <s v="Сок"/>
    <s v="Фруктовый сад"/>
    <n v="268.60344827586209"/>
    <n v="-0.80268309904358437"/>
    <n v="9023"/>
  </r>
  <r>
    <n v="80"/>
    <n v="64"/>
    <n v="131"/>
    <n v="5"/>
    <n v="655"/>
    <x v="76"/>
    <x v="7"/>
    <n v="487"/>
    <s v="Колбаса"/>
    <s v="Окраина"/>
    <n v="286.92307692307691"/>
    <n v="-0.54343163538873984"/>
    <n v="3283"/>
  </r>
  <r>
    <n v="81"/>
    <n v="116"/>
    <n v="120"/>
    <n v="2"/>
    <n v="240"/>
    <x v="24"/>
    <x v="18"/>
    <n v="332"/>
    <s v="Соль"/>
    <s v="Экстра"/>
    <n v="264.8679245283019"/>
    <n v="-0.54694400911810803"/>
    <n v="4171"/>
  </r>
  <r>
    <n v="150"/>
    <n v="232"/>
    <n v="109"/>
    <n v="4"/>
    <n v="436"/>
    <x v="44"/>
    <x v="12"/>
    <n v="407"/>
    <s v="Молоко"/>
    <s v="Простоквашино"/>
    <n v="294.95238095238096"/>
    <n v="-0.14562479819179852"/>
    <n v="3507"/>
  </r>
  <r>
    <n v="83"/>
    <n v="345"/>
    <n v="267"/>
    <n v="5"/>
    <n v="1335"/>
    <x v="77"/>
    <x v="1"/>
    <n v="287"/>
    <s v="Конфеты"/>
    <s v="Рот Фронт"/>
    <n v="267.85483870967744"/>
    <n v="-3.1914253025833172E-3"/>
    <n v="6053"/>
  </r>
  <r>
    <n v="84"/>
    <n v="281"/>
    <n v="371"/>
    <n v="1"/>
    <n v="371"/>
    <x v="69"/>
    <x v="14"/>
    <n v="11"/>
    <s v="Чай"/>
    <s v="Lipton"/>
    <n v="271.18181818181819"/>
    <n v="0.36808581964465303"/>
    <n v="4943"/>
  </r>
  <r>
    <n v="85"/>
    <n v="276"/>
    <n v="295"/>
    <n v="1"/>
    <n v="295"/>
    <x v="78"/>
    <x v="9"/>
    <n v="458"/>
    <s v="Колбаса"/>
    <s v="Дымов"/>
    <n v="286.92307692307691"/>
    <n v="2.8150134048257502E-2"/>
    <n v="2814"/>
  </r>
  <r>
    <n v="86"/>
    <n v="234"/>
    <n v="75"/>
    <n v="5"/>
    <n v="375"/>
    <x v="79"/>
    <x v="15"/>
    <n v="130"/>
    <s v="Чай"/>
    <s v="Greenfield"/>
    <n v="271.18181818181819"/>
    <n v="-0.72343278578612136"/>
    <n v="6412"/>
  </r>
  <r>
    <n v="87"/>
    <n v="319"/>
    <n v="247"/>
    <n v="2"/>
    <n v="494"/>
    <x v="80"/>
    <x v="0"/>
    <n v="330"/>
    <s v="Йогурт"/>
    <s v="Эрманн"/>
    <n v="263.25423728813558"/>
    <n v="-6.1743497295905225E-2"/>
    <n v="4970"/>
  </r>
  <r>
    <n v="88"/>
    <n v="375"/>
    <n v="281"/>
    <n v="2"/>
    <n v="562"/>
    <x v="81"/>
    <x v="9"/>
    <n v="167"/>
    <s v="Макароны"/>
    <s v="Борилла"/>
    <n v="265.47674418604652"/>
    <n v="5.8473128640883054E-2"/>
    <n v="6852"/>
  </r>
  <r>
    <n v="89"/>
    <n v="443"/>
    <n v="136"/>
    <n v="2"/>
    <n v="272"/>
    <x v="82"/>
    <x v="17"/>
    <n v="140"/>
    <s v="Кофе"/>
    <s v="Jacobs"/>
    <n v="249.02380952380952"/>
    <n v="-0.45386748255091303"/>
    <n v="5248"/>
  </r>
  <r>
    <n v="90"/>
    <n v="30"/>
    <n v="142"/>
    <n v="5"/>
    <n v="710"/>
    <x v="83"/>
    <x v="15"/>
    <n v="423"/>
    <s v="Чипсы"/>
    <s v="Pringles"/>
    <n v="273.72549019607845"/>
    <n v="-0.48123209169054448"/>
    <n v="5885"/>
  </r>
  <r>
    <n v="91"/>
    <n v="24"/>
    <n v="414"/>
    <n v="1"/>
    <n v="414"/>
    <x v="84"/>
    <x v="4"/>
    <n v="365"/>
    <s v="Йогурт"/>
    <s v="Чудо"/>
    <n v="263.25423728813558"/>
    <n v="0.57262425959309815"/>
    <n v="2871"/>
  </r>
  <r>
    <n v="92"/>
    <n v="357"/>
    <n v="206"/>
    <n v="2"/>
    <n v="412"/>
    <x v="85"/>
    <x v="18"/>
    <n v="452"/>
    <s v="Мясо"/>
    <s v="Снежана"/>
    <n v="271.74545454545455"/>
    <n v="-0.24193764217850933"/>
    <n v="4630"/>
  </r>
  <r>
    <n v="93"/>
    <n v="265"/>
    <n v="66"/>
    <n v="1"/>
    <n v="66"/>
    <x v="86"/>
    <x v="16"/>
    <n v="424"/>
    <s v="Мясо"/>
    <s v="Мираторг"/>
    <n v="271.74545454545455"/>
    <n v="-0.75712565234845441"/>
    <n v="3799"/>
  </r>
  <r>
    <n v="94"/>
    <n v="102"/>
    <n v="452"/>
    <n v="1"/>
    <n v="452"/>
    <x v="87"/>
    <x v="13"/>
    <n v="75"/>
    <s v="Печенье"/>
    <s v="Белогорье"/>
    <n v="283.468085106383"/>
    <n v="0.59453576521804385"/>
    <n v="3493"/>
  </r>
  <r>
    <n v="95"/>
    <n v="212"/>
    <n v="175"/>
    <n v="1"/>
    <n v="175"/>
    <x v="88"/>
    <x v="19"/>
    <n v="385"/>
    <s v="Чипсы"/>
    <s v="Lay's"/>
    <n v="273.72549019607845"/>
    <n v="-0.36067335243553011"/>
    <n v="2244"/>
  </r>
  <r>
    <n v="96"/>
    <n v="215"/>
    <n v="109"/>
    <n v="1"/>
    <n v="109"/>
    <x v="89"/>
    <x v="9"/>
    <n v="71"/>
    <s v="Сок"/>
    <s v="Фруктовый сад"/>
    <n v="268.60344827586209"/>
    <n v="-0.59419731690095645"/>
    <n v="9023"/>
  </r>
  <r>
    <n v="97"/>
    <n v="364"/>
    <n v="323"/>
    <n v="2"/>
    <n v="646"/>
    <x v="90"/>
    <x v="17"/>
    <n v="313"/>
    <s v="Сахар"/>
    <s v="Русский сахар"/>
    <n v="254.58333333333334"/>
    <n v="0.26873977086743039"/>
    <n v="4988"/>
  </r>
  <r>
    <n v="98"/>
    <n v="499"/>
    <n v="96"/>
    <n v="1"/>
    <n v="96"/>
    <x v="91"/>
    <x v="5"/>
    <n v="239"/>
    <s v="Печенье"/>
    <s v="Посиделкино"/>
    <n v="283.468085106383"/>
    <n v="-0.66133753659085792"/>
    <n v="3538"/>
  </r>
  <r>
    <n v="99"/>
    <n v="202"/>
    <n v="422"/>
    <n v="2"/>
    <n v="844"/>
    <x v="92"/>
    <x v="5"/>
    <n v="301"/>
    <s v="Овощи"/>
    <s v="Овощной ряд"/>
    <n v="250.48780487804879"/>
    <n v="0.68471275559883149"/>
    <n v="5165"/>
  </r>
  <r>
    <n v="100"/>
    <n v="244"/>
    <n v="57"/>
    <n v="3"/>
    <n v="171"/>
    <x v="93"/>
    <x v="18"/>
    <n v="359"/>
    <s v="Мясо"/>
    <s v="Сава"/>
    <n v="271.74545454545455"/>
    <n v="-0.79024488157366524"/>
    <n v="3405"/>
  </r>
  <r>
    <n v="101"/>
    <n v="363"/>
    <n v="414"/>
    <n v="4"/>
    <n v="1656"/>
    <x v="94"/>
    <x v="17"/>
    <n v="474"/>
    <s v="Хлеб"/>
    <s v="Дарница"/>
    <n v="300.31818181818181"/>
    <n v="0.37853791433328299"/>
    <n v="1848"/>
  </r>
  <r>
    <n v="102"/>
    <n v="212"/>
    <n v="320"/>
    <n v="5"/>
    <n v="1600"/>
    <x v="95"/>
    <x v="2"/>
    <n v="111"/>
    <s v="Чипсы"/>
    <s v="Lay's"/>
    <n v="273.72549019607845"/>
    <n v="0.16905444126074487"/>
    <n v="2244"/>
  </r>
  <r>
    <n v="103"/>
    <n v="434"/>
    <n v="272"/>
    <n v="2"/>
    <n v="544"/>
    <x v="25"/>
    <x v="5"/>
    <n v="126"/>
    <s v="Сыр"/>
    <s v="Сырная долина"/>
    <n v="261.03225806451616"/>
    <n v="4.2016806722688926E-2"/>
    <n v="8943"/>
  </r>
  <r>
    <n v="104"/>
    <n v="305"/>
    <n v="419"/>
    <n v="4"/>
    <n v="1676"/>
    <x v="96"/>
    <x v="19"/>
    <n v="356"/>
    <s v="Печенье"/>
    <s v="Посиделкино"/>
    <n v="283.468085106383"/>
    <n v="0.47812054342115129"/>
    <n v="3538"/>
  </r>
  <r>
    <n v="105"/>
    <n v="37"/>
    <n v="478"/>
    <n v="4"/>
    <n v="1912"/>
    <x v="97"/>
    <x v="4"/>
    <n v="166"/>
    <s v="Соль"/>
    <s v="Илецкая"/>
    <n v="264.8679245283019"/>
    <n v="0.80467303034620308"/>
    <n v="4287"/>
  </r>
  <r>
    <n v="106"/>
    <n v="242"/>
    <n v="333"/>
    <n v="3"/>
    <n v="999"/>
    <x v="64"/>
    <x v="2"/>
    <n v="162"/>
    <s v="Овощи"/>
    <s v="Овощной ряд"/>
    <n v="250.48780487804879"/>
    <n v="0.32940603700097371"/>
    <n v="5165"/>
  </r>
  <r>
    <n v="107"/>
    <n v="332"/>
    <n v="327"/>
    <n v="2"/>
    <n v="654"/>
    <x v="98"/>
    <x v="11"/>
    <n v="459"/>
    <s v="Чай"/>
    <s v="Тесс"/>
    <n v="271.18181818181819"/>
    <n v="0.20583305397251084"/>
    <n v="1127"/>
  </r>
  <r>
    <n v="108"/>
    <n v="452"/>
    <n v="89"/>
    <n v="3"/>
    <n v="267"/>
    <x v="99"/>
    <x v="14"/>
    <n v="211"/>
    <s v="Фрукты"/>
    <s v="Экзотик"/>
    <n v="274.16279069767444"/>
    <n v="-0.67537534990245152"/>
    <n v="4059"/>
  </r>
  <r>
    <n v="109"/>
    <n v="452"/>
    <n v="78"/>
    <n v="3"/>
    <n v="234"/>
    <x v="100"/>
    <x v="2"/>
    <n v="132"/>
    <s v="Фрукты"/>
    <s v="Экзотик"/>
    <n v="274.16279069767444"/>
    <n v="-0.71549749766731696"/>
    <n v="4059"/>
  </r>
  <r>
    <n v="110"/>
    <n v="132"/>
    <n v="278"/>
    <n v="3"/>
    <n v="834"/>
    <x v="101"/>
    <x v="3"/>
    <n v="236"/>
    <s v="Рыба"/>
    <s v="Меридиан"/>
    <n v="258.5128205128205"/>
    <n v="7.5381868676849928E-2"/>
    <n v="4431"/>
  </r>
  <r>
    <n v="111"/>
    <n v="457"/>
    <n v="211"/>
    <n v="4"/>
    <n v="844"/>
    <x v="102"/>
    <x v="9"/>
    <n v="333"/>
    <s v="Сок"/>
    <s v="Rich"/>
    <n v="268.60344827586209"/>
    <n v="-0.21445535656974135"/>
    <n v="1089"/>
  </r>
  <r>
    <n v="112"/>
    <n v="250"/>
    <n v="97"/>
    <n v="5"/>
    <n v="485"/>
    <x v="55"/>
    <x v="19"/>
    <n v="298"/>
    <s v="Фрукты"/>
    <s v="Фрукты-Ягоды"/>
    <n v="274.16279069767444"/>
    <n v="-0.64619560607345838"/>
    <n v="2526"/>
  </r>
  <r>
    <n v="113"/>
    <n v="195"/>
    <n v="240"/>
    <n v="2"/>
    <n v="480"/>
    <x v="103"/>
    <x v="6"/>
    <n v="273"/>
    <s v="Хлеб"/>
    <s v="Каравай"/>
    <n v="300.31818181818181"/>
    <n v="-0.20084758589374907"/>
    <n v="3974"/>
  </r>
  <r>
    <n v="114"/>
    <n v="186"/>
    <n v="244"/>
    <n v="1"/>
    <n v="244"/>
    <x v="104"/>
    <x v="9"/>
    <n v="321"/>
    <s v="Сыр"/>
    <s v="President"/>
    <n v="261.03225806451616"/>
    <n v="-6.5249629263470221E-2"/>
    <n v="3935"/>
  </r>
  <r>
    <n v="115"/>
    <n v="490"/>
    <n v="219"/>
    <n v="1"/>
    <n v="219"/>
    <x v="105"/>
    <x v="12"/>
    <n v="119"/>
    <s v="Сыр"/>
    <s v="Сырная долина"/>
    <n v="261.03225806451616"/>
    <n v="-0.16102323282254083"/>
    <n v="8943"/>
  </r>
  <r>
    <n v="116"/>
    <n v="72"/>
    <n v="162"/>
    <n v="1"/>
    <n v="162"/>
    <x v="106"/>
    <x v="9"/>
    <n v="472"/>
    <s v="Конфеты"/>
    <s v="Бабаевский"/>
    <n v="267.85483870967744"/>
    <n v="-0.39519479737460106"/>
    <n v="6757"/>
  </r>
  <r>
    <n v="117"/>
    <n v="430"/>
    <n v="119"/>
    <n v="3"/>
    <n v="357"/>
    <x v="107"/>
    <x v="16"/>
    <n v="396"/>
    <s v="Чай"/>
    <s v="Ахмад"/>
    <n v="271.18181818181819"/>
    <n v="-0.56118002011397916"/>
    <n v="2433"/>
  </r>
  <r>
    <n v="118"/>
    <n v="223"/>
    <n v="174"/>
    <n v="2"/>
    <n v="348"/>
    <x v="108"/>
    <x v="6"/>
    <n v="269"/>
    <s v="Чай"/>
    <s v="Greenfield"/>
    <n v="271.18181818181819"/>
    <n v="-0.35836406302380153"/>
    <n v="6412"/>
  </r>
  <r>
    <n v="569"/>
    <n v="474"/>
    <n v="261"/>
    <n v="2"/>
    <n v="522"/>
    <x v="109"/>
    <x v="19"/>
    <n v="88"/>
    <s v="Молоко"/>
    <s v="Простоквашино"/>
    <n v="294.95238095238096"/>
    <n v="0.19002260251856629"/>
    <n v="3507"/>
  </r>
  <r>
    <n v="120"/>
    <n v="223"/>
    <n v="411"/>
    <n v="5"/>
    <n v="2055"/>
    <x v="20"/>
    <x v="15"/>
    <n v="281"/>
    <s v="Чай"/>
    <s v="Greenfield"/>
    <n v="271.18181818181819"/>
    <n v="0.51558833389205505"/>
    <n v="6412"/>
  </r>
  <r>
    <n v="121"/>
    <n v="244"/>
    <n v="245"/>
    <n v="4"/>
    <n v="980"/>
    <x v="110"/>
    <x v="17"/>
    <n v="149"/>
    <s v="Мясо"/>
    <s v="Сава"/>
    <n v="271.74545454545455"/>
    <n v="-9.8420982202595986E-2"/>
    <n v="3405"/>
  </r>
  <r>
    <n v="122"/>
    <n v="393"/>
    <n v="113"/>
    <n v="5"/>
    <n v="565"/>
    <x v="111"/>
    <x v="11"/>
    <n v="71"/>
    <s v="Рыба"/>
    <s v="Русское море"/>
    <n v="258.5128205128205"/>
    <n v="-0.56288434834358259"/>
    <n v="878"/>
  </r>
  <r>
    <n v="123"/>
    <n v="166"/>
    <n v="73"/>
    <n v="4"/>
    <n v="292"/>
    <x v="72"/>
    <x v="16"/>
    <n v="126"/>
    <s v="Сок"/>
    <s v="Добрый"/>
    <n v="268.60344827586209"/>
    <n v="-0.72822389113550301"/>
    <n v="2671"/>
  </r>
  <r>
    <n v="124"/>
    <n v="249"/>
    <n v="368"/>
    <n v="2"/>
    <n v="736"/>
    <x v="112"/>
    <x v="14"/>
    <n v="380"/>
    <s v="Чай"/>
    <s v="Lipton"/>
    <n v="271.18181818181819"/>
    <n v="0.35702313107609784"/>
    <n v="4943"/>
  </r>
  <r>
    <n v="125"/>
    <n v="83"/>
    <n v="351"/>
    <n v="1"/>
    <n v="351"/>
    <x v="113"/>
    <x v="7"/>
    <n v="11"/>
    <s v="Сок"/>
    <s v="Сады Придонья"/>
    <n v="268.60344827586209"/>
    <n v="0.30675909878682828"/>
    <n v="2796"/>
  </r>
  <r>
    <n v="126"/>
    <n v="242"/>
    <n v="221"/>
    <n v="5"/>
    <n v="1105"/>
    <x v="114"/>
    <x v="12"/>
    <n v="114"/>
    <s v="Овощи"/>
    <s v="Овощной ряд"/>
    <n v="250.48780487804879"/>
    <n v="-0.11772151898734184"/>
    <n v="5165"/>
  </r>
  <r>
    <n v="127"/>
    <n v="281"/>
    <n v="442"/>
    <n v="5"/>
    <n v="2210"/>
    <x v="115"/>
    <x v="2"/>
    <n v="381"/>
    <s v="Чай"/>
    <s v="Lipton"/>
    <n v="271.18181818181819"/>
    <n v="0.6299027824337915"/>
    <n v="4943"/>
  </r>
  <r>
    <n v="128"/>
    <n v="236"/>
    <n v="465"/>
    <n v="1"/>
    <n v="465"/>
    <x v="104"/>
    <x v="18"/>
    <n v="342"/>
    <s v="Печенье"/>
    <s v="Посиделкино"/>
    <n v="283.468085106383"/>
    <n v="0.64039630713803186"/>
    <n v="3538"/>
  </r>
  <r>
    <n v="129"/>
    <n v="379"/>
    <n v="380"/>
    <n v="1"/>
    <n v="380"/>
    <x v="116"/>
    <x v="18"/>
    <n v="276"/>
    <s v="Йогурт"/>
    <s v="Активиа"/>
    <n v="263.25423728813558"/>
    <n v="0.44347154262168442"/>
    <n v="1762"/>
  </r>
  <r>
    <n v="130"/>
    <n v="37"/>
    <n v="313"/>
    <n v="1"/>
    <n v="313"/>
    <x v="117"/>
    <x v="8"/>
    <n v="293"/>
    <s v="Соль"/>
    <s v="Илецкая"/>
    <n v="264.8679245283019"/>
    <n v="0.18172104288360158"/>
    <n v="4287"/>
  </r>
  <r>
    <n v="131"/>
    <n v="431"/>
    <n v="141"/>
    <n v="5"/>
    <n v="705"/>
    <x v="118"/>
    <x v="10"/>
    <n v="386"/>
    <s v="Овощи"/>
    <s v="Гавриш"/>
    <n v="250.48780487804879"/>
    <n v="-0.43709834469328146"/>
    <n v="2229"/>
  </r>
  <r>
    <n v="132"/>
    <n v="237"/>
    <n v="348"/>
    <n v="2"/>
    <n v="696"/>
    <x v="119"/>
    <x v="1"/>
    <n v="362"/>
    <s v="Конфеты"/>
    <s v="Рот Фронт"/>
    <n v="267.85483870967744"/>
    <n v="0.29921117601011615"/>
    <n v="6053"/>
  </r>
  <r>
    <n v="133"/>
    <n v="452"/>
    <n v="349"/>
    <n v="1"/>
    <n v="349"/>
    <x v="67"/>
    <x v="3"/>
    <n v="283"/>
    <s v="Фрукты"/>
    <s v="Экзотик"/>
    <n v="274.16279069767444"/>
    <n v="0.27296632453982528"/>
    <n v="4059"/>
  </r>
  <r>
    <n v="134"/>
    <n v="382"/>
    <n v="379"/>
    <n v="5"/>
    <n v="1895"/>
    <x v="120"/>
    <x v="8"/>
    <n v="388"/>
    <s v="Овощи"/>
    <s v="Овощной ряд"/>
    <n v="250.48780487804879"/>
    <n v="0.51304771178188902"/>
    <n v="5165"/>
  </r>
  <r>
    <n v="135"/>
    <n v="452"/>
    <n v="448"/>
    <n v="4"/>
    <n v="1792"/>
    <x v="121"/>
    <x v="18"/>
    <n v="437"/>
    <s v="Фрукты"/>
    <s v="Экзотик"/>
    <n v="274.16279069767444"/>
    <n v="0.63406565442361518"/>
    <n v="4059"/>
  </r>
  <r>
    <n v="136"/>
    <n v="463"/>
    <n v="173"/>
    <n v="2"/>
    <n v="346"/>
    <x v="122"/>
    <x v="14"/>
    <n v="450"/>
    <s v="Кофе"/>
    <s v="Черная Карта"/>
    <n v="249.02380952380952"/>
    <n v="-0.30528731236255857"/>
    <n v="2222"/>
  </r>
  <r>
    <n v="137"/>
    <n v="494"/>
    <n v="304"/>
    <n v="3"/>
    <n v="912"/>
    <x v="123"/>
    <x v="6"/>
    <n v="136"/>
    <s v="Сыр"/>
    <s v="Сырная долина"/>
    <n v="261.03225806451616"/>
    <n v="0.16460701927829935"/>
    <n v="8943"/>
  </r>
  <r>
    <n v="138"/>
    <n v="394"/>
    <n v="493"/>
    <n v="3"/>
    <n v="1479"/>
    <x v="9"/>
    <x v="4"/>
    <n v="61"/>
    <s v="Кофе"/>
    <s v="Черная Карта"/>
    <n v="249.02380952380952"/>
    <n v="0.97973037575294009"/>
    <n v="2222"/>
  </r>
  <r>
    <n v="139"/>
    <n v="380"/>
    <n v="344"/>
    <n v="5"/>
    <n v="1720"/>
    <x v="80"/>
    <x v="4"/>
    <n v="364"/>
    <s v="Конфеты"/>
    <s v="Бабаевский"/>
    <n v="267.85483870967744"/>
    <n v="0.2842777142168964"/>
    <n v="6757"/>
  </r>
  <r>
    <n v="140"/>
    <n v="449"/>
    <n v="470"/>
    <n v="4"/>
    <n v="1880"/>
    <x v="124"/>
    <x v="10"/>
    <n v="496"/>
    <s v="Мясо"/>
    <s v="Агрокомплекс"/>
    <n v="271.74545454545455"/>
    <n v="0.72955974842767302"/>
    <n v="3112"/>
  </r>
  <r>
    <n v="141"/>
    <n v="309"/>
    <n v="498"/>
    <n v="1"/>
    <n v="498"/>
    <x v="125"/>
    <x v="10"/>
    <n v="464"/>
    <s v="Конфеты"/>
    <s v="Рот Фронт"/>
    <n v="267.85483870967744"/>
    <n v="0.85921599325585585"/>
    <n v="6053"/>
  </r>
  <r>
    <n v="564"/>
    <n v="274"/>
    <n v="472"/>
    <n v="3"/>
    <n v="1416"/>
    <x v="126"/>
    <x v="1"/>
    <n v="272"/>
    <s v="Молоко"/>
    <s v="Простоквашино"/>
    <n v="294.95238095238096"/>
    <n v="-0.19648046496609628"/>
    <n v="3507"/>
  </r>
  <r>
    <n v="143"/>
    <n v="81"/>
    <n v="116"/>
    <n v="1"/>
    <n v="116"/>
    <x v="53"/>
    <x v="19"/>
    <n v="247"/>
    <s v="Чай"/>
    <s v="Тесс"/>
    <n v="271.18181818181819"/>
    <n v="-0.57224270868253435"/>
    <n v="1127"/>
  </r>
  <r>
    <n v="144"/>
    <n v="4"/>
    <n v="314"/>
    <n v="4"/>
    <n v="1256"/>
    <x v="127"/>
    <x v="6"/>
    <n v="380"/>
    <s v="Рис"/>
    <s v="Белый Злат"/>
    <n v="258.375"/>
    <n v="0.21528785679729068"/>
    <n v="4585"/>
  </r>
  <r>
    <n v="145"/>
    <n v="209"/>
    <n v="284"/>
    <n v="5"/>
    <n v="1420"/>
    <x v="128"/>
    <x v="4"/>
    <n v="75"/>
    <s v="Хлеб"/>
    <s v="Русский Хлеб"/>
    <n v="300.31818181818181"/>
    <n v="-5.4336309974269748E-2"/>
    <n v="3166"/>
  </r>
  <r>
    <n v="146"/>
    <n v="156"/>
    <n v="332"/>
    <n v="1"/>
    <n v="332"/>
    <x v="129"/>
    <x v="9"/>
    <n v="356"/>
    <s v="Фрукты"/>
    <s v="Фрукты-Ягоды"/>
    <n v="274.16279069767444"/>
    <n v="0.21095936890321476"/>
    <n v="2526"/>
  </r>
  <r>
    <n v="147"/>
    <n v="441"/>
    <n v="239"/>
    <n v="2"/>
    <n v="478"/>
    <x v="130"/>
    <x v="16"/>
    <n v="487"/>
    <s v="Чай"/>
    <s v="Lipton"/>
    <n v="271.18181818181819"/>
    <n v="-0.11867247737177344"/>
    <n v="4943"/>
  </r>
  <r>
    <n v="148"/>
    <n v="180"/>
    <n v="86"/>
    <n v="4"/>
    <n v="344"/>
    <x v="24"/>
    <x v="9"/>
    <n v="73"/>
    <s v="Чипсы"/>
    <s v="Русская картошка"/>
    <n v="273.72549019607845"/>
    <n v="-0.68581661891117474"/>
    <n v="2902"/>
  </r>
  <r>
    <n v="149"/>
    <n v="438"/>
    <n v="154"/>
    <n v="4"/>
    <n v="616"/>
    <x v="131"/>
    <x v="4"/>
    <n v="139"/>
    <s v="Кофе"/>
    <s v="Nescafe"/>
    <n v="249.02380952380952"/>
    <n v="-0.38158523759441632"/>
    <n v="2569"/>
  </r>
  <r>
    <n v="692"/>
    <n v="474"/>
    <n v="252"/>
    <n v="3"/>
    <n v="756"/>
    <x v="132"/>
    <x v="5"/>
    <n v="470"/>
    <s v="Молоко"/>
    <s v="Простоквашино"/>
    <n v="294.95238095238096"/>
    <n v="-0.75250242169841786"/>
    <n v="3507"/>
  </r>
  <r>
    <n v="119"/>
    <n v="164"/>
    <n v="229"/>
    <n v="3"/>
    <n v="687"/>
    <x v="133"/>
    <x v="14"/>
    <n v="16"/>
    <s v="Молоко"/>
    <s v="Беллакт"/>
    <n v="294.95238095238096"/>
    <n v="-0.11511139812721993"/>
    <n v="3548"/>
  </r>
  <r>
    <n v="152"/>
    <n v="295"/>
    <n v="230"/>
    <n v="4"/>
    <n v="920"/>
    <x v="134"/>
    <x v="4"/>
    <n v="258"/>
    <s v="Печенье"/>
    <s v="Белогорье"/>
    <n v="283.468085106383"/>
    <n v="-0.18862118141559714"/>
    <n v="3493"/>
  </r>
  <r>
    <n v="153"/>
    <n v="204"/>
    <n v="88"/>
    <n v="4"/>
    <n v="352"/>
    <x v="134"/>
    <x v="16"/>
    <n v="349"/>
    <s v="Печенье"/>
    <s v="Юбилейное"/>
    <n v="283.468085106383"/>
    <n v="-0.68955940854161979"/>
    <n v="2092"/>
  </r>
  <r>
    <n v="154"/>
    <n v="399"/>
    <n v="231"/>
    <n v="2"/>
    <n v="462"/>
    <x v="88"/>
    <x v="15"/>
    <n v="325"/>
    <s v="Хлеб"/>
    <s v="Хлебный Дом"/>
    <n v="300.31818181818181"/>
    <n v="-0.2308158014227335"/>
    <n v="4226"/>
  </r>
  <r>
    <n v="155"/>
    <n v="221"/>
    <n v="477"/>
    <n v="4"/>
    <n v="1908"/>
    <x v="135"/>
    <x v="7"/>
    <n v="276"/>
    <s v="Чипсы"/>
    <s v="Pringles"/>
    <n v="273.72549019607845"/>
    <n v="0.74262177650429795"/>
    <n v="5885"/>
  </r>
  <r>
    <n v="156"/>
    <n v="333"/>
    <n v="74"/>
    <n v="2"/>
    <n v="148"/>
    <x v="136"/>
    <x v="8"/>
    <n v="328"/>
    <s v="Рыба"/>
    <s v="Санта Бремор"/>
    <n v="258.5128205128205"/>
    <n v="-0.71374727236659385"/>
    <n v="2164"/>
  </r>
  <r>
    <n v="926"/>
    <n v="222"/>
    <n v="168"/>
    <n v="3"/>
    <n v="504"/>
    <x v="112"/>
    <x v="13"/>
    <n v="79"/>
    <s v="Молоко"/>
    <s v="Простоквашино"/>
    <n v="294.95238095238096"/>
    <n v="0.4578624475298676"/>
    <n v="3507"/>
  </r>
  <r>
    <n v="158"/>
    <n v="476"/>
    <n v="286"/>
    <n v="2"/>
    <n v="572"/>
    <x v="62"/>
    <x v="11"/>
    <n v="397"/>
    <s v="Рыба"/>
    <s v="Балтийский берег"/>
    <n v="258.5128205128205"/>
    <n v="0.10632810950208293"/>
    <n v="2609"/>
  </r>
  <r>
    <n v="159"/>
    <n v="126"/>
    <n v="273"/>
    <n v="3"/>
    <n v="819"/>
    <x v="137"/>
    <x v="8"/>
    <n v="153"/>
    <s v="Сахар"/>
    <s v="Русский сахар"/>
    <n v="254.58333333333334"/>
    <n v="7.2340425531914887E-2"/>
    <n v="4988"/>
  </r>
  <r>
    <n v="160"/>
    <n v="255"/>
    <n v="279"/>
    <n v="3"/>
    <n v="837"/>
    <x v="138"/>
    <x v="2"/>
    <n v="286"/>
    <s v="Кофе"/>
    <s v="Nescafe"/>
    <n v="249.02380952380952"/>
    <n v="0.12037479682570029"/>
    <n v="2569"/>
  </r>
  <r>
    <n v="161"/>
    <n v="138"/>
    <n v="210"/>
    <n v="2"/>
    <n v="420"/>
    <x v="139"/>
    <x v="5"/>
    <n v="14"/>
    <s v="Сыр"/>
    <s v="Сырная долина"/>
    <n v="261.03225806451616"/>
    <n v="-0.19550173010380634"/>
    <n v="8943"/>
  </r>
  <r>
    <n v="162"/>
    <n v="403"/>
    <n v="229"/>
    <n v="1"/>
    <n v="229"/>
    <x v="140"/>
    <x v="9"/>
    <n v="32"/>
    <s v="Чай"/>
    <s v="Ахмад"/>
    <n v="271.18181818181819"/>
    <n v="-0.15554810593362389"/>
    <n v="2433"/>
  </r>
  <r>
    <n v="163"/>
    <n v="280"/>
    <n v="192"/>
    <n v="2"/>
    <n v="384"/>
    <x v="141"/>
    <x v="0"/>
    <n v="49"/>
    <s v="Сыр"/>
    <s v="President"/>
    <n v="261.03225806451616"/>
    <n v="-0.26445872466633724"/>
    <n v="3935"/>
  </r>
  <r>
    <n v="164"/>
    <n v="356"/>
    <n v="373"/>
    <n v="1"/>
    <n v="373"/>
    <x v="142"/>
    <x v="2"/>
    <n v="115"/>
    <s v="Печенье"/>
    <s v="Посиделкино"/>
    <n v="283.468085106383"/>
    <n v="0.31584477970427072"/>
    <n v="3538"/>
  </r>
  <r>
    <n v="165"/>
    <n v="41"/>
    <n v="315"/>
    <n v="3"/>
    <n v="945"/>
    <x v="143"/>
    <x v="13"/>
    <n v="420"/>
    <s v="Рис"/>
    <s v="Агро-Альянс"/>
    <n v="258.375"/>
    <n v="0.21915820029027566"/>
    <n v="2225"/>
  </r>
  <r>
    <n v="166"/>
    <n v="379"/>
    <n v="321"/>
    <n v="5"/>
    <n v="1605"/>
    <x v="9"/>
    <x v="9"/>
    <n v="47"/>
    <s v="Йогурт"/>
    <s v="Активиа"/>
    <n v="263.25423728813558"/>
    <n v="0.21935359258305431"/>
    <n v="1762"/>
  </r>
  <r>
    <n v="167"/>
    <n v="282"/>
    <n v="189"/>
    <n v="2"/>
    <n v="378"/>
    <x v="19"/>
    <x v="9"/>
    <n v="202"/>
    <s v="Рис"/>
    <s v="Агро-Альянс"/>
    <n v="258.375"/>
    <n v="-0.26850507982583449"/>
    <n v="2225"/>
  </r>
  <r>
    <n v="168"/>
    <n v="459"/>
    <n v="405"/>
    <n v="3"/>
    <n v="1215"/>
    <x v="144"/>
    <x v="2"/>
    <n v="37"/>
    <s v="Крупа"/>
    <s v="Националь"/>
    <n v="255.11627906976744"/>
    <n v="0.58751139471285319"/>
    <n v="1920"/>
  </r>
  <r>
    <n v="169"/>
    <n v="402"/>
    <n v="426"/>
    <n v="2"/>
    <n v="852"/>
    <x v="26"/>
    <x v="17"/>
    <n v="366"/>
    <s v="Хлеб"/>
    <s v="Каравай"/>
    <n v="300.31818181818181"/>
    <n v="0.41849553503859549"/>
    <n v="3974"/>
  </r>
  <r>
    <n v="170"/>
    <n v="320"/>
    <n v="271"/>
    <n v="1"/>
    <n v="271"/>
    <x v="145"/>
    <x v="19"/>
    <n v="434"/>
    <s v="Конфеты"/>
    <s v="Бабаевский"/>
    <n v="267.85483870967744"/>
    <n v="1.1742036490636432E-2"/>
    <n v="6757"/>
  </r>
  <r>
    <n v="171"/>
    <n v="19"/>
    <n v="96"/>
    <n v="4"/>
    <n v="384"/>
    <x v="146"/>
    <x v="1"/>
    <n v="172"/>
    <s v="Мясо"/>
    <s v="Снежана"/>
    <n v="271.74545454545455"/>
    <n v="-0.6467282215977519"/>
    <n v="4630"/>
  </r>
  <r>
    <n v="172"/>
    <n v="447"/>
    <n v="65"/>
    <n v="1"/>
    <n v="65"/>
    <x v="147"/>
    <x v="3"/>
    <n v="52"/>
    <s v="Йогурт"/>
    <s v="Эрманн"/>
    <n v="263.25423728813558"/>
    <n v="-0.75309039402523825"/>
    <n v="4970"/>
  </r>
  <r>
    <n v="173"/>
    <n v="406"/>
    <n v="426"/>
    <n v="1"/>
    <n v="426"/>
    <x v="148"/>
    <x v="4"/>
    <n v="395"/>
    <s v="Сок"/>
    <s v="Фруктовый сад"/>
    <n v="268.60344827586209"/>
    <n v="0.58598112844213346"/>
    <n v="9023"/>
  </r>
  <r>
    <n v="174"/>
    <n v="391"/>
    <n v="356"/>
    <n v="2"/>
    <n v="712"/>
    <x v="149"/>
    <x v="4"/>
    <n v="46"/>
    <s v="Рыба"/>
    <s v="Балтийский берег"/>
    <n v="258.5128205128205"/>
    <n v="0.37710771672287247"/>
    <n v="2609"/>
  </r>
  <r>
    <n v="175"/>
    <n v="82"/>
    <n v="233"/>
    <n v="2"/>
    <n v="466"/>
    <x v="150"/>
    <x v="16"/>
    <n v="361"/>
    <s v="Сыр"/>
    <s v="Hochland"/>
    <n v="261.03225806451616"/>
    <n v="-0.10739001482946131"/>
    <n v="504"/>
  </r>
  <r>
    <n v="176"/>
    <n v="243"/>
    <n v="494"/>
    <n v="5"/>
    <n v="2470"/>
    <x v="151"/>
    <x v="19"/>
    <n v="358"/>
    <s v="Рис"/>
    <s v="Белый Злат"/>
    <n v="258.375"/>
    <n v="0.91194968553459121"/>
    <n v="4585"/>
  </r>
  <r>
    <n v="177"/>
    <n v="432"/>
    <n v="305"/>
    <n v="3"/>
    <n v="915"/>
    <x v="152"/>
    <x v="14"/>
    <n v="44"/>
    <s v="Макароны"/>
    <s v="Борилла"/>
    <n v="265.47674418604652"/>
    <n v="0.14887652752836056"/>
    <n v="6852"/>
  </r>
  <r>
    <n v="178"/>
    <n v="159"/>
    <n v="173"/>
    <n v="4"/>
    <n v="692"/>
    <x v="149"/>
    <x v="2"/>
    <n v="416"/>
    <s v="Крупа"/>
    <s v="Националь"/>
    <n v="255.11627906976744"/>
    <n v="-0.32187784867821334"/>
    <n v="1920"/>
  </r>
  <r>
    <n v="179"/>
    <n v="197"/>
    <n v="177"/>
    <n v="2"/>
    <n v="354"/>
    <x v="153"/>
    <x v="15"/>
    <n v="153"/>
    <s v="Печенье"/>
    <s v="Юбилейное"/>
    <n v="283.468085106383"/>
    <n v="-0.37559108308939437"/>
    <n v="2092"/>
  </r>
  <r>
    <n v="180"/>
    <n v="110"/>
    <n v="261"/>
    <n v="1"/>
    <n v="261"/>
    <x v="154"/>
    <x v="13"/>
    <n v="223"/>
    <s v="Макароны"/>
    <s v="Паста Зара"/>
    <n v="265.47674418604652"/>
    <n v="-1.6863037098681644E-2"/>
    <n v="10237"/>
  </r>
  <r>
    <n v="181"/>
    <n v="288"/>
    <n v="198"/>
    <n v="5"/>
    <n v="990"/>
    <x v="155"/>
    <x v="18"/>
    <n v="74"/>
    <s v="Сыр"/>
    <s v="Hochland"/>
    <n v="261.03225806451616"/>
    <n v="-0.24147305981216027"/>
    <n v="504"/>
  </r>
  <r>
    <n v="182"/>
    <n v="7"/>
    <n v="114"/>
    <n v="3"/>
    <n v="342"/>
    <x v="20"/>
    <x v="14"/>
    <n v="180"/>
    <s v="Сыр"/>
    <s v="President"/>
    <n v="261.03225806451616"/>
    <n v="-0.56327236777063772"/>
    <n v="3935"/>
  </r>
  <r>
    <n v="183"/>
    <n v="385"/>
    <n v="427"/>
    <n v="3"/>
    <n v="1281"/>
    <x v="91"/>
    <x v="19"/>
    <n v="359"/>
    <s v="Макароны"/>
    <s v="Макфа"/>
    <n v="265.47674418604652"/>
    <n v="0.60842713853970465"/>
    <n v="3622"/>
  </r>
  <r>
    <n v="184"/>
    <n v="493"/>
    <n v="376"/>
    <n v="1"/>
    <n v="376"/>
    <x v="156"/>
    <x v="0"/>
    <n v="134"/>
    <s v="Овощи"/>
    <s v="Овощной ряд"/>
    <n v="250.48780487804879"/>
    <n v="0.50107108081791618"/>
    <n v="5165"/>
  </r>
  <r>
    <n v="185"/>
    <n v="158"/>
    <n v="51"/>
    <n v="2"/>
    <n v="102"/>
    <x v="154"/>
    <x v="3"/>
    <n v="159"/>
    <s v="Сахар"/>
    <s v="Сладов"/>
    <n v="254.58333333333334"/>
    <n v="-0.79967266775777412"/>
    <n v="3604"/>
  </r>
  <r>
    <n v="186"/>
    <n v="446"/>
    <n v="316"/>
    <n v="2"/>
    <n v="632"/>
    <x v="118"/>
    <x v="8"/>
    <n v="328"/>
    <s v="Чипсы"/>
    <s v="Lay's"/>
    <n v="273.72549019607845"/>
    <n v="0.15444126074498565"/>
    <n v="2244"/>
  </r>
  <r>
    <n v="187"/>
    <n v="428"/>
    <n v="156"/>
    <n v="1"/>
    <n v="156"/>
    <x v="157"/>
    <x v="8"/>
    <n v="325"/>
    <s v="Конфеты"/>
    <s v="Бабаевский"/>
    <n v="267.85483870967744"/>
    <n v="-0.41759499006443068"/>
    <n v="6757"/>
  </r>
  <r>
    <n v="188"/>
    <n v="192"/>
    <n v="215"/>
    <n v="1"/>
    <n v="215"/>
    <x v="158"/>
    <x v="18"/>
    <n v="106"/>
    <s v="Мясо"/>
    <s v="Снежана"/>
    <n v="271.74545454545455"/>
    <n v="-0.2088184129532985"/>
    <n v="4630"/>
  </r>
  <r>
    <n v="189"/>
    <n v="41"/>
    <n v="59"/>
    <n v="1"/>
    <n v="59"/>
    <x v="67"/>
    <x v="1"/>
    <n v="65"/>
    <s v="Рис"/>
    <s v="Агро-Альянс"/>
    <n v="258.375"/>
    <n v="-0.77164973391388481"/>
    <n v="2225"/>
  </r>
  <r>
    <n v="190"/>
    <n v="69"/>
    <n v="88"/>
    <n v="4"/>
    <n v="352"/>
    <x v="159"/>
    <x v="4"/>
    <n v="346"/>
    <s v="Чипсы"/>
    <s v="Estrella"/>
    <n v="273.72549019607845"/>
    <n v="-0.67851002865329513"/>
    <n v="2929"/>
  </r>
  <r>
    <n v="191"/>
    <n v="270"/>
    <n v="484"/>
    <n v="4"/>
    <n v="1936"/>
    <x v="160"/>
    <x v="0"/>
    <n v="457"/>
    <s v="Соль"/>
    <s v="Славянская"/>
    <n v="264.8679245283019"/>
    <n v="0.82732582989029768"/>
    <n v="2843"/>
  </r>
  <r>
    <n v="192"/>
    <n v="345"/>
    <n v="257"/>
    <n v="1"/>
    <n v="257"/>
    <x v="161"/>
    <x v="1"/>
    <n v="255"/>
    <s v="Конфеты"/>
    <s v="Рот Фронт"/>
    <n v="267.85483870967744"/>
    <n v="-4.0525079785632578E-2"/>
    <n v="6053"/>
  </r>
  <r>
    <n v="193"/>
    <n v="348"/>
    <n v="497"/>
    <n v="3"/>
    <n v="1491"/>
    <x v="162"/>
    <x v="0"/>
    <n v="42"/>
    <s v="Чипсы"/>
    <s v="Estrella"/>
    <n v="273.72549019607845"/>
    <n v="0.81568767908309447"/>
    <n v="2929"/>
  </r>
  <r>
    <n v="194"/>
    <n v="102"/>
    <n v="115"/>
    <n v="2"/>
    <n v="230"/>
    <x v="163"/>
    <x v="8"/>
    <n v="385"/>
    <s v="Печенье"/>
    <s v="Белогорье"/>
    <n v="283.468085106383"/>
    <n v="-0.59431059070779857"/>
    <n v="3493"/>
  </r>
  <r>
    <n v="195"/>
    <n v="321"/>
    <n v="368"/>
    <n v="1"/>
    <n v="368"/>
    <x v="164"/>
    <x v="17"/>
    <n v="436"/>
    <s v="Мясо"/>
    <s v="Сава"/>
    <n v="271.74545454545455"/>
    <n v="0.35420848387528436"/>
    <n v="3405"/>
  </r>
  <r>
    <n v="196"/>
    <n v="176"/>
    <n v="113"/>
    <n v="4"/>
    <n v="452"/>
    <x v="165"/>
    <x v="14"/>
    <n v="175"/>
    <s v="Сахар"/>
    <s v="Продимекс"/>
    <n v="254.58333333333334"/>
    <n v="-0.55613747954173487"/>
    <n v="5172"/>
  </r>
  <r>
    <n v="197"/>
    <n v="341"/>
    <n v="194"/>
    <n v="3"/>
    <n v="582"/>
    <x v="166"/>
    <x v="7"/>
    <n v="274"/>
    <s v="Макароны"/>
    <s v="Макфа"/>
    <n v="265.47674418604652"/>
    <n v="-0.26923919232622318"/>
    <n v="3622"/>
  </r>
  <r>
    <n v="198"/>
    <n v="473"/>
    <n v="171"/>
    <n v="4"/>
    <n v="684"/>
    <x v="18"/>
    <x v="19"/>
    <n v="266"/>
    <s v="Хлеб"/>
    <s v="Хлебный Дом"/>
    <n v="300.31818181818181"/>
    <n v="-0.43060390494929623"/>
    <n v="4226"/>
  </r>
  <r>
    <n v="199"/>
    <n v="482"/>
    <n v="321"/>
    <n v="2"/>
    <n v="642"/>
    <x v="91"/>
    <x v="2"/>
    <n v="481"/>
    <s v="Крупа"/>
    <s v="Мистраль"/>
    <n v="255.11627906976744"/>
    <n v="0.25824977210574285"/>
    <n v="3254"/>
  </r>
  <r>
    <n v="200"/>
    <n v="169"/>
    <n v="386"/>
    <n v="5"/>
    <n v="1930"/>
    <x v="167"/>
    <x v="10"/>
    <n v="59"/>
    <s v="Фрукты"/>
    <s v="Фруктовый Рай"/>
    <n v="274.16279069767444"/>
    <n v="0.4079226397489184"/>
    <n v="3358"/>
  </r>
  <r>
    <n v="201"/>
    <n v="397"/>
    <n v="148"/>
    <n v="1"/>
    <n v="148"/>
    <x v="168"/>
    <x v="13"/>
    <n v="47"/>
    <s v="Йогурт"/>
    <s v="Ростагроэкспорт"/>
    <n v="263.25423728813558"/>
    <n v="-0.43780582024208081"/>
    <n v="5929"/>
  </r>
  <r>
    <n v="202"/>
    <n v="436"/>
    <n v="291"/>
    <n v="2"/>
    <n v="582"/>
    <x v="98"/>
    <x v="13"/>
    <n v="385"/>
    <s v="Овощи"/>
    <s v="Гавриш"/>
    <n v="250.48780487804879"/>
    <n v="0.16173320350535536"/>
    <n v="2229"/>
  </r>
  <r>
    <n v="847"/>
    <n v="206"/>
    <n v="93"/>
    <n v="2"/>
    <n v="186"/>
    <x v="169"/>
    <x v="9"/>
    <n v="155"/>
    <s v="Молоко"/>
    <s v="Домик в деревне"/>
    <n v="294.95238095238096"/>
    <n v="-0.31514368743945753"/>
    <n v="4946"/>
  </r>
  <r>
    <n v="204"/>
    <n v="361"/>
    <n v="245"/>
    <n v="1"/>
    <n v="245"/>
    <x v="170"/>
    <x v="16"/>
    <n v="259"/>
    <s v="Мясо"/>
    <s v="Сава"/>
    <n v="271.74545454545455"/>
    <n v="-9.8420982202595986E-2"/>
    <n v="3405"/>
  </r>
  <r>
    <n v="205"/>
    <n v="226"/>
    <n v="339"/>
    <n v="4"/>
    <n v="1356"/>
    <x v="171"/>
    <x v="7"/>
    <n v="337"/>
    <s v="Сыр"/>
    <s v="Карат"/>
    <n v="261.03225806451616"/>
    <n v="0.29869006426099842"/>
    <n v="2802"/>
  </r>
  <r>
    <n v="206"/>
    <n v="87"/>
    <n v="487"/>
    <n v="1"/>
    <n v="487"/>
    <x v="172"/>
    <x v="9"/>
    <n v="172"/>
    <s v="Кофе"/>
    <s v="Jacobs"/>
    <n v="249.02380952380952"/>
    <n v="0.95563629410077455"/>
    <n v="5248"/>
  </r>
  <r>
    <n v="207"/>
    <n v="376"/>
    <n v="335"/>
    <n v="5"/>
    <n v="1675"/>
    <x v="173"/>
    <x v="9"/>
    <n v="130"/>
    <s v="Конфеты"/>
    <s v="Красный Октябрь"/>
    <n v="267.85483870967744"/>
    <n v="0.25067742518215197"/>
    <n v="2189"/>
  </r>
  <r>
    <n v="208"/>
    <n v="255"/>
    <n v="214"/>
    <n v="2"/>
    <n v="428"/>
    <x v="174"/>
    <x v="4"/>
    <n v="354"/>
    <s v="Кофе"/>
    <s v="Nescafe"/>
    <n v="249.02380952380952"/>
    <n v="-0.14064442107276032"/>
    <n v="2569"/>
  </r>
  <r>
    <n v="209"/>
    <n v="111"/>
    <n v="452"/>
    <n v="4"/>
    <n v="1808"/>
    <x v="82"/>
    <x v="7"/>
    <n v="329"/>
    <s v="Сахар"/>
    <s v="Сладов"/>
    <n v="254.58333333333334"/>
    <n v="0.77545008183306052"/>
    <n v="3604"/>
  </r>
  <r>
    <n v="210"/>
    <n v="344"/>
    <n v="172"/>
    <n v="5"/>
    <n v="860"/>
    <x v="175"/>
    <x v="10"/>
    <n v="186"/>
    <s v="Сок"/>
    <s v="Сады Придонья"/>
    <n v="268.60344827586209"/>
    <n v="-0.35965081199050009"/>
    <n v="2796"/>
  </r>
  <r>
    <n v="211"/>
    <n v="462"/>
    <n v="104"/>
    <n v="4"/>
    <n v="416"/>
    <x v="176"/>
    <x v="12"/>
    <n v="448"/>
    <s v="Рис"/>
    <s v="Белый Злат"/>
    <n v="258.375"/>
    <n v="-0.59748427672955973"/>
    <n v="4585"/>
  </r>
  <r>
    <n v="212"/>
    <n v="279"/>
    <n v="433"/>
    <n v="4"/>
    <n v="1732"/>
    <x v="177"/>
    <x v="17"/>
    <n v="377"/>
    <s v="Крупа"/>
    <s v="Увелка"/>
    <n v="255.11627906976744"/>
    <n v="0.69726526891522322"/>
    <n v="3023"/>
  </r>
  <r>
    <n v="213"/>
    <n v="322"/>
    <n v="79"/>
    <n v="5"/>
    <n v="395"/>
    <x v="178"/>
    <x v="5"/>
    <n v="316"/>
    <s v="Крупа"/>
    <s v="Увелка"/>
    <n v="255.11627906976744"/>
    <n v="-0.69033728350045576"/>
    <n v="3023"/>
  </r>
  <r>
    <n v="214"/>
    <n v="494"/>
    <n v="181"/>
    <n v="1"/>
    <n v="181"/>
    <x v="171"/>
    <x v="16"/>
    <n v="356"/>
    <s v="Сыр"/>
    <s v="Сырная долина"/>
    <n v="261.03225806451616"/>
    <n v="-0.30659911023232833"/>
    <n v="8943"/>
  </r>
  <r>
    <n v="215"/>
    <n v="317"/>
    <n v="196"/>
    <n v="3"/>
    <n v="588"/>
    <x v="179"/>
    <x v="8"/>
    <n v="159"/>
    <s v="Сок"/>
    <s v="Фруктовый сад"/>
    <n v="268.60344827586209"/>
    <n v="-0.27029976250080245"/>
    <n v="9023"/>
  </r>
  <r>
    <n v="216"/>
    <n v="223"/>
    <n v="174"/>
    <n v="1"/>
    <n v="174"/>
    <x v="180"/>
    <x v="2"/>
    <n v="287"/>
    <s v="Чай"/>
    <s v="Greenfield"/>
    <n v="271.18181818181819"/>
    <n v="-0.35836406302380153"/>
    <n v="6412"/>
  </r>
  <r>
    <n v="217"/>
    <n v="25"/>
    <n v="356"/>
    <n v="3"/>
    <n v="1068"/>
    <x v="181"/>
    <x v="7"/>
    <n v="322"/>
    <s v="Чипсы"/>
    <s v="Русская картошка"/>
    <n v="273.72549019607845"/>
    <n v="0.30057306590257871"/>
    <n v="2902"/>
  </r>
  <r>
    <n v="218"/>
    <n v="392"/>
    <n v="125"/>
    <n v="5"/>
    <n v="625"/>
    <x v="182"/>
    <x v="1"/>
    <n v="62"/>
    <s v="Кофе"/>
    <s v="Черная Карта"/>
    <n v="249.02380952380952"/>
    <n v="-0.49803996557988339"/>
    <n v="2222"/>
  </r>
  <r>
    <n v="219"/>
    <n v="410"/>
    <n v="228"/>
    <n v="2"/>
    <n v="456"/>
    <x v="183"/>
    <x v="14"/>
    <n v="295"/>
    <s v="Чипсы"/>
    <s v="Lay's"/>
    <n v="273.72549019607845"/>
    <n v="-0.16704871060171922"/>
    <n v="2244"/>
  </r>
  <r>
    <n v="936"/>
    <n v="302"/>
    <n v="229"/>
    <n v="5"/>
    <n v="1145"/>
    <x v="125"/>
    <x v="4"/>
    <n v="42"/>
    <s v="Молоко"/>
    <s v="Домик в деревне"/>
    <n v="294.95238095238096"/>
    <n v="-0.76267355505327739"/>
    <n v="4946"/>
  </r>
  <r>
    <n v="221"/>
    <n v="304"/>
    <n v="163"/>
    <n v="3"/>
    <n v="489"/>
    <x v="184"/>
    <x v="6"/>
    <n v="392"/>
    <s v="Конфеты"/>
    <s v="Рот Фронт"/>
    <n v="267.85483870967744"/>
    <n v="-0.39146143192629623"/>
    <n v="6053"/>
  </r>
  <r>
    <n v="222"/>
    <n v="333"/>
    <n v="70"/>
    <n v="1"/>
    <n v="70"/>
    <x v="185"/>
    <x v="8"/>
    <n v="229"/>
    <s v="Рыба"/>
    <s v="Санта Бремор"/>
    <n v="258.5128205128205"/>
    <n v="-0.72922039277921047"/>
    <n v="2164"/>
  </r>
  <r>
    <n v="223"/>
    <n v="207"/>
    <n v="208"/>
    <n v="5"/>
    <n v="1040"/>
    <x v="110"/>
    <x v="0"/>
    <n v="253"/>
    <s v="Сахар"/>
    <s v="Агросахар"/>
    <n v="254.58333333333334"/>
    <n v="-0.18297872340425536"/>
    <n v="1511"/>
  </r>
  <r>
    <n v="224"/>
    <n v="348"/>
    <n v="417"/>
    <n v="4"/>
    <n v="1668"/>
    <x v="186"/>
    <x v="10"/>
    <n v="235"/>
    <s v="Чипсы"/>
    <s v="Estrella"/>
    <n v="273.72549019607845"/>
    <n v="0.52342406876790815"/>
    <n v="2929"/>
  </r>
  <r>
    <n v="225"/>
    <n v="4"/>
    <n v="198"/>
    <n v="5"/>
    <n v="990"/>
    <x v="187"/>
    <x v="0"/>
    <n v="156"/>
    <s v="Рис"/>
    <s v="Белый Злат"/>
    <n v="258.375"/>
    <n v="-0.23367198838896952"/>
    <n v="4585"/>
  </r>
  <r>
    <n v="226"/>
    <n v="317"/>
    <n v="196"/>
    <n v="2"/>
    <n v="392"/>
    <x v="188"/>
    <x v="14"/>
    <n v="327"/>
    <s v="Сок"/>
    <s v="Фруктовый сад"/>
    <n v="268.60344827586209"/>
    <n v="-0.27029976250080245"/>
    <n v="9023"/>
  </r>
  <r>
    <n v="227"/>
    <n v="131"/>
    <n v="376"/>
    <n v="1"/>
    <n v="376"/>
    <x v="189"/>
    <x v="9"/>
    <n v="275"/>
    <s v="Сок"/>
    <s v="Сады Придонья"/>
    <n v="268.60344827586209"/>
    <n v="0.39983310867193"/>
    <n v="2796"/>
  </r>
  <r>
    <n v="228"/>
    <n v="96"/>
    <n v="362"/>
    <n v="4"/>
    <n v="1448"/>
    <x v="48"/>
    <x v="1"/>
    <n v="330"/>
    <s v="Соль"/>
    <s v="Салта"/>
    <n v="264.8679245283019"/>
    <n v="0.36671890582704081"/>
    <n v="2737"/>
  </r>
  <r>
    <n v="229"/>
    <n v="311"/>
    <n v="345"/>
    <n v="5"/>
    <n v="1725"/>
    <x v="157"/>
    <x v="15"/>
    <n v="177"/>
    <s v="Макароны"/>
    <s v="Паста Зара"/>
    <n v="265.47674418604652"/>
    <n v="0.29954885900748973"/>
    <n v="10237"/>
  </r>
  <r>
    <n v="230"/>
    <n v="268"/>
    <n v="81"/>
    <n v="3"/>
    <n v="243"/>
    <x v="190"/>
    <x v="17"/>
    <n v="407"/>
    <s v="Рис"/>
    <s v="Мистраль"/>
    <n v="258.375"/>
    <n v="-0.68650217706821481"/>
    <n v="1271"/>
  </r>
  <r>
    <n v="231"/>
    <n v="495"/>
    <n v="97"/>
    <n v="4"/>
    <n v="388"/>
    <x v="191"/>
    <x v="4"/>
    <n v="181"/>
    <s v="Чай"/>
    <s v="Greenfield"/>
    <n v="271.18181818181819"/>
    <n v="-0.64230640295005026"/>
    <n v="6412"/>
  </r>
  <r>
    <n v="232"/>
    <n v="436"/>
    <n v="184"/>
    <n v="4"/>
    <n v="736"/>
    <x v="192"/>
    <x v="2"/>
    <n v="166"/>
    <s v="Овощи"/>
    <s v="Гавриш"/>
    <n v="250.48780487804879"/>
    <n v="-0.26543330087633887"/>
    <n v="2229"/>
  </r>
  <r>
    <n v="233"/>
    <n v="358"/>
    <n v="172"/>
    <n v="1"/>
    <n v="172"/>
    <x v="115"/>
    <x v="15"/>
    <n v="478"/>
    <s v="Конфеты"/>
    <s v="Славянка"/>
    <n v="267.85483870967744"/>
    <n v="-0.3578611428915518"/>
    <n v="1608"/>
  </r>
  <r>
    <n v="234"/>
    <n v="160"/>
    <n v="288"/>
    <n v="2"/>
    <n v="576"/>
    <x v="193"/>
    <x v="10"/>
    <n v="429"/>
    <s v="Крупа"/>
    <s v="Мистраль"/>
    <n v="255.11627906976744"/>
    <n v="0.12889699179580671"/>
    <n v="3254"/>
  </r>
  <r>
    <n v="235"/>
    <n v="23"/>
    <n v="174"/>
    <n v="3"/>
    <n v="522"/>
    <x v="194"/>
    <x v="13"/>
    <n v="181"/>
    <s v="Рыба"/>
    <s v="Санта Бремор"/>
    <n v="258.5128205128205"/>
    <n v="-0.32691926205118027"/>
    <n v="2164"/>
  </r>
  <r>
    <n v="236"/>
    <n v="49"/>
    <n v="292"/>
    <n v="3"/>
    <n v="876"/>
    <x v="195"/>
    <x v="1"/>
    <n v="431"/>
    <s v="Рис"/>
    <s v="Агро-Альянс"/>
    <n v="258.375"/>
    <n v="0.1301402999516208"/>
    <n v="2225"/>
  </r>
  <r>
    <n v="237"/>
    <n v="485"/>
    <n v="243"/>
    <n v="3"/>
    <n v="729"/>
    <x v="196"/>
    <x v="13"/>
    <n v="34"/>
    <s v="Макароны"/>
    <s v="Борилла"/>
    <n v="265.47674418604652"/>
    <n v="-8.4665586264289772E-2"/>
    <n v="6852"/>
  </r>
  <r>
    <n v="238"/>
    <n v="131"/>
    <n v="382"/>
    <n v="5"/>
    <n v="1910"/>
    <x v="197"/>
    <x v="5"/>
    <n v="147"/>
    <s v="Сок"/>
    <s v="Сады Придонья"/>
    <n v="268.60344827586209"/>
    <n v="0.42217087104435436"/>
    <n v="2796"/>
  </r>
  <r>
    <n v="239"/>
    <n v="270"/>
    <n v="308"/>
    <n v="1"/>
    <n v="308"/>
    <x v="198"/>
    <x v="1"/>
    <n v="496"/>
    <s v="Соль"/>
    <s v="Славянская"/>
    <n v="264.8679245283019"/>
    <n v="0.16284370993018937"/>
    <n v="2843"/>
  </r>
  <r>
    <n v="240"/>
    <n v="345"/>
    <n v="357"/>
    <n v="4"/>
    <n v="1428"/>
    <x v="199"/>
    <x v="14"/>
    <n v="202"/>
    <s v="Конфеты"/>
    <s v="Рот Фронт"/>
    <n v="267.85483870967744"/>
    <n v="0.33281146504486059"/>
    <n v="6053"/>
  </r>
  <r>
    <n v="241"/>
    <n v="40"/>
    <n v="82"/>
    <n v="1"/>
    <n v="82"/>
    <x v="200"/>
    <x v="4"/>
    <n v="312"/>
    <s v="Колбаса"/>
    <s v="Микоян"/>
    <n v="286.92307692307691"/>
    <n v="-0.71420911528150133"/>
    <n v="82"/>
  </r>
  <r>
    <n v="242"/>
    <n v="275"/>
    <n v="219"/>
    <n v="1"/>
    <n v="219"/>
    <x v="201"/>
    <x v="16"/>
    <n v="41"/>
    <s v="Сыр"/>
    <s v="Сырная долина"/>
    <n v="261.03225806451616"/>
    <n v="-0.16102323282254083"/>
    <n v="8943"/>
  </r>
  <r>
    <n v="243"/>
    <n v="205"/>
    <n v="117"/>
    <n v="5"/>
    <n v="585"/>
    <x v="202"/>
    <x v="19"/>
    <n v="389"/>
    <s v="Макароны"/>
    <s v="Борилла"/>
    <n v="265.47674418604652"/>
    <n v="-0.559283430423547"/>
    <n v="6852"/>
  </r>
  <r>
    <n v="244"/>
    <n v="219"/>
    <n v="474"/>
    <n v="5"/>
    <n v="2370"/>
    <x v="203"/>
    <x v="10"/>
    <n v="24"/>
    <s v="Йогурт"/>
    <s v="Чудо"/>
    <n v="263.25423728813558"/>
    <n v="0.80054081895441676"/>
    <n v="2871"/>
  </r>
  <r>
    <n v="245"/>
    <n v="425"/>
    <n v="334"/>
    <n v="2"/>
    <n v="668"/>
    <x v="0"/>
    <x v="7"/>
    <n v="25"/>
    <s v="Соль"/>
    <s v="Экстра"/>
    <n v="264.8679245283019"/>
    <n v="0.2610058412879328"/>
    <n v="4171"/>
  </r>
  <r>
    <n v="246"/>
    <n v="452"/>
    <n v="220"/>
    <n v="5"/>
    <n v="1100"/>
    <x v="204"/>
    <x v="4"/>
    <n v="411"/>
    <s v="Фрукты"/>
    <s v="Экзотик"/>
    <n v="274.16279069767444"/>
    <n v="-0.19755704470268898"/>
    <n v="4059"/>
  </r>
  <r>
    <n v="247"/>
    <n v="285"/>
    <n v="282"/>
    <n v="5"/>
    <n v="1410"/>
    <x v="205"/>
    <x v="16"/>
    <n v="106"/>
    <s v="Макароны"/>
    <s v="Паста Зара"/>
    <n v="265.47674418604652"/>
    <n v="6.2239936927861228E-2"/>
    <n v="10237"/>
  </r>
  <r>
    <n v="248"/>
    <n v="435"/>
    <n v="499"/>
    <n v="5"/>
    <n v="2495"/>
    <x v="91"/>
    <x v="4"/>
    <n v="175"/>
    <s v="Мясо"/>
    <s v="Снежана"/>
    <n v="271.74545454545455"/>
    <n v="0.83627726482001874"/>
    <n v="4630"/>
  </r>
  <r>
    <n v="249"/>
    <n v="26"/>
    <n v="170"/>
    <n v="1"/>
    <n v="170"/>
    <x v="184"/>
    <x v="17"/>
    <n v="286"/>
    <s v="Мясо"/>
    <s v="Сава"/>
    <n v="271.74545454545455"/>
    <n v="-0.37441455907935239"/>
    <n v="3405"/>
  </r>
  <r>
    <n v="250"/>
    <n v="157"/>
    <n v="52"/>
    <n v="1"/>
    <n v="52"/>
    <x v="206"/>
    <x v="0"/>
    <n v="249"/>
    <s v="Сыр"/>
    <s v="President"/>
    <n v="261.03225806451616"/>
    <n v="-0.80079090459713298"/>
    <n v="3935"/>
  </r>
  <r>
    <n v="251"/>
    <n v="273"/>
    <n v="156"/>
    <n v="5"/>
    <n v="780"/>
    <x v="118"/>
    <x v="15"/>
    <n v="168"/>
    <s v="Конфеты"/>
    <s v="Красный Октябрь"/>
    <n v="267.85483870967744"/>
    <n v="-0.41759499006443068"/>
    <n v="2189"/>
  </r>
  <r>
    <n v="252"/>
    <n v="340"/>
    <n v="450"/>
    <n v="3"/>
    <n v="1350"/>
    <x v="207"/>
    <x v="7"/>
    <n v="121"/>
    <s v="Сыр"/>
    <s v="Карат"/>
    <n v="261.03225806451616"/>
    <n v="0.72392486406327228"/>
    <n v="2802"/>
  </r>
  <r>
    <n v="253"/>
    <n v="34"/>
    <n v="366"/>
    <n v="4"/>
    <n v="1464"/>
    <x v="131"/>
    <x v="6"/>
    <n v="259"/>
    <s v="Крупа"/>
    <s v="Ярмарка"/>
    <n v="255.11627906976744"/>
    <n v="0.4346399270738377"/>
    <n v="2773"/>
  </r>
  <r>
    <n v="254"/>
    <n v="296"/>
    <n v="210"/>
    <n v="1"/>
    <n v="210"/>
    <x v="168"/>
    <x v="1"/>
    <n v="255"/>
    <s v="Крупа"/>
    <s v="Мистраль"/>
    <n v="255.11627906976744"/>
    <n v="-0.17684594348222427"/>
    <n v="3254"/>
  </r>
  <r>
    <n v="255"/>
    <n v="116"/>
    <n v="379"/>
    <n v="4"/>
    <n v="1516"/>
    <x v="208"/>
    <x v="14"/>
    <n v="405"/>
    <s v="Соль"/>
    <s v="Экстра"/>
    <n v="264.8679245283019"/>
    <n v="0.43090183786864222"/>
    <n v="4171"/>
  </r>
  <r>
    <n v="256"/>
    <n v="117"/>
    <n v="102"/>
    <n v="4"/>
    <n v="408"/>
    <x v="209"/>
    <x v="16"/>
    <n v="376"/>
    <s v="Макароны"/>
    <s v="Роллтон"/>
    <n v="265.47674418604652"/>
    <n v="-0.61578555472822039"/>
    <n v="2120"/>
  </r>
  <r>
    <n v="257"/>
    <n v="239"/>
    <n v="380"/>
    <n v="5"/>
    <n v="1900"/>
    <x v="37"/>
    <x v="0"/>
    <n v="489"/>
    <s v="Йогурт"/>
    <s v="Эрманн"/>
    <n v="263.25423728813558"/>
    <n v="0.44347154262168442"/>
    <n v="4970"/>
  </r>
  <r>
    <n v="258"/>
    <n v="201"/>
    <n v="355"/>
    <n v="5"/>
    <n v="1775"/>
    <x v="133"/>
    <x v="11"/>
    <n v="483"/>
    <s v="Печенье"/>
    <s v="Белогорье"/>
    <n v="283.468085106383"/>
    <n v="0.25234556781505657"/>
    <n v="3493"/>
  </r>
  <r>
    <n v="259"/>
    <n v="377"/>
    <n v="403"/>
    <n v="4"/>
    <n v="1612"/>
    <x v="210"/>
    <x v="16"/>
    <n v="107"/>
    <s v="Колбаса"/>
    <s v="Окраина"/>
    <n v="286.92307692307691"/>
    <n v="0.40455764075067036"/>
    <n v="3283"/>
  </r>
  <r>
    <n v="260"/>
    <n v="485"/>
    <n v="101"/>
    <n v="1"/>
    <n v="101"/>
    <x v="93"/>
    <x v="13"/>
    <n v="51"/>
    <s v="Макароны"/>
    <s v="Борилла"/>
    <n v="265.47674418604652"/>
    <n v="-0.61955236301519867"/>
    <n v="6852"/>
  </r>
  <r>
    <n v="261"/>
    <n v="251"/>
    <n v="294"/>
    <n v="1"/>
    <n v="294"/>
    <x v="95"/>
    <x v="4"/>
    <n v="47"/>
    <s v="Овощи"/>
    <s v="Гавриш"/>
    <n v="250.48780487804879"/>
    <n v="0.17370983446932819"/>
    <n v="2229"/>
  </r>
  <r>
    <n v="262"/>
    <n v="409"/>
    <n v="299"/>
    <n v="1"/>
    <n v="299"/>
    <x v="113"/>
    <x v="2"/>
    <n v="411"/>
    <s v="Фрукты"/>
    <s v="Фруктовый Рай"/>
    <n v="274.16279069767444"/>
    <n v="9.0592925608618202E-2"/>
    <n v="3358"/>
  </r>
  <r>
    <n v="263"/>
    <n v="422"/>
    <n v="349"/>
    <n v="2"/>
    <n v="698"/>
    <x v="211"/>
    <x v="10"/>
    <n v="160"/>
    <s v="Кофе"/>
    <s v="Nescafe"/>
    <n v="249.02380952380952"/>
    <n v="0.40147241610096573"/>
    <n v="2569"/>
  </r>
  <r>
    <n v="548"/>
    <n v="334"/>
    <n v="459"/>
    <n v="5"/>
    <n v="2295"/>
    <x v="212"/>
    <x v="0"/>
    <n v="167"/>
    <s v="Молоко"/>
    <s v="Домик в деревне"/>
    <n v="294.95238095238096"/>
    <n v="0.65789473684210531"/>
    <n v="4946"/>
  </r>
  <r>
    <n v="265"/>
    <n v="497"/>
    <n v="387"/>
    <n v="2"/>
    <n v="774"/>
    <x v="213"/>
    <x v="7"/>
    <n v="456"/>
    <s v="Конфеты"/>
    <s v="Бабаевский"/>
    <n v="267.85483870967744"/>
    <n v="0.44481242849400848"/>
    <n v="6757"/>
  </r>
  <r>
    <n v="266"/>
    <n v="217"/>
    <n v="412"/>
    <n v="2"/>
    <n v="824"/>
    <x v="25"/>
    <x v="11"/>
    <n v="110"/>
    <s v="Мясо"/>
    <s v="Агрокомплекс"/>
    <n v="271.74545454545455"/>
    <n v="0.51612471564298135"/>
    <n v="3112"/>
  </r>
  <r>
    <n v="267"/>
    <n v="351"/>
    <n v="155"/>
    <n v="5"/>
    <n v="775"/>
    <x v="80"/>
    <x v="9"/>
    <n v="216"/>
    <s v="Чипсы"/>
    <s v="Русская картошка"/>
    <n v="273.72549019607845"/>
    <n v="-0.43373925501432664"/>
    <n v="2902"/>
  </r>
  <r>
    <n v="268"/>
    <n v="494"/>
    <n v="214"/>
    <n v="1"/>
    <n v="214"/>
    <x v="118"/>
    <x v="6"/>
    <n v="424"/>
    <s v="Сыр"/>
    <s v="Сырная долина"/>
    <n v="261.03225806451616"/>
    <n v="-0.18017795353435495"/>
    <n v="8943"/>
  </r>
  <r>
    <n v="269"/>
    <n v="464"/>
    <n v="290"/>
    <n v="3"/>
    <n v="870"/>
    <x v="135"/>
    <x v="14"/>
    <n v="77"/>
    <s v="Сыр"/>
    <s v="Сырная долина"/>
    <n v="261.03225806451616"/>
    <n v="0.11097380128521994"/>
    <n v="8943"/>
  </r>
  <r>
    <n v="270"/>
    <n v="462"/>
    <n v="271"/>
    <n v="2"/>
    <n v="542"/>
    <x v="45"/>
    <x v="0"/>
    <n v="192"/>
    <s v="Рис"/>
    <s v="Белый Злат"/>
    <n v="258.375"/>
    <n v="4.8863086598935679E-2"/>
    <n v="4585"/>
  </r>
  <r>
    <n v="271"/>
    <n v="102"/>
    <n v="326"/>
    <n v="2"/>
    <n v="652"/>
    <x v="214"/>
    <x v="16"/>
    <n v="130"/>
    <s v="Печенье"/>
    <s v="Белогорье"/>
    <n v="283.468085106383"/>
    <n v="0.15004128199354483"/>
    <n v="3493"/>
  </r>
  <r>
    <n v="272"/>
    <n v="345"/>
    <n v="420"/>
    <n v="2"/>
    <n v="840"/>
    <x v="215"/>
    <x v="11"/>
    <n v="308"/>
    <s v="Конфеты"/>
    <s v="Рот Фронт"/>
    <n v="267.85483870967744"/>
    <n v="0.56801348828807119"/>
    <n v="6053"/>
  </r>
  <r>
    <n v="273"/>
    <n v="445"/>
    <n v="71"/>
    <n v="4"/>
    <n v="284"/>
    <x v="216"/>
    <x v="17"/>
    <n v="455"/>
    <s v="Сахар"/>
    <s v="Сладов"/>
    <n v="254.58333333333334"/>
    <n v="-0.72111292962356788"/>
    <n v="3604"/>
  </r>
  <r>
    <n v="274"/>
    <n v="241"/>
    <n v="400"/>
    <n v="3"/>
    <n v="1200"/>
    <x v="179"/>
    <x v="17"/>
    <n v="490"/>
    <s v="Колбаса"/>
    <s v="Окраина"/>
    <n v="286.92307692307691"/>
    <n v="0.39410187667560326"/>
    <n v="3283"/>
  </r>
  <r>
    <n v="275"/>
    <n v="258"/>
    <n v="109"/>
    <n v="2"/>
    <n v="218"/>
    <x v="217"/>
    <x v="2"/>
    <n v="480"/>
    <s v="Рыба"/>
    <s v="Санта Бремор"/>
    <n v="258.5128205128205"/>
    <n v="-0.5783574687561992"/>
    <n v="2164"/>
  </r>
  <r>
    <n v="276"/>
    <n v="376"/>
    <n v="217"/>
    <n v="1"/>
    <n v="217"/>
    <x v="218"/>
    <x v="4"/>
    <n v="321"/>
    <s v="Конфеты"/>
    <s v="Красный Октябрь"/>
    <n v="267.85483870967744"/>
    <n v="-0.18985969771782985"/>
    <n v="2189"/>
  </r>
  <r>
    <n v="277"/>
    <n v="7"/>
    <n v="104"/>
    <n v="1"/>
    <n v="104"/>
    <x v="63"/>
    <x v="7"/>
    <n v="496"/>
    <s v="Сыр"/>
    <s v="President"/>
    <n v="261.03225806451616"/>
    <n v="-0.60158180919426596"/>
    <n v="3935"/>
  </r>
  <r>
    <n v="278"/>
    <n v="428"/>
    <n v="428"/>
    <n v="4"/>
    <n v="1712"/>
    <x v="21"/>
    <x v="10"/>
    <n v="203"/>
    <s v="Конфеты"/>
    <s v="Бабаевский"/>
    <n v="267.85483870967744"/>
    <n v="0.59788041187451069"/>
    <n v="6757"/>
  </r>
  <r>
    <n v="279"/>
    <n v="216"/>
    <n v="83"/>
    <n v="3"/>
    <n v="249"/>
    <x v="99"/>
    <x v="9"/>
    <n v="457"/>
    <s v="Кофе"/>
    <s v="Черная Карта"/>
    <n v="249.02380952380952"/>
    <n v="-0.66669853714504246"/>
    <n v="2222"/>
  </r>
  <r>
    <n v="280"/>
    <n v="272"/>
    <n v="113"/>
    <n v="3"/>
    <n v="339"/>
    <x v="172"/>
    <x v="15"/>
    <n v="21"/>
    <s v="Крупа"/>
    <s v="Ярмарка"/>
    <n v="255.11627906976744"/>
    <n v="-0.55706472196900636"/>
    <n v="2773"/>
  </r>
  <r>
    <n v="281"/>
    <n v="236"/>
    <n v="221"/>
    <n v="4"/>
    <n v="884"/>
    <x v="219"/>
    <x v="11"/>
    <n v="333"/>
    <s v="Печенье"/>
    <s v="Посиделкино"/>
    <n v="283.468085106383"/>
    <n v="-0.22037078736020421"/>
    <n v="3538"/>
  </r>
  <r>
    <n v="282"/>
    <n v="225"/>
    <n v="114"/>
    <n v="3"/>
    <n v="342"/>
    <x v="220"/>
    <x v="7"/>
    <n v="405"/>
    <s v="Соль"/>
    <s v="Илецкая"/>
    <n v="264.8679245283019"/>
    <n v="-0.56959680866220264"/>
    <n v="4287"/>
  </r>
  <r>
    <n v="283"/>
    <n v="167"/>
    <n v="488"/>
    <n v="3"/>
    <n v="1464"/>
    <x v="75"/>
    <x v="0"/>
    <n v="32"/>
    <s v="Мясо"/>
    <s v="Сава"/>
    <n v="271.74545454545455"/>
    <n v="0.79579820687809444"/>
    <n v="3405"/>
  </r>
  <r>
    <n v="284"/>
    <n v="467"/>
    <n v="421"/>
    <n v="5"/>
    <n v="2105"/>
    <x v="123"/>
    <x v="6"/>
    <n v="334"/>
    <s v="Макароны"/>
    <s v="Борилла"/>
    <n v="265.47674418604652"/>
    <n v="0.58582628881783538"/>
    <n v="6852"/>
  </r>
  <r>
    <n v="285"/>
    <n v="430"/>
    <n v="380"/>
    <n v="1"/>
    <n v="380"/>
    <x v="221"/>
    <x v="19"/>
    <n v="449"/>
    <s v="Чай"/>
    <s v="Ахмад"/>
    <n v="271.18181818181819"/>
    <n v="0.40127388535031838"/>
    <n v="2433"/>
  </r>
  <r>
    <n v="286"/>
    <n v="139"/>
    <n v="232"/>
    <n v="3"/>
    <n v="696"/>
    <x v="90"/>
    <x v="18"/>
    <n v="302"/>
    <s v="Йогурт"/>
    <s v="Ростагроэкспорт"/>
    <n v="263.25423728813558"/>
    <n v="-0.11872263713623488"/>
    <n v="5929"/>
  </r>
  <r>
    <n v="287"/>
    <n v="351"/>
    <n v="93"/>
    <n v="3"/>
    <n v="279"/>
    <x v="222"/>
    <x v="12"/>
    <n v="341"/>
    <s v="Чипсы"/>
    <s v="Русская картошка"/>
    <n v="273.72549019607845"/>
    <n v="-0.66024355300859594"/>
    <n v="2902"/>
  </r>
  <r>
    <n v="288"/>
    <n v="404"/>
    <n v="136"/>
    <n v="2"/>
    <n v="272"/>
    <x v="64"/>
    <x v="3"/>
    <n v="62"/>
    <s v="Йогурт"/>
    <s v="Ростагроэкспорт"/>
    <n v="263.25423728813558"/>
    <n v="-0.48338913211434453"/>
    <n v="5929"/>
  </r>
  <r>
    <n v="289"/>
    <n v="237"/>
    <n v="157"/>
    <n v="5"/>
    <n v="785"/>
    <x v="76"/>
    <x v="16"/>
    <n v="366"/>
    <s v="Конфеты"/>
    <s v="Рот Фронт"/>
    <n v="267.85483870967744"/>
    <n v="-0.41386162461612575"/>
    <n v="6053"/>
  </r>
  <r>
    <n v="290"/>
    <n v="323"/>
    <n v="363"/>
    <n v="4"/>
    <n v="1452"/>
    <x v="223"/>
    <x v="7"/>
    <n v="463"/>
    <s v="Рыба"/>
    <s v="Меридиан"/>
    <n v="258.5128205128205"/>
    <n v="0.40418567744495149"/>
    <n v="4431"/>
  </r>
  <r>
    <n v="291"/>
    <n v="457"/>
    <n v="289"/>
    <n v="5"/>
    <n v="1445"/>
    <x v="128"/>
    <x v="16"/>
    <n v="421"/>
    <s v="Сок"/>
    <s v="Rich"/>
    <n v="268.60344827586209"/>
    <n v="7.5935554271776118E-2"/>
    <n v="1089"/>
  </r>
  <r>
    <n v="292"/>
    <n v="328"/>
    <n v="448"/>
    <n v="4"/>
    <n v="1792"/>
    <x v="219"/>
    <x v="10"/>
    <n v="86"/>
    <s v="Чипсы"/>
    <s v="Русская картошка"/>
    <n v="273.72549019607845"/>
    <n v="0.63667621776504291"/>
    <n v="2902"/>
  </r>
  <r>
    <n v="293"/>
    <n v="424"/>
    <n v="226"/>
    <n v="2"/>
    <n v="452"/>
    <x v="178"/>
    <x v="9"/>
    <n v="397"/>
    <s v="Печенье"/>
    <s v="КДВ"/>
    <n v="283.468085106383"/>
    <n v="-0.20273211739097807"/>
    <n v="4200"/>
  </r>
  <r>
    <n v="294"/>
    <n v="86"/>
    <n v="261"/>
    <n v="5"/>
    <n v="1305"/>
    <x v="224"/>
    <x v="2"/>
    <n v="319"/>
    <s v="Сахар"/>
    <s v="Русский сахар"/>
    <n v="254.58333333333334"/>
    <n v="2.5204582651391139E-2"/>
    <n v="4988"/>
  </r>
  <r>
    <n v="295"/>
    <n v="17"/>
    <n v="253"/>
    <n v="3"/>
    <n v="759"/>
    <x v="150"/>
    <x v="15"/>
    <n v="290"/>
    <s v="Кофе"/>
    <s v="Jacobs"/>
    <n v="249.02380952380952"/>
    <n v="1.5967109666316093E-2"/>
    <n v="5248"/>
  </r>
  <r>
    <n v="296"/>
    <n v="43"/>
    <n v="457"/>
    <n v="3"/>
    <n v="1371"/>
    <x v="225"/>
    <x v="8"/>
    <n v="13"/>
    <s v="Печенье"/>
    <s v="КДВ"/>
    <n v="283.468085106383"/>
    <n v="0.61217443518726999"/>
    <n v="4200"/>
  </r>
  <r>
    <n v="297"/>
    <n v="5"/>
    <n v="65"/>
    <n v="5"/>
    <n v="325"/>
    <x v="171"/>
    <x v="14"/>
    <n v="302"/>
    <s v="Макароны"/>
    <s v="Роллтон"/>
    <n v="265.47674418604652"/>
    <n v="-0.75515746134641493"/>
    <n v="2120"/>
  </r>
  <r>
    <n v="298"/>
    <n v="298"/>
    <n v="65"/>
    <n v="1"/>
    <n v="65"/>
    <x v="226"/>
    <x v="19"/>
    <n v="453"/>
    <s v="Крупа"/>
    <s v="Увелка"/>
    <n v="255.11627906976744"/>
    <n v="-0.74521422060164078"/>
    <n v="3023"/>
  </r>
  <r>
    <n v="299"/>
    <n v="436"/>
    <n v="320"/>
    <n v="3"/>
    <n v="960"/>
    <x v="84"/>
    <x v="13"/>
    <n v="16"/>
    <s v="Овощи"/>
    <s v="Гавриш"/>
    <n v="250.48780487804879"/>
    <n v="0.27750730282375846"/>
    <n v="2229"/>
  </r>
  <r>
    <n v="300"/>
    <n v="421"/>
    <n v="145"/>
    <n v="4"/>
    <n v="580"/>
    <x v="227"/>
    <x v="13"/>
    <n v="120"/>
    <s v="Чай"/>
    <s v="Greenfield"/>
    <n v="271.18181818181819"/>
    <n v="-0.46530338585316799"/>
    <n v="6412"/>
  </r>
  <r>
    <n v="301"/>
    <n v="223"/>
    <n v="467"/>
    <n v="5"/>
    <n v="2335"/>
    <x v="228"/>
    <x v="4"/>
    <n v="295"/>
    <s v="Чай"/>
    <s v="Greenfield"/>
    <n v="271.18181818181819"/>
    <n v="0.72209185383841756"/>
    <n v="6412"/>
  </r>
  <r>
    <n v="302"/>
    <n v="483"/>
    <n v="124"/>
    <n v="4"/>
    <n v="496"/>
    <x v="229"/>
    <x v="6"/>
    <n v="381"/>
    <s v="Колбаса"/>
    <s v="Дымов"/>
    <n v="286.92307692307691"/>
    <n v="-0.56782841823056296"/>
    <n v="2814"/>
  </r>
  <r>
    <n v="303"/>
    <n v="414"/>
    <n v="406"/>
    <n v="3"/>
    <n v="1218"/>
    <x v="52"/>
    <x v="3"/>
    <n v="287"/>
    <s v="Фрукты"/>
    <s v="Экзотик"/>
    <n v="274.16279069767444"/>
    <n v="0.48087199932140123"/>
    <n v="4059"/>
  </r>
  <r>
    <n v="304"/>
    <n v="389"/>
    <n v="76"/>
    <n v="4"/>
    <n v="304"/>
    <x v="230"/>
    <x v="10"/>
    <n v="415"/>
    <s v="Чай"/>
    <s v="Ахмад"/>
    <n v="271.18181818181819"/>
    <n v="-0.71974522292993637"/>
    <n v="2433"/>
  </r>
  <r>
    <n v="305"/>
    <n v="367"/>
    <n v="79"/>
    <n v="5"/>
    <n v="395"/>
    <x v="231"/>
    <x v="18"/>
    <n v="292"/>
    <s v="Колбаса"/>
    <s v="Окраина"/>
    <n v="286.92307692307691"/>
    <n v="-0.72466487935656843"/>
    <n v="3283"/>
  </r>
  <r>
    <n v="306"/>
    <n v="128"/>
    <n v="466"/>
    <n v="1"/>
    <n v="466"/>
    <x v="232"/>
    <x v="19"/>
    <n v="389"/>
    <s v="Мясо"/>
    <s v="Мираторг"/>
    <n v="271.74545454545455"/>
    <n v="0.71484009099424584"/>
    <n v="3799"/>
  </r>
  <r>
    <n v="307"/>
    <n v="368"/>
    <n v="265"/>
    <n v="5"/>
    <n v="1325"/>
    <x v="233"/>
    <x v="7"/>
    <n v="106"/>
    <s v="Сыр"/>
    <s v="Сырная долина"/>
    <n v="261.03225806451616"/>
    <n v="1.5200197726149112E-2"/>
    <n v="8943"/>
  </r>
  <r>
    <n v="308"/>
    <n v="74"/>
    <n v="397"/>
    <n v="2"/>
    <n v="794"/>
    <x v="170"/>
    <x v="11"/>
    <n v="458"/>
    <s v="Колбаса"/>
    <s v="Черкизово"/>
    <n v="286.92307692307691"/>
    <n v="0.38364611260053638"/>
    <n v="1281"/>
  </r>
  <r>
    <n v="309"/>
    <n v="276"/>
    <n v="359"/>
    <n v="2"/>
    <n v="718"/>
    <x v="192"/>
    <x v="5"/>
    <n v="203"/>
    <s v="Колбаса"/>
    <s v="Дымов"/>
    <n v="286.92307692307691"/>
    <n v="0.25120643431635403"/>
    <n v="2814"/>
  </r>
  <r>
    <n v="310"/>
    <n v="149"/>
    <n v="168"/>
    <n v="4"/>
    <n v="672"/>
    <x v="234"/>
    <x v="1"/>
    <n v="1"/>
    <s v="Конфеты"/>
    <s v="Бабаевский"/>
    <n v="267.85483870967744"/>
    <n v="-0.37279460468477155"/>
    <n v="6757"/>
  </r>
  <r>
    <n v="311"/>
    <n v="229"/>
    <n v="156"/>
    <n v="4"/>
    <n v="624"/>
    <x v="235"/>
    <x v="14"/>
    <n v="204"/>
    <s v="Мясо"/>
    <s v="Сава"/>
    <n v="271.74545454545455"/>
    <n v="-0.42593336009634686"/>
    <n v="3405"/>
  </r>
  <r>
    <n v="312"/>
    <n v="28"/>
    <n v="78"/>
    <n v="4"/>
    <n v="312"/>
    <x v="236"/>
    <x v="14"/>
    <n v="490"/>
    <s v="Крупа"/>
    <s v="Националь"/>
    <n v="255.11627906976744"/>
    <n v="-0.69425706472196902"/>
    <n v="1920"/>
  </r>
  <r>
    <n v="313"/>
    <n v="260"/>
    <n v="489"/>
    <n v="3"/>
    <n v="1467"/>
    <x v="237"/>
    <x v="17"/>
    <n v="98"/>
    <s v="Соль"/>
    <s v="Экстра"/>
    <n v="264.8679245283019"/>
    <n v="0.84620316284370989"/>
    <n v="4171"/>
  </r>
  <r>
    <n v="314"/>
    <n v="140"/>
    <n v="106"/>
    <n v="3"/>
    <n v="318"/>
    <x v="144"/>
    <x v="3"/>
    <n v="181"/>
    <s v="Рис"/>
    <s v="Белый Злат"/>
    <n v="258.375"/>
    <n v="-0.58974358974358976"/>
    <n v="4585"/>
  </r>
  <r>
    <n v="315"/>
    <n v="270"/>
    <n v="204"/>
    <n v="3"/>
    <n v="612"/>
    <x v="117"/>
    <x v="13"/>
    <n v="226"/>
    <s v="Соль"/>
    <s v="Славянская"/>
    <n v="264.8679245283019"/>
    <n v="-0.22980481550078358"/>
    <n v="2843"/>
  </r>
  <r>
    <n v="316"/>
    <n v="67"/>
    <n v="317"/>
    <n v="4"/>
    <n v="1268"/>
    <x v="238"/>
    <x v="4"/>
    <n v="322"/>
    <s v="Йогурт"/>
    <s v="Чудо"/>
    <n v="263.25423728813558"/>
    <n v="0.20415915529229989"/>
    <n v="2871"/>
  </r>
  <r>
    <n v="317"/>
    <n v="448"/>
    <n v="442"/>
    <n v="1"/>
    <n v="442"/>
    <x v="239"/>
    <x v="15"/>
    <n v="296"/>
    <s v="Йогурт"/>
    <s v="Ростагроэкспорт"/>
    <n v="263.25423728813558"/>
    <n v="0.67898532062838024"/>
    <n v="5929"/>
  </r>
  <r>
    <n v="318"/>
    <n v="331"/>
    <n v="88"/>
    <n v="3"/>
    <n v="264"/>
    <x v="240"/>
    <x v="0"/>
    <n v="458"/>
    <s v="Соль"/>
    <s v="Салта"/>
    <n v="264.8679245283019"/>
    <n v="-0.66775894001994596"/>
    <n v="2737"/>
  </r>
  <r>
    <n v="319"/>
    <n v="325"/>
    <n v="99"/>
    <n v="2"/>
    <n v="198"/>
    <x v="241"/>
    <x v="8"/>
    <n v="11"/>
    <s v="Сок"/>
    <s v="Добрый"/>
    <n v="268.60344827586209"/>
    <n v="-0.63142692085499719"/>
    <n v="2671"/>
  </r>
  <r>
    <n v="320"/>
    <n v="346"/>
    <n v="178"/>
    <n v="5"/>
    <n v="890"/>
    <x v="237"/>
    <x v="14"/>
    <n v="75"/>
    <s v="Чай"/>
    <s v="Greenfield"/>
    <n v="271.18181818181819"/>
    <n v="-0.34361381159906135"/>
    <n v="6412"/>
  </r>
  <r>
    <n v="321"/>
    <n v="397"/>
    <n v="299"/>
    <n v="3"/>
    <n v="897"/>
    <x v="242"/>
    <x v="7"/>
    <n v="29"/>
    <s v="Йогурт"/>
    <s v="Ростагроэкспорт"/>
    <n v="263.25423728813558"/>
    <n v="0.13578418748390431"/>
    <n v="5929"/>
  </r>
  <r>
    <n v="322"/>
    <n v="115"/>
    <n v="479"/>
    <n v="1"/>
    <n v="479"/>
    <x v="141"/>
    <x v="12"/>
    <n v="297"/>
    <s v="Сыр"/>
    <s v="President"/>
    <n v="261.03225806451616"/>
    <n v="0.83502224419179427"/>
    <n v="3935"/>
  </r>
  <r>
    <n v="323"/>
    <n v="360"/>
    <n v="463"/>
    <n v="3"/>
    <n v="1389"/>
    <x v="243"/>
    <x v="19"/>
    <n v="497"/>
    <s v="Соль"/>
    <s v="Славянская"/>
    <n v="264.8679245283019"/>
    <n v="0.74804103148596668"/>
    <n v="2843"/>
  </r>
  <r>
    <n v="324"/>
    <n v="230"/>
    <n v="431"/>
    <n v="3"/>
    <n v="1293"/>
    <x v="182"/>
    <x v="18"/>
    <n v="191"/>
    <s v="Сок"/>
    <s v="Фруктовый сад"/>
    <n v="268.60344827586209"/>
    <n v="0.60459593041915394"/>
    <n v="9023"/>
  </r>
  <r>
    <n v="325"/>
    <n v="229"/>
    <n v="173"/>
    <n v="4"/>
    <n v="692"/>
    <x v="122"/>
    <x v="16"/>
    <n v="327"/>
    <s v="Мясо"/>
    <s v="Сава"/>
    <n v="271.74545454545455"/>
    <n v="-0.36337481600428212"/>
    <n v="3405"/>
  </r>
  <r>
    <n v="326"/>
    <n v="486"/>
    <n v="213"/>
    <n v="1"/>
    <n v="213"/>
    <x v="244"/>
    <x v="18"/>
    <n v="58"/>
    <s v="Соль"/>
    <s v="Илецкая"/>
    <n v="264.8679245283019"/>
    <n v="-0.19582561618464167"/>
    <n v="4287"/>
  </r>
  <r>
    <n v="327"/>
    <n v="353"/>
    <n v="115"/>
    <n v="2"/>
    <n v="230"/>
    <x v="245"/>
    <x v="13"/>
    <n v="446"/>
    <s v="Макароны"/>
    <s v="Паста Зара"/>
    <n v="265.47674418604652"/>
    <n v="-0.56681704699750335"/>
    <n v="10237"/>
  </r>
  <r>
    <n v="328"/>
    <n v="65"/>
    <n v="455"/>
    <n v="5"/>
    <n v="2275"/>
    <x v="246"/>
    <x v="9"/>
    <n v="117"/>
    <s v="Хлеб"/>
    <s v="Хлебный Дом"/>
    <n v="300.31818181818181"/>
    <n v="0.51505978507643402"/>
    <n v="4226"/>
  </r>
  <r>
    <n v="329"/>
    <n v="490"/>
    <n v="176"/>
    <n v="3"/>
    <n v="528"/>
    <x v="86"/>
    <x v="15"/>
    <n v="32"/>
    <s v="Сыр"/>
    <s v="Сырная долина"/>
    <n v="261.03225806451616"/>
    <n v="-0.32575383094414245"/>
    <n v="8943"/>
  </r>
  <r>
    <n v="839"/>
    <n v="334"/>
    <n v="223"/>
    <n v="2"/>
    <n v="446"/>
    <x v="43"/>
    <x v="4"/>
    <n v="216"/>
    <s v="Молоко"/>
    <s v="Домик в деревне"/>
    <n v="294.95238095238096"/>
    <n v="4.7626735550532651E-2"/>
    <n v="4946"/>
  </r>
  <r>
    <n v="331"/>
    <n v="17"/>
    <n v="212"/>
    <n v="3"/>
    <n v="636"/>
    <x v="247"/>
    <x v="16"/>
    <n v="111"/>
    <s v="Кофе"/>
    <s v="Jacobs"/>
    <n v="249.02380952380952"/>
    <n v="-0.14867578162348216"/>
    <n v="5248"/>
  </r>
  <r>
    <n v="332"/>
    <n v="405"/>
    <n v="389"/>
    <n v="5"/>
    <n v="1945"/>
    <x v="117"/>
    <x v="6"/>
    <n v="231"/>
    <s v="Хлеб"/>
    <s v="Каравай"/>
    <n v="300.31818181818181"/>
    <n v="0.29529287119721515"/>
    <n v="3974"/>
  </r>
  <r>
    <n v="333"/>
    <n v="23"/>
    <n v="476"/>
    <n v="3"/>
    <n v="1428"/>
    <x v="248"/>
    <x v="2"/>
    <n v="283"/>
    <s v="Рыба"/>
    <s v="Санта Бремор"/>
    <n v="258.5128205128205"/>
    <n v="0.8413013291013689"/>
    <n v="2164"/>
  </r>
  <r>
    <n v="334"/>
    <n v="99"/>
    <n v="51"/>
    <n v="5"/>
    <n v="255"/>
    <x v="56"/>
    <x v="8"/>
    <n v="265"/>
    <s v="Овощи"/>
    <s v="Семко"/>
    <n v="250.48780487804879"/>
    <n v="-0.79639727361246349"/>
    <n v="2080"/>
  </r>
  <r>
    <n v="335"/>
    <n v="196"/>
    <n v="452"/>
    <n v="2"/>
    <n v="904"/>
    <x v="210"/>
    <x v="0"/>
    <n v="136"/>
    <s v="Конфеты"/>
    <s v="Рот Фронт"/>
    <n v="267.85483870967744"/>
    <n v="0.68748118263382896"/>
    <n v="6053"/>
  </r>
  <r>
    <n v="336"/>
    <n v="415"/>
    <n v="222"/>
    <n v="3"/>
    <n v="666"/>
    <x v="249"/>
    <x v="17"/>
    <n v="395"/>
    <s v="Чипсы"/>
    <s v="Pringles"/>
    <n v="273.72549019607845"/>
    <n v="-0.18896848137535827"/>
    <n v="5885"/>
  </r>
  <r>
    <n v="337"/>
    <n v="328"/>
    <n v="100"/>
    <n v="1"/>
    <n v="100"/>
    <x v="92"/>
    <x v="5"/>
    <n v="391"/>
    <s v="Чипсы"/>
    <s v="Русская картошка"/>
    <n v="273.72549019607845"/>
    <n v="-0.63467048710601714"/>
    <n v="2902"/>
  </r>
  <r>
    <n v="338"/>
    <n v="271"/>
    <n v="382"/>
    <n v="1"/>
    <n v="382"/>
    <x v="250"/>
    <x v="1"/>
    <n v="355"/>
    <s v="Сыр"/>
    <s v="Сырная долина"/>
    <n v="261.03225806451616"/>
    <n v="0.46342066238260005"/>
    <n v="8943"/>
  </r>
  <r>
    <n v="339"/>
    <n v="204"/>
    <n v="279"/>
    <n v="4"/>
    <n v="1116"/>
    <x v="251"/>
    <x v="4"/>
    <n v="277"/>
    <s v="Печенье"/>
    <s v="Юбилейное"/>
    <n v="283.468085106383"/>
    <n v="-1.5762215717180839E-2"/>
    <n v="2092"/>
  </r>
  <r>
    <n v="340"/>
    <n v="60"/>
    <n v="500"/>
    <n v="2"/>
    <n v="1000"/>
    <x v="30"/>
    <x v="19"/>
    <n v="145"/>
    <s v="Кофе"/>
    <s v="Jacobs"/>
    <n v="249.02380952380952"/>
    <n v="1.0078401376804664"/>
    <n v="5248"/>
  </r>
  <r>
    <n v="341"/>
    <n v="76"/>
    <n v="92"/>
    <n v="2"/>
    <n v="184"/>
    <x v="252"/>
    <x v="0"/>
    <n v="104"/>
    <s v="Печенье"/>
    <s v="Юбилейное"/>
    <n v="283.468085106383"/>
    <n v="-0.67544847256623886"/>
    <n v="2092"/>
  </r>
  <r>
    <n v="342"/>
    <n v="201"/>
    <n v="179"/>
    <n v="5"/>
    <n v="895"/>
    <x v="253"/>
    <x v="6"/>
    <n v="109"/>
    <s v="Печенье"/>
    <s v="Белогорье"/>
    <n v="283.468085106383"/>
    <n v="-0.36853561510170385"/>
    <n v="3493"/>
  </r>
  <r>
    <n v="343"/>
    <n v="462"/>
    <n v="209"/>
    <n v="4"/>
    <n v="836"/>
    <x v="17"/>
    <x v="14"/>
    <n v="369"/>
    <s v="Рис"/>
    <s v="Белый Злат"/>
    <n v="258.375"/>
    <n v="-0.19109820996613447"/>
    <n v="4585"/>
  </r>
  <r>
    <n v="344"/>
    <n v="210"/>
    <n v="486"/>
    <n v="5"/>
    <n v="2430"/>
    <x v="254"/>
    <x v="3"/>
    <n v="78"/>
    <s v="Колбаса"/>
    <s v="Окраина"/>
    <n v="286.92307692307691"/>
    <n v="0.69383378016085806"/>
    <n v="3283"/>
  </r>
  <r>
    <n v="345"/>
    <n v="404"/>
    <n v="123"/>
    <n v="1"/>
    <n v="123"/>
    <x v="255"/>
    <x v="12"/>
    <n v="298"/>
    <s v="Йогурт"/>
    <s v="Ростагроэкспорт"/>
    <n v="263.25423728813558"/>
    <n v="-0.53277105330929686"/>
    <n v="5929"/>
  </r>
  <r>
    <n v="346"/>
    <n v="178"/>
    <n v="179"/>
    <n v="1"/>
    <n v="179"/>
    <x v="256"/>
    <x v="13"/>
    <n v="130"/>
    <s v="Йогурт"/>
    <s v="Ростагроэкспорт"/>
    <n v="263.25423728813558"/>
    <n v="-0.3200489312387329"/>
    <n v="5929"/>
  </r>
  <r>
    <n v="347"/>
    <n v="423"/>
    <n v="218"/>
    <n v="3"/>
    <n v="654"/>
    <x v="257"/>
    <x v="8"/>
    <n v="66"/>
    <s v="Чипсы"/>
    <s v="Pringles"/>
    <n v="273.72549019607845"/>
    <n v="-0.20358166189111759"/>
    <n v="5885"/>
  </r>
  <r>
    <n v="348"/>
    <n v="70"/>
    <n v="51"/>
    <n v="1"/>
    <n v="51"/>
    <x v="120"/>
    <x v="1"/>
    <n v="261"/>
    <s v="Рис"/>
    <s v="Мистраль"/>
    <n v="258.375"/>
    <n v="-0.8026124818577649"/>
    <n v="1271"/>
  </r>
  <r>
    <n v="349"/>
    <n v="335"/>
    <n v="392"/>
    <n v="5"/>
    <n v="1960"/>
    <x v="258"/>
    <x v="8"/>
    <n v="307"/>
    <s v="Хлеб"/>
    <s v="Каравай"/>
    <n v="300.31818181818181"/>
    <n v="0.30528227637354322"/>
    <n v="3974"/>
  </r>
  <r>
    <n v="350"/>
    <n v="427"/>
    <n v="273"/>
    <n v="5"/>
    <n v="1365"/>
    <x v="48"/>
    <x v="14"/>
    <n v="190"/>
    <s v="Хлеб"/>
    <s v="Русский Хлеб"/>
    <n v="300.31818181818181"/>
    <n v="-9.0964128954139523E-2"/>
    <n v="3166"/>
  </r>
  <r>
    <n v="351"/>
    <n v="137"/>
    <n v="154"/>
    <n v="1"/>
    <n v="154"/>
    <x v="164"/>
    <x v="16"/>
    <n v="144"/>
    <s v="Фрукты"/>
    <s v="Экзотик"/>
    <n v="274.16279069767444"/>
    <n v="-0.43828993129188232"/>
    <n v="4059"/>
  </r>
  <r>
    <n v="352"/>
    <n v="303"/>
    <n v="68"/>
    <n v="4"/>
    <n v="272"/>
    <x v="36"/>
    <x v="16"/>
    <n v="76"/>
    <s v="Фрукты"/>
    <s v="Фруктовый Рай"/>
    <n v="274.16279069767444"/>
    <n v="-0.75197217745355838"/>
    <n v="3358"/>
  </r>
  <r>
    <n v="353"/>
    <n v="23"/>
    <n v="380"/>
    <n v="1"/>
    <n v="380"/>
    <x v="218"/>
    <x v="8"/>
    <n v="84"/>
    <s v="Рыба"/>
    <s v="Санта Бремор"/>
    <n v="258.5128205128205"/>
    <n v="0.46994643919857171"/>
    <n v="2164"/>
  </r>
  <r>
    <n v="354"/>
    <n v="398"/>
    <n v="417"/>
    <n v="4"/>
    <n v="1668"/>
    <x v="128"/>
    <x v="15"/>
    <n v="81"/>
    <s v="Сок"/>
    <s v="Фруктовый сад"/>
    <n v="268.60344827586209"/>
    <n v="0.55247448488349682"/>
    <n v="9023"/>
  </r>
  <r>
    <n v="355"/>
    <n v="8"/>
    <n v="404"/>
    <n v="1"/>
    <n v="404"/>
    <x v="92"/>
    <x v="14"/>
    <n v="157"/>
    <s v="Макароны"/>
    <s v="Паста Зара"/>
    <n v="265.47674418604652"/>
    <n v="0.52179054793920554"/>
    <n v="10237"/>
  </r>
  <r>
    <n v="356"/>
    <n v="485"/>
    <n v="193"/>
    <n v="1"/>
    <n v="193"/>
    <x v="176"/>
    <x v="12"/>
    <n v="57"/>
    <s v="Макароны"/>
    <s v="Борилла"/>
    <n v="265.47674418604652"/>
    <n v="-0.27300600061320135"/>
    <n v="6852"/>
  </r>
  <r>
    <n v="357"/>
    <n v="60"/>
    <n v="320"/>
    <n v="4"/>
    <n v="1280"/>
    <x v="259"/>
    <x v="10"/>
    <n v="273"/>
    <s v="Кофе"/>
    <s v="Jacobs"/>
    <n v="249.02380952380952"/>
    <n v="0.28501768811549866"/>
    <n v="5248"/>
  </r>
  <r>
    <n v="358"/>
    <n v="290"/>
    <n v="470"/>
    <n v="5"/>
    <n v="2350"/>
    <x v="102"/>
    <x v="12"/>
    <n v="479"/>
    <s v="Сахар"/>
    <s v="Продимекс"/>
    <n v="254.58333333333334"/>
    <n v="0.84615384615384603"/>
    <n v="5172"/>
  </r>
  <r>
    <n v="359"/>
    <n v="386"/>
    <n v="424"/>
    <n v="3"/>
    <n v="1272"/>
    <x v="219"/>
    <x v="19"/>
    <n v="406"/>
    <s v="Крупа"/>
    <s v="Увелка"/>
    <n v="255.11627906976744"/>
    <n v="0.6619872379216043"/>
    <n v="3023"/>
  </r>
  <r>
    <n v="360"/>
    <n v="348"/>
    <n v="147"/>
    <n v="4"/>
    <n v="588"/>
    <x v="202"/>
    <x v="14"/>
    <n v="157"/>
    <s v="Чипсы"/>
    <s v="Estrella"/>
    <n v="273.72549019607845"/>
    <n v="-0.4629656160458453"/>
    <n v="2929"/>
  </r>
  <r>
    <n v="361"/>
    <n v="350"/>
    <n v="319"/>
    <n v="3"/>
    <n v="957"/>
    <x v="260"/>
    <x v="0"/>
    <n v="56"/>
    <s v="Фрукты"/>
    <s v="Фрукты-Ягоды"/>
    <n v="274.16279069767444"/>
    <n v="0.16354228518110103"/>
    <n v="2526"/>
  </r>
  <r>
    <n v="362"/>
    <n v="126"/>
    <n v="479"/>
    <n v="2"/>
    <n v="958"/>
    <x v="211"/>
    <x v="16"/>
    <n v="10"/>
    <s v="Сахар"/>
    <s v="Русский сахар"/>
    <n v="254.58333333333334"/>
    <n v="0.8815057283142389"/>
    <n v="4988"/>
  </r>
  <r>
    <n v="363"/>
    <n v="258"/>
    <n v="181"/>
    <n v="5"/>
    <n v="905"/>
    <x v="261"/>
    <x v="19"/>
    <n v="174"/>
    <s v="Рыба"/>
    <s v="Санта Бремор"/>
    <n v="258.5128205128205"/>
    <n v="-0.29984130132910136"/>
    <n v="2164"/>
  </r>
  <r>
    <n v="364"/>
    <n v="325"/>
    <n v="361"/>
    <n v="5"/>
    <n v="1805"/>
    <x v="262"/>
    <x v="3"/>
    <n v="110"/>
    <s v="Сок"/>
    <s v="Добрый"/>
    <n v="268.60344827586209"/>
    <n v="0.34398870274086901"/>
    <n v="2671"/>
  </r>
  <r>
    <n v="365"/>
    <n v="320"/>
    <n v="254"/>
    <n v="1"/>
    <n v="254"/>
    <x v="72"/>
    <x v="11"/>
    <n v="72"/>
    <s v="Конфеты"/>
    <s v="Бабаевский"/>
    <n v="267.85483870967744"/>
    <n v="-5.172517613054739E-2"/>
    <n v="6757"/>
  </r>
  <r>
    <n v="366"/>
    <n v="329"/>
    <n v="187"/>
    <n v="4"/>
    <n v="748"/>
    <x v="263"/>
    <x v="12"/>
    <n v="307"/>
    <s v="Соль"/>
    <s v="Славянская"/>
    <n v="264.8679245283019"/>
    <n v="-0.29398774754238499"/>
    <n v="2843"/>
  </r>
  <r>
    <n v="367"/>
    <n v="226"/>
    <n v="155"/>
    <n v="4"/>
    <n v="620"/>
    <x v="167"/>
    <x v="13"/>
    <n v="202"/>
    <s v="Сыр"/>
    <s v="Карат"/>
    <n v="261.03225806451616"/>
    <n v="-0.40620365793376179"/>
    <n v="2802"/>
  </r>
  <r>
    <n v="368"/>
    <n v="270"/>
    <n v="78"/>
    <n v="4"/>
    <n v="312"/>
    <x v="264"/>
    <x v="16"/>
    <n v="157"/>
    <s v="Соль"/>
    <s v="Славянская"/>
    <n v="264.8679245283019"/>
    <n v="-0.70551360592677015"/>
    <n v="2843"/>
  </r>
  <r>
    <n v="369"/>
    <n v="233"/>
    <n v="478"/>
    <n v="2"/>
    <n v="956"/>
    <x v="37"/>
    <x v="14"/>
    <n v="270"/>
    <s v="Йогурт"/>
    <s v="Ростагроэкспорт"/>
    <n v="263.25423728813558"/>
    <n v="0.8157352562451714"/>
    <n v="5929"/>
  </r>
  <r>
    <n v="370"/>
    <n v="178"/>
    <n v="176"/>
    <n v="5"/>
    <n v="880"/>
    <x v="86"/>
    <x v="9"/>
    <n v="65"/>
    <s v="Йогурт"/>
    <s v="Ростагроэкспорт"/>
    <n v="263.25423728813558"/>
    <n v="-0.33144475920679883"/>
    <n v="5929"/>
  </r>
  <r>
    <n v="371"/>
    <n v="293"/>
    <n v="179"/>
    <n v="4"/>
    <n v="716"/>
    <x v="243"/>
    <x v="3"/>
    <n v="38"/>
    <s v="Конфеты"/>
    <s v="Бабаевский"/>
    <n v="267.85483870967744"/>
    <n v="-0.33172758475341724"/>
    <n v="6757"/>
  </r>
  <r>
    <n v="372"/>
    <n v="286"/>
    <n v="122"/>
    <n v="5"/>
    <n v="610"/>
    <x v="192"/>
    <x v="5"/>
    <n v="356"/>
    <s v="Йогурт"/>
    <s v="Ростагроэкспорт"/>
    <n v="263.25423728813558"/>
    <n v="-0.53656966263198558"/>
    <n v="5929"/>
  </r>
  <r>
    <n v="373"/>
    <n v="11"/>
    <n v="199"/>
    <n v="4"/>
    <n v="796"/>
    <x v="265"/>
    <x v="9"/>
    <n v="296"/>
    <s v="Хлеб"/>
    <s v="Русский Хлеб"/>
    <n v="300.31818181818181"/>
    <n v="-0.33736945663690021"/>
    <n v="3166"/>
  </r>
  <r>
    <n v="374"/>
    <n v="441"/>
    <n v="173"/>
    <n v="3"/>
    <n v="519"/>
    <x v="6"/>
    <x v="6"/>
    <n v="62"/>
    <s v="Чай"/>
    <s v="Lipton"/>
    <n v="271.18181818181819"/>
    <n v="-0.36205162587998663"/>
    <n v="4943"/>
  </r>
  <r>
    <n v="375"/>
    <n v="19"/>
    <n v="142"/>
    <n v="3"/>
    <n v="426"/>
    <x v="266"/>
    <x v="2"/>
    <n v="18"/>
    <s v="Мясо"/>
    <s v="Снежана"/>
    <n v="271.74545454545455"/>
    <n v="-0.47745216111334132"/>
    <n v="4630"/>
  </r>
  <r>
    <n v="376"/>
    <n v="340"/>
    <n v="157"/>
    <n v="2"/>
    <n v="314"/>
    <x v="267"/>
    <x v="10"/>
    <n v="376"/>
    <s v="Сыр"/>
    <s v="Карат"/>
    <n v="261.03225806451616"/>
    <n v="-0.3985417696490362"/>
    <n v="2802"/>
  </r>
  <r>
    <n v="377"/>
    <n v="142"/>
    <n v="160"/>
    <n v="4"/>
    <n v="640"/>
    <x v="29"/>
    <x v="2"/>
    <n v="459"/>
    <s v="Фрукты"/>
    <s v="Фруктовый Рай"/>
    <n v="274.16279069767444"/>
    <n v="-0.41640512342013747"/>
    <n v="3358"/>
  </r>
  <r>
    <n v="378"/>
    <n v="452"/>
    <n v="325"/>
    <n v="2"/>
    <n v="650"/>
    <x v="268"/>
    <x v="7"/>
    <n v="88"/>
    <s v="Фрукты"/>
    <s v="Экзотик"/>
    <n v="274.16279069767444"/>
    <n v="0.18542709305284588"/>
    <n v="4059"/>
  </r>
  <r>
    <n v="379"/>
    <n v="340"/>
    <n v="457"/>
    <n v="1"/>
    <n v="457"/>
    <x v="213"/>
    <x v="5"/>
    <n v="325"/>
    <s v="Сыр"/>
    <s v="Карат"/>
    <n v="261.03225806451616"/>
    <n v="0.75074147305981187"/>
    <n v="2802"/>
  </r>
  <r>
    <n v="380"/>
    <n v="466"/>
    <n v="425"/>
    <n v="5"/>
    <n v="2125"/>
    <x v="269"/>
    <x v="13"/>
    <n v="129"/>
    <s v="Фрукты"/>
    <s v="Green Garden"/>
    <n v="274.16279069767444"/>
    <n v="0.55017389091525981"/>
    <n v="1846"/>
  </r>
  <r>
    <n v="381"/>
    <n v="71"/>
    <n v="125"/>
    <n v="4"/>
    <n v="500"/>
    <x v="250"/>
    <x v="9"/>
    <n v="19"/>
    <s v="Печенье"/>
    <s v="Белогорье"/>
    <n v="283.468085106383"/>
    <n v="-0.55903325076934629"/>
    <n v="3493"/>
  </r>
  <r>
    <n v="382"/>
    <n v="451"/>
    <n v="227"/>
    <n v="3"/>
    <n v="681"/>
    <x v="270"/>
    <x v="10"/>
    <n v="304"/>
    <s v="Рис"/>
    <s v="Белый Злат"/>
    <n v="258.375"/>
    <n v="-0.12143202709240442"/>
    <n v="4585"/>
  </r>
  <r>
    <n v="383"/>
    <n v="116"/>
    <n v="426"/>
    <n v="5"/>
    <n v="2130"/>
    <x v="69"/>
    <x v="17"/>
    <n v="285"/>
    <s v="Соль"/>
    <s v="Экстра"/>
    <n v="264.8679245283019"/>
    <n v="0.60834876763071666"/>
    <n v="4171"/>
  </r>
  <r>
    <n v="929"/>
    <n v="498"/>
    <n v="244"/>
    <n v="2"/>
    <n v="488"/>
    <x v="271"/>
    <x v="3"/>
    <n v="49"/>
    <s v="Молоко"/>
    <s v="Домик в деревне"/>
    <n v="294.95238095238096"/>
    <n v="0.21375524701323867"/>
    <n v="4946"/>
  </r>
  <r>
    <n v="385"/>
    <n v="409"/>
    <n v="386"/>
    <n v="1"/>
    <n v="386"/>
    <x v="233"/>
    <x v="5"/>
    <n v="461"/>
    <s v="Фрукты"/>
    <s v="Фруктовый Рай"/>
    <n v="274.16279069767444"/>
    <n v="0.4079226397489184"/>
    <n v="3358"/>
  </r>
  <r>
    <n v="386"/>
    <n v="129"/>
    <n v="235"/>
    <n v="2"/>
    <n v="470"/>
    <x v="272"/>
    <x v="2"/>
    <n v="149"/>
    <s v="Мясо"/>
    <s v="Агрокомплекс"/>
    <n v="271.74545454545455"/>
    <n v="-0.13522012578616349"/>
    <n v="3112"/>
  </r>
  <r>
    <n v="387"/>
    <n v="283"/>
    <n v="107"/>
    <n v="3"/>
    <n v="321"/>
    <x v="152"/>
    <x v="10"/>
    <n v="222"/>
    <s v="Конфеты"/>
    <s v="Рот Фронт"/>
    <n v="267.85483870967744"/>
    <n v="-0.60052989703137238"/>
    <n v="6053"/>
  </r>
  <r>
    <n v="388"/>
    <n v="36"/>
    <n v="83"/>
    <n v="4"/>
    <n v="332"/>
    <x v="177"/>
    <x v="5"/>
    <n v="333"/>
    <s v="Макароны"/>
    <s v="Роллтон"/>
    <n v="265.47674418604652"/>
    <n v="-0.6873549121808068"/>
    <n v="2120"/>
  </r>
  <r>
    <n v="389"/>
    <n v="290"/>
    <n v="50"/>
    <n v="5"/>
    <n v="250"/>
    <x v="273"/>
    <x v="9"/>
    <n v="495"/>
    <s v="Сахар"/>
    <s v="Продимекс"/>
    <n v="254.58333333333334"/>
    <n v="-0.80360065466448449"/>
    <n v="5172"/>
  </r>
  <r>
    <n v="390"/>
    <n v="229"/>
    <n v="269"/>
    <n v="5"/>
    <n v="1345"/>
    <x v="200"/>
    <x v="6"/>
    <n v="278"/>
    <s v="Мясо"/>
    <s v="Сава"/>
    <n v="271.74545454545455"/>
    <n v="-1.0103037602034015E-2"/>
    <n v="3405"/>
  </r>
  <r>
    <n v="391"/>
    <n v="313"/>
    <n v="385"/>
    <n v="4"/>
    <n v="1540"/>
    <x v="274"/>
    <x v="10"/>
    <n v="246"/>
    <s v="Конфеты"/>
    <s v="Бабаевский"/>
    <n v="267.85483870967744"/>
    <n v="0.43734569759739861"/>
    <n v="6757"/>
  </r>
  <r>
    <n v="392"/>
    <n v="368"/>
    <n v="64"/>
    <n v="5"/>
    <n v="320"/>
    <x v="275"/>
    <x v="4"/>
    <n v="480"/>
    <s v="Сыр"/>
    <s v="Сырная долина"/>
    <n v="261.03225806451616"/>
    <n v="-0.75481957488877904"/>
    <n v="8943"/>
  </r>
  <r>
    <n v="393"/>
    <n v="322"/>
    <n v="223"/>
    <n v="2"/>
    <n v="446"/>
    <x v="276"/>
    <x v="7"/>
    <n v="205"/>
    <s v="Крупа"/>
    <s v="Увелка"/>
    <n v="255.11627906976744"/>
    <n v="-0.1258887876025524"/>
    <n v="3023"/>
  </r>
  <r>
    <n v="673"/>
    <n v="400"/>
    <n v="345"/>
    <n v="2"/>
    <n v="690"/>
    <x v="277"/>
    <x v="14"/>
    <n v="18"/>
    <s v="Молоко"/>
    <s v="Беллакт"/>
    <n v="294.95238095238096"/>
    <n v="0.60025831449790124"/>
    <n v="3548"/>
  </r>
  <r>
    <n v="395"/>
    <n v="18"/>
    <n v="459"/>
    <n v="3"/>
    <n v="1377"/>
    <x v="278"/>
    <x v="8"/>
    <n v="152"/>
    <s v="Рыба"/>
    <s v="Меридиан"/>
    <n v="258.5128205128205"/>
    <n v="0.77554056734774868"/>
    <n v="4431"/>
  </r>
  <r>
    <n v="396"/>
    <n v="145"/>
    <n v="455"/>
    <n v="3"/>
    <n v="1365"/>
    <x v="279"/>
    <x v="14"/>
    <n v="323"/>
    <s v="Овощи"/>
    <s v="Семко"/>
    <n v="250.48780487804879"/>
    <n v="0.81645569620253156"/>
    <n v="2080"/>
  </r>
  <r>
    <n v="397"/>
    <n v="491"/>
    <n v="193"/>
    <n v="1"/>
    <n v="193"/>
    <x v="280"/>
    <x v="6"/>
    <n v="185"/>
    <s v="Овощи"/>
    <s v="Зеленая грядка"/>
    <n v="250.48780487804879"/>
    <n v="-0.2295034079844207"/>
    <n v="796"/>
  </r>
  <r>
    <n v="398"/>
    <n v="258"/>
    <n v="113"/>
    <n v="1"/>
    <n v="113"/>
    <x v="148"/>
    <x v="16"/>
    <n v="314"/>
    <s v="Рыба"/>
    <s v="Санта Бремор"/>
    <n v="258.5128205128205"/>
    <n v="-0.56288434834358259"/>
    <n v="2164"/>
  </r>
  <r>
    <n v="399"/>
    <n v="29"/>
    <n v="91"/>
    <n v="5"/>
    <n v="455"/>
    <x v="281"/>
    <x v="0"/>
    <n v="476"/>
    <s v="Соль"/>
    <s v="Илецкая"/>
    <n v="264.8679245283019"/>
    <n v="-0.65643254024789854"/>
    <n v="4287"/>
  </r>
  <r>
    <n v="400"/>
    <n v="321"/>
    <n v="61"/>
    <n v="5"/>
    <n v="305"/>
    <x v="42"/>
    <x v="12"/>
    <n v="375"/>
    <s v="Мясо"/>
    <s v="Сава"/>
    <n v="271.74545454545455"/>
    <n v="-0.77552522414023817"/>
    <n v="3405"/>
  </r>
  <r>
    <n v="401"/>
    <n v="50"/>
    <n v="95"/>
    <n v="4"/>
    <n v="380"/>
    <x v="129"/>
    <x v="12"/>
    <n v="376"/>
    <s v="Сок"/>
    <s v="Добрый"/>
    <n v="268.60344827586209"/>
    <n v="-0.64631876243661335"/>
    <n v="2671"/>
  </r>
  <r>
    <n v="402"/>
    <n v="495"/>
    <n v="469"/>
    <n v="2"/>
    <n v="938"/>
    <x v="27"/>
    <x v="16"/>
    <n v="233"/>
    <s v="Чай"/>
    <s v="Greenfield"/>
    <n v="271.18181818181819"/>
    <n v="0.72946697955078776"/>
    <n v="6412"/>
  </r>
  <r>
    <n v="403"/>
    <n v="207"/>
    <n v="237"/>
    <n v="2"/>
    <n v="474"/>
    <x v="138"/>
    <x v="3"/>
    <n v="69"/>
    <s v="Сахар"/>
    <s v="Агросахар"/>
    <n v="254.58333333333334"/>
    <n v="-6.9067103109656358E-2"/>
    <n v="1511"/>
  </r>
  <r>
    <n v="404"/>
    <n v="145"/>
    <n v="356"/>
    <n v="3"/>
    <n v="1068"/>
    <x v="282"/>
    <x v="0"/>
    <n v="254"/>
    <s v="Овощи"/>
    <s v="Семко"/>
    <n v="250.48780487804879"/>
    <n v="0.42122687439143136"/>
    <n v="2080"/>
  </r>
  <r>
    <n v="405"/>
    <n v="249"/>
    <n v="275"/>
    <n v="3"/>
    <n v="825"/>
    <x v="102"/>
    <x v="15"/>
    <n v="219"/>
    <s v="Чай"/>
    <s v="Lipton"/>
    <n v="271.18181818181819"/>
    <n v="1.4079785450888282E-2"/>
    <n v="4943"/>
  </r>
  <r>
    <n v="406"/>
    <n v="377"/>
    <n v="129"/>
    <n v="1"/>
    <n v="129"/>
    <x v="283"/>
    <x v="4"/>
    <n v="456"/>
    <s v="Колбаса"/>
    <s v="Окраина"/>
    <n v="286.92307692307691"/>
    <n v="-0.55040214477211791"/>
    <n v="3283"/>
  </r>
  <r>
    <n v="407"/>
    <n v="427"/>
    <n v="499"/>
    <n v="4"/>
    <n v="1996"/>
    <x v="27"/>
    <x v="15"/>
    <n v="283"/>
    <s v="Хлеб"/>
    <s v="Русский Хлеб"/>
    <n v="300.31818181818181"/>
    <n v="0.66157106099591356"/>
    <n v="3166"/>
  </r>
  <r>
    <n v="408"/>
    <n v="445"/>
    <n v="164"/>
    <n v="2"/>
    <n v="328"/>
    <x v="243"/>
    <x v="7"/>
    <n v="232"/>
    <s v="Сахар"/>
    <s v="Сладов"/>
    <n v="254.58333333333334"/>
    <n v="-0.35581014729950899"/>
    <n v="3604"/>
  </r>
  <r>
    <n v="409"/>
    <n v="336"/>
    <n v="265"/>
    <n v="3"/>
    <n v="795"/>
    <x v="284"/>
    <x v="1"/>
    <n v="434"/>
    <s v="Чипсы"/>
    <s v="Estrella"/>
    <n v="273.72549019607845"/>
    <n v="-3.1876790830945634E-2"/>
    <n v="2929"/>
  </r>
  <r>
    <n v="410"/>
    <n v="96"/>
    <n v="386"/>
    <n v="4"/>
    <n v="1544"/>
    <x v="285"/>
    <x v="9"/>
    <n v="252"/>
    <s v="Соль"/>
    <s v="Салта"/>
    <n v="264.8679245283019"/>
    <n v="0.45733010400341922"/>
    <n v="2737"/>
  </r>
  <r>
    <n v="411"/>
    <n v="117"/>
    <n v="288"/>
    <n v="5"/>
    <n v="1440"/>
    <x v="286"/>
    <x v="11"/>
    <n v="372"/>
    <s v="Макароны"/>
    <s v="Роллтон"/>
    <n v="265.47674418604652"/>
    <n v="8.4840786649730715E-2"/>
    <n v="2120"/>
  </r>
  <r>
    <n v="412"/>
    <n v="440"/>
    <n v="201"/>
    <n v="5"/>
    <n v="1005"/>
    <x v="287"/>
    <x v="14"/>
    <n v="432"/>
    <s v="Фрукты"/>
    <s v="Фруктовый Рай"/>
    <n v="274.16279069767444"/>
    <n v="-0.26685893629654767"/>
    <n v="3358"/>
  </r>
  <r>
    <n v="413"/>
    <n v="51"/>
    <n v="271"/>
    <n v="4"/>
    <n v="1084"/>
    <x v="288"/>
    <x v="7"/>
    <n v="221"/>
    <s v="Колбаса"/>
    <s v="Дымов"/>
    <n v="286.92307692307691"/>
    <n v="-5.5495978552278724E-2"/>
    <n v="2814"/>
  </r>
  <r>
    <n v="414"/>
    <n v="398"/>
    <n v="419"/>
    <n v="2"/>
    <n v="838"/>
    <x v="165"/>
    <x v="16"/>
    <n v="164"/>
    <s v="Сок"/>
    <s v="Фруктовый сад"/>
    <n v="268.60344827586209"/>
    <n v="0.55992040567430501"/>
    <n v="9023"/>
  </r>
  <r>
    <n v="415"/>
    <n v="443"/>
    <n v="192"/>
    <n v="5"/>
    <n v="960"/>
    <x v="107"/>
    <x v="14"/>
    <n v="413"/>
    <s v="Кофе"/>
    <s v="Jacobs"/>
    <n v="249.02380952380952"/>
    <n v="-0.22898938713070083"/>
    <n v="5248"/>
  </r>
  <r>
    <n v="416"/>
    <n v="118"/>
    <n v="193"/>
    <n v="2"/>
    <n v="386"/>
    <x v="53"/>
    <x v="3"/>
    <n v="148"/>
    <s v="Сахар"/>
    <s v="Продимекс"/>
    <n v="254.58333333333334"/>
    <n v="-0.24189852700490999"/>
    <n v="5172"/>
  </r>
  <r>
    <n v="417"/>
    <n v="371"/>
    <n v="245"/>
    <n v="1"/>
    <n v="245"/>
    <x v="226"/>
    <x v="19"/>
    <n v="209"/>
    <s v="Сахар"/>
    <s v="Русский сахар"/>
    <n v="254.58333333333334"/>
    <n v="-3.7643207855973859E-2"/>
    <n v="4988"/>
  </r>
  <r>
    <n v="418"/>
    <n v="216"/>
    <n v="209"/>
    <n v="3"/>
    <n v="627"/>
    <x v="289"/>
    <x v="8"/>
    <n v="263"/>
    <s v="Кофе"/>
    <s v="Черная Карта"/>
    <n v="249.02380952380952"/>
    <n v="-0.16072282244956493"/>
    <n v="2222"/>
  </r>
  <r>
    <n v="419"/>
    <n v="390"/>
    <n v="120"/>
    <n v="1"/>
    <n v="120"/>
    <x v="104"/>
    <x v="6"/>
    <n v="449"/>
    <s v="Сок"/>
    <s v="Сады Придонья"/>
    <n v="268.60344827586209"/>
    <n v="-0.55324475255151162"/>
    <n v="2796"/>
  </r>
  <r>
    <n v="420"/>
    <n v="14"/>
    <n v="251"/>
    <n v="1"/>
    <n v="251"/>
    <x v="78"/>
    <x v="15"/>
    <n v="321"/>
    <s v="Сок"/>
    <s v="Rich"/>
    <n v="268.60344827586209"/>
    <n v="-6.5536940753578632E-2"/>
    <n v="1089"/>
  </r>
  <r>
    <n v="421"/>
    <n v="451"/>
    <n v="443"/>
    <n v="4"/>
    <n v="1772"/>
    <x v="94"/>
    <x v="18"/>
    <n v="101"/>
    <s v="Рис"/>
    <s v="Белый Злат"/>
    <n v="258.375"/>
    <n v="0.71456216739235612"/>
    <n v="4585"/>
  </r>
  <r>
    <n v="422"/>
    <n v="312"/>
    <n v="234"/>
    <n v="1"/>
    <n v="234"/>
    <x v="290"/>
    <x v="9"/>
    <n v="124"/>
    <s v="Хлеб"/>
    <s v="Каравай"/>
    <n v="300.31818181818181"/>
    <n v="-0.22082639624640532"/>
    <n v="3974"/>
  </r>
  <r>
    <n v="423"/>
    <n v="217"/>
    <n v="260"/>
    <n v="5"/>
    <n v="1300"/>
    <x v="181"/>
    <x v="4"/>
    <n v="257"/>
    <s v="Мясо"/>
    <s v="Агрокомплекс"/>
    <n v="271.74545454545455"/>
    <n v="-4.3222266827244726E-2"/>
    <n v="3112"/>
  </r>
  <r>
    <n v="424"/>
    <n v="10"/>
    <n v="203"/>
    <n v="4"/>
    <n v="812"/>
    <x v="195"/>
    <x v="4"/>
    <n v="276"/>
    <s v="Сок"/>
    <s v="Фруктовый сад"/>
    <n v="268.60344827586209"/>
    <n v="-0.24423903973297389"/>
    <n v="9023"/>
  </r>
  <r>
    <n v="425"/>
    <n v="60"/>
    <n v="251"/>
    <n v="2"/>
    <n v="502"/>
    <x v="143"/>
    <x v="17"/>
    <n v="309"/>
    <s v="Кофе"/>
    <s v="Jacobs"/>
    <n v="249.02380952380952"/>
    <n v="7.9357491155942483E-3"/>
    <n v="5248"/>
  </r>
  <r>
    <n v="426"/>
    <n v="74"/>
    <n v="210"/>
    <n v="3"/>
    <n v="630"/>
    <x v="165"/>
    <x v="9"/>
    <n v="319"/>
    <s v="Колбаса"/>
    <s v="Черкизово"/>
    <n v="286.92307692307691"/>
    <n v="-0.26809651474530827"/>
    <n v="1281"/>
  </r>
  <r>
    <n v="427"/>
    <n v="116"/>
    <n v="295"/>
    <n v="1"/>
    <n v="295"/>
    <x v="127"/>
    <x v="2"/>
    <n v="359"/>
    <s v="Соль"/>
    <s v="Экстра"/>
    <n v="264.8679245283019"/>
    <n v="0.11376264425131777"/>
    <n v="4171"/>
  </r>
  <r>
    <n v="428"/>
    <n v="401"/>
    <n v="78"/>
    <n v="3"/>
    <n v="234"/>
    <x v="291"/>
    <x v="2"/>
    <n v="395"/>
    <s v="Чай"/>
    <s v="Greenfield"/>
    <n v="271.18181818181819"/>
    <n v="-0.71237009721756617"/>
    <n v="6412"/>
  </r>
  <r>
    <n v="429"/>
    <n v="348"/>
    <n v="162"/>
    <n v="2"/>
    <n v="324"/>
    <x v="292"/>
    <x v="11"/>
    <n v="107"/>
    <s v="Чипсы"/>
    <s v="Estrella"/>
    <n v="273.72549019607845"/>
    <n v="-0.40816618911174785"/>
    <n v="2929"/>
  </r>
  <r>
    <n v="430"/>
    <n v="382"/>
    <n v="278"/>
    <n v="2"/>
    <n v="556"/>
    <x v="293"/>
    <x v="17"/>
    <n v="103"/>
    <s v="Овощи"/>
    <s v="Овощной ряд"/>
    <n v="250.48780487804879"/>
    <n v="0.10983446932814012"/>
    <n v="5165"/>
  </r>
  <r>
    <n v="431"/>
    <n v="477"/>
    <n v="420"/>
    <n v="1"/>
    <n v="420"/>
    <x v="252"/>
    <x v="3"/>
    <n v="221"/>
    <s v="Макароны"/>
    <s v="Борилла"/>
    <n v="265.47674418604652"/>
    <n v="0.58205948053085721"/>
    <n v="6852"/>
  </r>
  <r>
    <n v="432"/>
    <n v="91"/>
    <n v="413"/>
    <n v="2"/>
    <n v="826"/>
    <x v="86"/>
    <x v="11"/>
    <n v="31"/>
    <s v="Сыр"/>
    <s v="Сырная долина"/>
    <n v="261.03225806451616"/>
    <n v="0.58217993079584751"/>
    <n v="8943"/>
  </r>
  <r>
    <n v="433"/>
    <n v="52"/>
    <n v="272"/>
    <n v="3"/>
    <n v="816"/>
    <x v="294"/>
    <x v="1"/>
    <n v="306"/>
    <s v="Соль"/>
    <s v="Илецкая"/>
    <n v="264.8679245283019"/>
    <n v="2.6926912665621749E-2"/>
    <n v="4287"/>
  </r>
  <r>
    <n v="434"/>
    <n v="438"/>
    <n v="435"/>
    <n v="1"/>
    <n v="435"/>
    <x v="214"/>
    <x v="19"/>
    <n v="383"/>
    <s v="Кофе"/>
    <s v="Nescafe"/>
    <n v="249.02380952380952"/>
    <n v="0.74682091978200593"/>
    <n v="2569"/>
  </r>
  <r>
    <n v="435"/>
    <n v="384"/>
    <n v="303"/>
    <n v="2"/>
    <n v="606"/>
    <x v="4"/>
    <x v="6"/>
    <n v="235"/>
    <s v="Сахар"/>
    <s v="Сладов"/>
    <n v="254.58333333333334"/>
    <n v="0.19018003273322415"/>
    <n v="3604"/>
  </r>
  <r>
    <n v="436"/>
    <n v="473"/>
    <n v="231"/>
    <n v="3"/>
    <n v="693"/>
    <x v="295"/>
    <x v="3"/>
    <n v="448"/>
    <s v="Хлеб"/>
    <s v="Хлебный Дом"/>
    <n v="300.31818181818181"/>
    <n v="-0.2308158014227335"/>
    <n v="4226"/>
  </r>
  <r>
    <n v="437"/>
    <n v="383"/>
    <n v="429"/>
    <n v="4"/>
    <n v="1716"/>
    <x v="296"/>
    <x v="12"/>
    <n v="367"/>
    <s v="Фрукты"/>
    <s v="Фруктовый Рай"/>
    <n v="274.16279069767444"/>
    <n v="0.56476376282975638"/>
    <n v="3358"/>
  </r>
  <r>
    <n v="438"/>
    <n v="406"/>
    <n v="87"/>
    <n v="2"/>
    <n v="174"/>
    <x v="297"/>
    <x v="11"/>
    <n v="255"/>
    <s v="Сок"/>
    <s v="Фруктовый сад"/>
    <n v="268.60344827586209"/>
    <n v="-0.676102445599846"/>
    <n v="9023"/>
  </r>
  <r>
    <n v="439"/>
    <n v="252"/>
    <n v="50"/>
    <n v="1"/>
    <n v="50"/>
    <x v="110"/>
    <x v="7"/>
    <n v="138"/>
    <s v="Чай"/>
    <s v="Lipton"/>
    <n v="271.18181818181819"/>
    <n v="-0.81562185719074753"/>
    <n v="4943"/>
  </r>
  <r>
    <n v="440"/>
    <n v="365"/>
    <n v="127"/>
    <n v="1"/>
    <n v="127"/>
    <x v="187"/>
    <x v="11"/>
    <n v="158"/>
    <s v="Мясо"/>
    <s v="Агрокомплекс"/>
    <n v="271.74545454545455"/>
    <n v="-0.53265087648869258"/>
    <n v="3112"/>
  </r>
  <r>
    <n v="441"/>
    <n v="420"/>
    <n v="390"/>
    <n v="3"/>
    <n v="1170"/>
    <x v="86"/>
    <x v="1"/>
    <n v="217"/>
    <s v="Хлеб"/>
    <s v="Хлебный Дом"/>
    <n v="300.31818181818181"/>
    <n v="0.29862267292265776"/>
    <n v="4226"/>
  </r>
  <r>
    <n v="442"/>
    <n v="97"/>
    <n v="298"/>
    <n v="2"/>
    <n v="596"/>
    <x v="248"/>
    <x v="9"/>
    <n v="102"/>
    <s v="Печенье"/>
    <s v="КДВ"/>
    <n v="283.468085106383"/>
    <n v="5.1264730165878403E-2"/>
    <n v="4200"/>
  </r>
  <r>
    <n v="443"/>
    <n v="217"/>
    <n v="471"/>
    <n v="3"/>
    <n v="1413"/>
    <x v="298"/>
    <x v="6"/>
    <n v="425"/>
    <s v="Мясо"/>
    <s v="Агрокомплекс"/>
    <n v="271.74545454545455"/>
    <n v="0.73323966278602959"/>
    <n v="3112"/>
  </r>
  <r>
    <n v="444"/>
    <n v="47"/>
    <n v="315"/>
    <n v="3"/>
    <n v="945"/>
    <x v="223"/>
    <x v="14"/>
    <n v="140"/>
    <s v="Мясо"/>
    <s v="Снежана"/>
    <n v="271.74545454545455"/>
    <n v="0.15917302288237645"/>
    <n v="4630"/>
  </r>
  <r>
    <n v="445"/>
    <n v="346"/>
    <n v="267"/>
    <n v="3"/>
    <n v="801"/>
    <x v="38"/>
    <x v="13"/>
    <n v="385"/>
    <s v="Чай"/>
    <s v="Greenfield"/>
    <n v="271.18181818181819"/>
    <n v="-1.5420717398592076E-2"/>
    <n v="6412"/>
  </r>
  <r>
    <n v="446"/>
    <n v="47"/>
    <n v="476"/>
    <n v="4"/>
    <n v="1904"/>
    <x v="132"/>
    <x v="5"/>
    <n v="43"/>
    <s v="Мясо"/>
    <s v="Снежана"/>
    <n v="271.74545454545455"/>
    <n v="0.75163923457781334"/>
    <n v="4630"/>
  </r>
  <r>
    <n v="447"/>
    <n v="290"/>
    <n v="97"/>
    <n v="4"/>
    <n v="388"/>
    <x v="299"/>
    <x v="11"/>
    <n v="326"/>
    <s v="Сахар"/>
    <s v="Продимекс"/>
    <n v="254.58333333333334"/>
    <n v="-0.61898527004909987"/>
    <n v="5172"/>
  </r>
  <r>
    <n v="448"/>
    <n v="484"/>
    <n v="114"/>
    <n v="1"/>
    <n v="114"/>
    <x v="300"/>
    <x v="19"/>
    <n v="402"/>
    <s v="Печенье"/>
    <s v="КДВ"/>
    <n v="283.468085106383"/>
    <n v="-0.59783832470164389"/>
    <n v="4200"/>
  </r>
  <r>
    <n v="449"/>
    <n v="192"/>
    <n v="147"/>
    <n v="1"/>
    <n v="147"/>
    <x v="301"/>
    <x v="7"/>
    <n v="23"/>
    <s v="Мясо"/>
    <s v="Снежана"/>
    <n v="271.74545454545455"/>
    <n v="-0.45905258932155757"/>
    <n v="4630"/>
  </r>
  <r>
    <n v="450"/>
    <n v="187"/>
    <n v="185"/>
    <n v="2"/>
    <n v="370"/>
    <x v="248"/>
    <x v="8"/>
    <n v="468"/>
    <s v="Макароны"/>
    <s v="Паста Зара"/>
    <n v="265.47674418604652"/>
    <n v="-0.30314046690902718"/>
    <n v="10237"/>
  </r>
  <r>
    <n v="451"/>
    <n v="429"/>
    <n v="368"/>
    <n v="2"/>
    <n v="736"/>
    <x v="302"/>
    <x v="6"/>
    <n v="16"/>
    <s v="Крупа"/>
    <s v="Увелка"/>
    <n v="255.11627906976744"/>
    <n v="0.44247948951686422"/>
    <n v="3023"/>
  </r>
  <r>
    <n v="452"/>
    <n v="93"/>
    <n v="387"/>
    <n v="2"/>
    <n v="774"/>
    <x v="303"/>
    <x v="8"/>
    <n v="156"/>
    <s v="Чай"/>
    <s v="Greenfield"/>
    <n v="271.18181818181819"/>
    <n v="0.42708682534361375"/>
    <n v="6412"/>
  </r>
  <r>
    <n v="453"/>
    <n v="57"/>
    <n v="174"/>
    <n v="2"/>
    <n v="348"/>
    <x v="62"/>
    <x v="7"/>
    <n v="141"/>
    <s v="Печенье"/>
    <s v="Юбилейное"/>
    <n v="283.468085106383"/>
    <n v="-0.38617428507092999"/>
    <n v="2092"/>
  </r>
  <r>
    <n v="454"/>
    <n v="198"/>
    <n v="438"/>
    <n v="4"/>
    <n v="1752"/>
    <x v="304"/>
    <x v="15"/>
    <n v="385"/>
    <s v="Мясо"/>
    <s v="Мираторг"/>
    <n v="271.74545454545455"/>
    <n v="0.61180248896025691"/>
    <n v="3799"/>
  </r>
  <r>
    <n v="455"/>
    <n v="202"/>
    <n v="308"/>
    <n v="2"/>
    <n v="616"/>
    <x v="305"/>
    <x v="12"/>
    <n v="182"/>
    <s v="Овощи"/>
    <s v="Овощной ряд"/>
    <n v="250.48780487804879"/>
    <n v="0.22960077896786757"/>
    <n v="5165"/>
  </r>
  <r>
    <n v="456"/>
    <n v="427"/>
    <n v="240"/>
    <n v="1"/>
    <n v="240"/>
    <x v="306"/>
    <x v="2"/>
    <n v="225"/>
    <s v="Хлеб"/>
    <s v="Русский Хлеб"/>
    <n v="300.31818181818181"/>
    <n v="-0.20084758589374907"/>
    <n v="3166"/>
  </r>
  <r>
    <n v="457"/>
    <n v="272"/>
    <n v="67"/>
    <n v="3"/>
    <n v="201"/>
    <x v="247"/>
    <x v="5"/>
    <n v="151"/>
    <s v="Крупа"/>
    <s v="Ярмарка"/>
    <n v="255.11627906976744"/>
    <n v="-0.73737465815861447"/>
    <n v="2773"/>
  </r>
  <r>
    <n v="458"/>
    <n v="473"/>
    <n v="474"/>
    <n v="2"/>
    <n v="948"/>
    <x v="45"/>
    <x v="4"/>
    <n v="428"/>
    <s v="Хлеб"/>
    <s v="Хлебный Дом"/>
    <n v="300.31818181818181"/>
    <n v="0.57832601785984572"/>
    <n v="4226"/>
  </r>
  <r>
    <n v="459"/>
    <n v="189"/>
    <n v="275"/>
    <n v="4"/>
    <n v="1100"/>
    <x v="104"/>
    <x v="14"/>
    <n v="438"/>
    <s v="Хлеб"/>
    <s v="Дарница"/>
    <n v="300.31818181818181"/>
    <n v="-8.4304525503254069E-2"/>
    <n v="1848"/>
  </r>
  <r>
    <n v="460"/>
    <n v="362"/>
    <n v="358"/>
    <n v="4"/>
    <n v="1432"/>
    <x v="14"/>
    <x v="3"/>
    <n v="465"/>
    <s v="Хлеб"/>
    <s v="Русский Хлеб"/>
    <n v="300.31818181818181"/>
    <n v="0.19206901770849094"/>
    <n v="3166"/>
  </r>
  <r>
    <n v="461"/>
    <n v="345"/>
    <n v="455"/>
    <n v="5"/>
    <n v="2275"/>
    <x v="307"/>
    <x v="3"/>
    <n v="215"/>
    <s v="Конфеты"/>
    <s v="Рот Фронт"/>
    <n v="267.85483870967744"/>
    <n v="0.69868127897874377"/>
    <n v="6053"/>
  </r>
  <r>
    <n v="462"/>
    <n v="461"/>
    <n v="443"/>
    <n v="3"/>
    <n v="1329"/>
    <x v="185"/>
    <x v="19"/>
    <n v="314"/>
    <s v="Фрукты"/>
    <s v="Green Garden"/>
    <n v="274.16279069767444"/>
    <n v="0.61582831453049436"/>
    <n v="1846"/>
  </r>
  <r>
    <n v="463"/>
    <n v="401"/>
    <n v="464"/>
    <n v="2"/>
    <n v="928"/>
    <x v="220"/>
    <x v="5"/>
    <n v="15"/>
    <s v="Чай"/>
    <s v="Greenfield"/>
    <n v="271.18181818181819"/>
    <n v="0.7110291652698626"/>
    <n v="6412"/>
  </r>
  <r>
    <n v="464"/>
    <n v="427"/>
    <n v="307"/>
    <n v="5"/>
    <n v="1535"/>
    <x v="248"/>
    <x v="16"/>
    <n v="191"/>
    <s v="Хлеб"/>
    <s v="Русский Хлеб"/>
    <n v="300.31818181818181"/>
    <n v="2.2249129710912641E-2"/>
    <n v="3166"/>
  </r>
  <r>
    <n v="465"/>
    <n v="129"/>
    <n v="121"/>
    <n v="5"/>
    <n v="605"/>
    <x v="308"/>
    <x v="16"/>
    <n v="277"/>
    <s v="Мясо"/>
    <s v="Агрокомплекс"/>
    <n v="271.74545454545455"/>
    <n v="-0.55473036263883313"/>
    <n v="3112"/>
  </r>
  <r>
    <n v="466"/>
    <n v="84"/>
    <n v="265"/>
    <n v="2"/>
    <n v="530"/>
    <x v="230"/>
    <x v="0"/>
    <n v="101"/>
    <s v="Кофе"/>
    <s v="Tchibo"/>
    <n v="249.02380952380952"/>
    <n v="6.4155272970647381E-2"/>
    <n v="420"/>
  </r>
  <r>
    <n v="467"/>
    <n v="172"/>
    <n v="451"/>
    <n v="2"/>
    <n v="902"/>
    <x v="258"/>
    <x v="18"/>
    <n v="141"/>
    <s v="Фрукты"/>
    <s v="Green Garden"/>
    <n v="274.16279069767444"/>
    <n v="0.64500805835948749"/>
    <n v="1846"/>
  </r>
  <r>
    <n v="468"/>
    <n v="348"/>
    <n v="212"/>
    <n v="5"/>
    <n v="1060"/>
    <x v="283"/>
    <x v="3"/>
    <n v="126"/>
    <s v="Чипсы"/>
    <s v="Estrella"/>
    <n v="273.72549019607845"/>
    <n v="-0.22550143266475653"/>
    <n v="2929"/>
  </r>
  <r>
    <n v="469"/>
    <n v="171"/>
    <n v="336"/>
    <n v="4"/>
    <n v="1344"/>
    <x v="309"/>
    <x v="7"/>
    <n v="148"/>
    <s v="Чай"/>
    <s v="Greenfield"/>
    <n v="271.18181818181819"/>
    <n v="0.23902111967817641"/>
    <n v="6412"/>
  </r>
  <r>
    <n v="470"/>
    <n v="70"/>
    <n v="407"/>
    <n v="2"/>
    <n v="814"/>
    <x v="90"/>
    <x v="6"/>
    <n v="334"/>
    <s v="Рис"/>
    <s v="Мистраль"/>
    <n v="258.375"/>
    <n v="0.57522980164489601"/>
    <n v="1271"/>
  </r>
  <r>
    <n v="471"/>
    <n v="476"/>
    <n v="109"/>
    <n v="4"/>
    <n v="436"/>
    <x v="245"/>
    <x v="6"/>
    <n v="335"/>
    <s v="Рыба"/>
    <s v="Балтийский берег"/>
    <n v="258.5128205128205"/>
    <n v="-0.5783574687561992"/>
    <n v="2609"/>
  </r>
  <r>
    <n v="472"/>
    <n v="49"/>
    <n v="412"/>
    <n v="3"/>
    <n v="1236"/>
    <x v="153"/>
    <x v="8"/>
    <n v="370"/>
    <s v="Рис"/>
    <s v="Агро-Альянс"/>
    <n v="258.375"/>
    <n v="0.59458151910982093"/>
    <n v="2225"/>
  </r>
  <r>
    <n v="473"/>
    <n v="7"/>
    <n v="254"/>
    <n v="2"/>
    <n v="508"/>
    <x v="310"/>
    <x v="5"/>
    <n v="76"/>
    <s v="Сыр"/>
    <s v="President"/>
    <n v="261.03225806451616"/>
    <n v="-2.6940187839841867E-2"/>
    <n v="3935"/>
  </r>
  <r>
    <n v="474"/>
    <n v="180"/>
    <n v="338"/>
    <n v="3"/>
    <n v="1014"/>
    <x v="19"/>
    <x v="12"/>
    <n v="25"/>
    <s v="Чипсы"/>
    <s v="Русская картошка"/>
    <n v="273.72549019607845"/>
    <n v="0.2348137535816619"/>
    <n v="2902"/>
  </r>
  <r>
    <n v="475"/>
    <n v="194"/>
    <n v="268"/>
    <n v="5"/>
    <n v="1340"/>
    <x v="126"/>
    <x v="16"/>
    <n v="80"/>
    <s v="Соль"/>
    <s v="Салта"/>
    <n v="264.8679245283019"/>
    <n v="1.1825046302892162E-2"/>
    <n v="2737"/>
  </r>
  <r>
    <n v="476"/>
    <n v="312"/>
    <n v="223"/>
    <n v="2"/>
    <n v="446"/>
    <x v="140"/>
    <x v="4"/>
    <n v="276"/>
    <s v="Хлеб"/>
    <s v="Каравай"/>
    <n v="300.31818181818181"/>
    <n v="-0.2574542152262751"/>
    <n v="3974"/>
  </r>
  <r>
    <n v="477"/>
    <n v="235"/>
    <n v="455"/>
    <n v="5"/>
    <n v="2275"/>
    <x v="122"/>
    <x v="17"/>
    <n v="71"/>
    <s v="Хлеб"/>
    <s v="Русский Хлеб"/>
    <n v="300.31818181818181"/>
    <n v="0.51505978507643402"/>
    <n v="3166"/>
  </r>
  <r>
    <n v="478"/>
    <n v="399"/>
    <n v="379"/>
    <n v="1"/>
    <n v="379"/>
    <x v="311"/>
    <x v="10"/>
    <n v="12"/>
    <s v="Хлеб"/>
    <s v="Хлебный Дом"/>
    <n v="300.31818181818181"/>
    <n v="0.26199485394278788"/>
    <n v="4226"/>
  </r>
  <r>
    <n v="479"/>
    <n v="494"/>
    <n v="216"/>
    <n v="3"/>
    <n v="648"/>
    <x v="117"/>
    <x v="17"/>
    <n v="9"/>
    <s v="Сыр"/>
    <s v="Сырная долина"/>
    <n v="261.03225806451616"/>
    <n v="-0.17251606524962937"/>
    <n v="8943"/>
  </r>
  <r>
    <n v="480"/>
    <n v="458"/>
    <n v="469"/>
    <n v="4"/>
    <n v="1876"/>
    <x v="158"/>
    <x v="12"/>
    <n v="51"/>
    <s v="Макароны"/>
    <s v="Борилла"/>
    <n v="265.47674418604652"/>
    <n v="0.76663308659279039"/>
    <n v="6852"/>
  </r>
  <r>
    <n v="481"/>
    <n v="193"/>
    <n v="94"/>
    <n v="3"/>
    <n v="282"/>
    <x v="190"/>
    <x v="2"/>
    <n v="370"/>
    <s v="Соль"/>
    <s v="Салта"/>
    <n v="264.8679245283019"/>
    <n v="-0.64510614047585135"/>
    <n v="2737"/>
  </r>
  <r>
    <n v="482"/>
    <n v="450"/>
    <n v="494"/>
    <n v="4"/>
    <n v="1976"/>
    <x v="77"/>
    <x v="15"/>
    <n v="17"/>
    <s v="Хлеб"/>
    <s v="Хлебный Дом"/>
    <n v="300.31818181818181"/>
    <n v="0.64492205236869982"/>
    <n v="4226"/>
  </r>
  <r>
    <n v="590"/>
    <n v="474"/>
    <n v="204"/>
    <n v="2"/>
    <n v="408"/>
    <x v="6"/>
    <x v="15"/>
    <n v="153"/>
    <s v="Молоко"/>
    <s v="Простоквашино"/>
    <n v="294.95238095238096"/>
    <n v="0.68162738133677747"/>
    <n v="3507"/>
  </r>
  <r>
    <n v="484"/>
    <n v="115"/>
    <n v="118"/>
    <n v="1"/>
    <n v="118"/>
    <x v="7"/>
    <x v="1"/>
    <n v="481"/>
    <s v="Сыр"/>
    <s v="President"/>
    <n v="261.03225806451616"/>
    <n v="-0.54794859120118633"/>
    <n v="3935"/>
  </r>
  <r>
    <n v="485"/>
    <n v="163"/>
    <n v="344"/>
    <n v="1"/>
    <n v="344"/>
    <x v="311"/>
    <x v="2"/>
    <n v="363"/>
    <s v="Соль"/>
    <s v="Экстра"/>
    <n v="264.8679245283019"/>
    <n v="0.298760507194757"/>
    <n v="4171"/>
  </r>
  <r>
    <n v="486"/>
    <n v="321"/>
    <n v="322"/>
    <n v="3"/>
    <n v="966"/>
    <x v="312"/>
    <x v="6"/>
    <n v="328"/>
    <s v="Мясо"/>
    <s v="Сава"/>
    <n v="271.74545454545455"/>
    <n v="0.18493242339087379"/>
    <n v="3405"/>
  </r>
  <r>
    <n v="487"/>
    <n v="129"/>
    <n v="328"/>
    <n v="4"/>
    <n v="1312"/>
    <x v="313"/>
    <x v="3"/>
    <n v="127"/>
    <s v="Мясо"/>
    <s v="Агрокомплекс"/>
    <n v="271.74545454545455"/>
    <n v="0.20701190954101434"/>
    <n v="3112"/>
  </r>
  <r>
    <n v="488"/>
    <n v="12"/>
    <n v="357"/>
    <n v="1"/>
    <n v="357"/>
    <x v="150"/>
    <x v="2"/>
    <n v="221"/>
    <s v="Макароны"/>
    <s v="Макфа"/>
    <n v="265.47674418604652"/>
    <n v="0.34475055845122848"/>
    <n v="3622"/>
  </r>
  <r>
    <n v="489"/>
    <n v="104"/>
    <n v="276"/>
    <n v="2"/>
    <n v="552"/>
    <x v="125"/>
    <x v="6"/>
    <n v="134"/>
    <s v="Йогурт"/>
    <s v="Ростагроэкспорт"/>
    <n v="263.25423728813558"/>
    <n v="4.841617306206536E-2"/>
    <n v="5929"/>
  </r>
  <r>
    <n v="490"/>
    <n v="61"/>
    <n v="170"/>
    <n v="2"/>
    <n v="340"/>
    <x v="259"/>
    <x v="3"/>
    <n v="374"/>
    <s v="Йогурт"/>
    <s v="Эрманн"/>
    <n v="263.25423728813558"/>
    <n v="-0.35423641514293069"/>
    <n v="4970"/>
  </r>
  <r>
    <n v="491"/>
    <n v="202"/>
    <n v="89"/>
    <n v="1"/>
    <n v="89"/>
    <x v="314"/>
    <x v="0"/>
    <n v="441"/>
    <s v="Овощи"/>
    <s v="Овощной ряд"/>
    <n v="250.48780487804879"/>
    <n v="-0.64469328140214222"/>
    <n v="5165"/>
  </r>
  <r>
    <n v="492"/>
    <n v="464"/>
    <n v="134"/>
    <n v="1"/>
    <n v="134"/>
    <x v="315"/>
    <x v="0"/>
    <n v="220"/>
    <s v="Сыр"/>
    <s v="Сырная долина"/>
    <n v="261.03225806451616"/>
    <n v="-0.48665348492338112"/>
    <n v="8943"/>
  </r>
  <r>
    <n v="493"/>
    <n v="335"/>
    <n v="436"/>
    <n v="1"/>
    <n v="436"/>
    <x v="316"/>
    <x v="6"/>
    <n v="235"/>
    <s v="Хлеб"/>
    <s v="Каравай"/>
    <n v="300.31818181818181"/>
    <n v="0.45179355229302254"/>
    <n v="3974"/>
  </r>
  <r>
    <n v="494"/>
    <n v="15"/>
    <n v="318"/>
    <n v="5"/>
    <n v="1590"/>
    <x v="274"/>
    <x v="18"/>
    <n v="323"/>
    <s v="Сахар"/>
    <s v="Агросахар"/>
    <n v="254.58333333333334"/>
    <n v="0.24909983633387878"/>
    <n v="1511"/>
  </r>
  <r>
    <n v="495"/>
    <n v="441"/>
    <n v="183"/>
    <n v="1"/>
    <n v="183"/>
    <x v="89"/>
    <x v="6"/>
    <n v="296"/>
    <s v="Чай"/>
    <s v="Lipton"/>
    <n v="271.18181818181819"/>
    <n v="-0.32517599731813607"/>
    <n v="4943"/>
  </r>
  <r>
    <n v="496"/>
    <n v="149"/>
    <n v="448"/>
    <n v="2"/>
    <n v="896"/>
    <x v="129"/>
    <x v="8"/>
    <n v="206"/>
    <s v="Конфеты"/>
    <s v="Бабаевский"/>
    <n v="267.85483870967744"/>
    <n v="0.67254772084060921"/>
    <n v="6757"/>
  </r>
  <r>
    <n v="497"/>
    <n v="490"/>
    <n v="58"/>
    <n v="4"/>
    <n v="232"/>
    <x v="16"/>
    <x v="18"/>
    <n v="255"/>
    <s v="Сыр"/>
    <s v="Сырная долина"/>
    <n v="261.03225806451616"/>
    <n v="-0.77780523974295601"/>
    <n v="8943"/>
  </r>
  <r>
    <n v="498"/>
    <n v="90"/>
    <n v="162"/>
    <n v="3"/>
    <n v="486"/>
    <x v="272"/>
    <x v="6"/>
    <n v="88"/>
    <s v="Кофе"/>
    <s v="Nescafe"/>
    <n v="249.02380952380952"/>
    <n v="-0.34945979539152883"/>
    <n v="2569"/>
  </r>
  <r>
    <n v="932"/>
    <n v="188"/>
    <n v="233"/>
    <n v="2"/>
    <n v="466"/>
    <x v="55"/>
    <x v="10"/>
    <n v="445"/>
    <s v="Молоко"/>
    <s v="Вимм-Билль-Данн"/>
    <n v="294.95238095238096"/>
    <n v="0.60703907006780744"/>
    <n v="387"/>
  </r>
  <r>
    <n v="500"/>
    <n v="323"/>
    <n v="64"/>
    <n v="4"/>
    <n v="256"/>
    <x v="6"/>
    <x v="1"/>
    <n v="265"/>
    <s v="Рыба"/>
    <s v="Меридиан"/>
    <n v="258.5128205128205"/>
    <n v="-0.75243007339813528"/>
    <n v="4431"/>
  </r>
  <r>
    <n v="501"/>
    <n v="451"/>
    <n v="187"/>
    <n v="4"/>
    <n v="748"/>
    <x v="268"/>
    <x v="11"/>
    <n v="164"/>
    <s v="Рис"/>
    <s v="Белый Злат"/>
    <n v="258.375"/>
    <n v="-0.27624576681180457"/>
    <n v="4585"/>
  </r>
  <r>
    <n v="502"/>
    <n v="348"/>
    <n v="461"/>
    <n v="3"/>
    <n v="1383"/>
    <x v="317"/>
    <x v="10"/>
    <n v="364"/>
    <s v="Чипсы"/>
    <s v="Estrella"/>
    <n v="273.72549019607845"/>
    <n v="0.68416905444126064"/>
    <n v="2929"/>
  </r>
  <r>
    <n v="503"/>
    <n v="111"/>
    <n v="321"/>
    <n v="5"/>
    <n v="1605"/>
    <x v="318"/>
    <x v="9"/>
    <n v="19"/>
    <s v="Сахар"/>
    <s v="Сладов"/>
    <n v="254.58333333333334"/>
    <n v="0.26088379705400988"/>
    <n v="3604"/>
  </r>
  <r>
    <n v="504"/>
    <n v="234"/>
    <n v="244"/>
    <n v="3"/>
    <n v="732"/>
    <x v="138"/>
    <x v="12"/>
    <n v="453"/>
    <s v="Чай"/>
    <s v="Greenfield"/>
    <n v="271.18181818181819"/>
    <n v="-0.10023466309084816"/>
    <n v="6412"/>
  </r>
  <r>
    <n v="505"/>
    <n v="336"/>
    <n v="416"/>
    <n v="2"/>
    <n v="832"/>
    <x v="319"/>
    <x v="4"/>
    <n v="335"/>
    <s v="Чипсы"/>
    <s v="Estrella"/>
    <n v="273.72549019607845"/>
    <n v="0.51977077363896829"/>
    <n v="2929"/>
  </r>
  <r>
    <n v="506"/>
    <n v="441"/>
    <n v="293"/>
    <n v="3"/>
    <n v="879"/>
    <x v="263"/>
    <x v="16"/>
    <n v="136"/>
    <s v="Чай"/>
    <s v="Lipton"/>
    <n v="271.18181818181819"/>
    <n v="8.0455916862219201E-2"/>
    <n v="4943"/>
  </r>
  <r>
    <n v="507"/>
    <n v="481"/>
    <n v="63"/>
    <n v="1"/>
    <n v="63"/>
    <x v="320"/>
    <x v="4"/>
    <n v="388"/>
    <s v="Чипсы"/>
    <s v="Pringles"/>
    <n v="273.72549019607845"/>
    <n v="-0.76984240687679084"/>
    <n v="5885"/>
  </r>
  <r>
    <n v="508"/>
    <n v="403"/>
    <n v="240"/>
    <n v="1"/>
    <n v="240"/>
    <x v="321"/>
    <x v="2"/>
    <n v="341"/>
    <s v="Чай"/>
    <s v="Ахмад"/>
    <n v="271.18181818181819"/>
    <n v="-0.11498491451558834"/>
    <n v="2433"/>
  </r>
  <r>
    <n v="509"/>
    <n v="137"/>
    <n v="432"/>
    <n v="5"/>
    <n v="2160"/>
    <x v="318"/>
    <x v="14"/>
    <n v="185"/>
    <s v="Фрукты"/>
    <s v="Экзотик"/>
    <n v="274.16279069767444"/>
    <n v="0.57570616676562891"/>
    <n v="4059"/>
  </r>
  <r>
    <n v="510"/>
    <n v="246"/>
    <n v="196"/>
    <n v="5"/>
    <n v="980"/>
    <x v="235"/>
    <x v="7"/>
    <n v="437"/>
    <s v="Сыр"/>
    <s v="President"/>
    <n v="261.03225806451616"/>
    <n v="-0.24913494809688586"/>
    <n v="3935"/>
  </r>
  <r>
    <n v="511"/>
    <n v="4"/>
    <n v="493"/>
    <n v="4"/>
    <n v="1972"/>
    <x v="322"/>
    <x v="8"/>
    <n v="263"/>
    <s v="Рис"/>
    <s v="Белый Злат"/>
    <n v="258.375"/>
    <n v="0.90807934204160623"/>
    <n v="4585"/>
  </r>
  <r>
    <n v="512"/>
    <n v="484"/>
    <n v="436"/>
    <n v="2"/>
    <n v="872"/>
    <x v="205"/>
    <x v="7"/>
    <n v="358"/>
    <s v="Печенье"/>
    <s v="КДВ"/>
    <n v="283.468085106383"/>
    <n v="0.53809202131652012"/>
    <n v="4200"/>
  </r>
  <r>
    <n v="513"/>
    <n v="60"/>
    <n v="412"/>
    <n v="5"/>
    <n v="2060"/>
    <x v="71"/>
    <x v="9"/>
    <n v="377"/>
    <s v="Кофе"/>
    <s v="Jacobs"/>
    <n v="249.02380952380952"/>
    <n v="0.65446027344870461"/>
    <n v="5248"/>
  </r>
  <r>
    <n v="514"/>
    <n v="477"/>
    <n v="117"/>
    <n v="3"/>
    <n v="351"/>
    <x v="323"/>
    <x v="15"/>
    <n v="450"/>
    <s v="Макароны"/>
    <s v="Борилла"/>
    <n v="265.47674418604652"/>
    <n v="-0.559283430423547"/>
    <n v="6852"/>
  </r>
  <r>
    <n v="515"/>
    <n v="174"/>
    <n v="301"/>
    <n v="4"/>
    <n v="1204"/>
    <x v="109"/>
    <x v="6"/>
    <n v="210"/>
    <s v="Чай"/>
    <s v="Ахмад"/>
    <n v="271.18181818181819"/>
    <n v="0.10995641971169956"/>
    <n v="2433"/>
  </r>
  <r>
    <n v="516"/>
    <n v="240"/>
    <n v="156"/>
    <n v="4"/>
    <n v="624"/>
    <x v="324"/>
    <x v="15"/>
    <n v="67"/>
    <s v="Макароны"/>
    <s v="Борилла"/>
    <n v="265.47674418604652"/>
    <n v="-0.41237790723139589"/>
    <n v="6852"/>
  </r>
  <r>
    <n v="517"/>
    <n v="299"/>
    <n v="141"/>
    <n v="4"/>
    <n v="564"/>
    <x v="325"/>
    <x v="10"/>
    <n v="125"/>
    <s v="Чай"/>
    <s v="Lipton"/>
    <n v="271.18181818181819"/>
    <n v="-0.48005363727790817"/>
    <n v="4943"/>
  </r>
  <r>
    <n v="518"/>
    <n v="481"/>
    <n v="463"/>
    <n v="2"/>
    <n v="926"/>
    <x v="96"/>
    <x v="14"/>
    <n v="213"/>
    <s v="Чипсы"/>
    <s v="Pringles"/>
    <n v="273.72549019607845"/>
    <n v="0.69147564469914036"/>
    <n v="5885"/>
  </r>
  <r>
    <n v="519"/>
    <n v="213"/>
    <n v="432"/>
    <n v="3"/>
    <n v="1296"/>
    <x v="41"/>
    <x v="13"/>
    <n v="254"/>
    <s v="Сахар"/>
    <s v="Продимекс"/>
    <n v="254.58333333333334"/>
    <n v="0.69689034369885428"/>
    <n v="5172"/>
  </r>
  <r>
    <n v="520"/>
    <n v="484"/>
    <n v="238"/>
    <n v="2"/>
    <n v="476"/>
    <x v="326"/>
    <x v="6"/>
    <n v="252"/>
    <s v="Печенье"/>
    <s v="КДВ"/>
    <n v="283.468085106383"/>
    <n v="-0.16039930946483527"/>
    <n v="4200"/>
  </r>
  <r>
    <n v="521"/>
    <n v="479"/>
    <n v="131"/>
    <n v="5"/>
    <n v="655"/>
    <x v="327"/>
    <x v="4"/>
    <n v="164"/>
    <s v="Овощи"/>
    <s v="Гавриш"/>
    <n v="250.48780487804879"/>
    <n v="-0.47702044790652387"/>
    <n v="2229"/>
  </r>
  <r>
    <n v="522"/>
    <n v="159"/>
    <n v="225"/>
    <n v="1"/>
    <n v="225"/>
    <x v="328"/>
    <x v="13"/>
    <n v="258"/>
    <s v="Крупа"/>
    <s v="Националь"/>
    <n v="255.11627906976744"/>
    <n v="-0.11804922515952598"/>
    <n v="1920"/>
  </r>
  <r>
    <n v="523"/>
    <n v="110"/>
    <n v="279"/>
    <n v="1"/>
    <n v="279"/>
    <x v="329"/>
    <x v="10"/>
    <n v="290"/>
    <s v="Макароны"/>
    <s v="Паста Зара"/>
    <n v="265.47674418604652"/>
    <n v="5.0939512066926484E-2"/>
    <n v="10237"/>
  </r>
  <r>
    <n v="524"/>
    <n v="224"/>
    <n v="161"/>
    <n v="2"/>
    <n v="322"/>
    <x v="330"/>
    <x v="10"/>
    <n v="336"/>
    <s v="Чипсы"/>
    <s v="Pringles"/>
    <n v="273.72549019607845"/>
    <n v="-0.41181948424068771"/>
    <n v="5885"/>
  </r>
  <r>
    <n v="525"/>
    <n v="126"/>
    <n v="267"/>
    <n v="1"/>
    <n v="267"/>
    <x v="63"/>
    <x v="16"/>
    <n v="437"/>
    <s v="Сахар"/>
    <s v="Русский сахар"/>
    <n v="254.58333333333334"/>
    <n v="4.8772504091652902E-2"/>
    <n v="4988"/>
  </r>
  <r>
    <n v="526"/>
    <n v="344"/>
    <n v="110"/>
    <n v="4"/>
    <n v="440"/>
    <x v="331"/>
    <x v="17"/>
    <n v="294"/>
    <s v="Сок"/>
    <s v="Сады Придонья"/>
    <n v="268.60344827586209"/>
    <n v="-0.59047435650555236"/>
    <n v="2796"/>
  </r>
  <r>
    <n v="527"/>
    <n v="447"/>
    <n v="316"/>
    <n v="1"/>
    <n v="316"/>
    <x v="332"/>
    <x v="9"/>
    <n v="297"/>
    <s v="Йогурт"/>
    <s v="Эрманн"/>
    <n v="263.25423728813558"/>
    <n v="0.20036054596961117"/>
    <n v="4970"/>
  </r>
  <r>
    <n v="528"/>
    <n v="450"/>
    <n v="228"/>
    <n v="4"/>
    <n v="912"/>
    <x v="164"/>
    <x v="7"/>
    <n v="27"/>
    <s v="Хлеб"/>
    <s v="Хлебный Дом"/>
    <n v="300.31818181818181"/>
    <n v="-0.24080520659906157"/>
    <n v="4226"/>
  </r>
  <r>
    <n v="529"/>
    <n v="60"/>
    <n v="100"/>
    <n v="1"/>
    <n v="100"/>
    <x v="333"/>
    <x v="19"/>
    <n v="102"/>
    <s v="Кофе"/>
    <s v="Jacobs"/>
    <n v="249.02380952380952"/>
    <n v="-0.59843197246390667"/>
    <n v="5248"/>
  </r>
  <r>
    <n v="530"/>
    <n v="42"/>
    <n v="332"/>
    <n v="2"/>
    <n v="664"/>
    <x v="320"/>
    <x v="0"/>
    <n v="323"/>
    <s v="Рис"/>
    <s v="Мистраль"/>
    <n v="258.375"/>
    <n v="0.28495403967102084"/>
    <n v="1271"/>
  </r>
  <r>
    <n v="531"/>
    <n v="267"/>
    <n v="65"/>
    <n v="2"/>
    <n v="130"/>
    <x v="214"/>
    <x v="17"/>
    <n v="53"/>
    <s v="Овощи"/>
    <s v="Семко"/>
    <n v="250.48780487804879"/>
    <n v="-0.740506329113924"/>
    <n v="2080"/>
  </r>
  <r>
    <n v="203"/>
    <n v="369"/>
    <n v="74"/>
    <n v="1"/>
    <n v="74"/>
    <x v="47"/>
    <x v="10"/>
    <n v="411"/>
    <s v="Молоко"/>
    <s v="Домик в деревне"/>
    <n v="294.95238095238096"/>
    <n v="-0.68469486599935425"/>
    <n v="4946"/>
  </r>
  <r>
    <n v="533"/>
    <n v="83"/>
    <n v="315"/>
    <n v="2"/>
    <n v="630"/>
    <x v="150"/>
    <x v="8"/>
    <n v="135"/>
    <s v="Сок"/>
    <s v="Сады Придонья"/>
    <n v="268.60344827586209"/>
    <n v="0.17273252455228172"/>
    <n v="2796"/>
  </r>
  <r>
    <n v="534"/>
    <n v="315"/>
    <n v="348"/>
    <n v="2"/>
    <n v="696"/>
    <x v="334"/>
    <x v="4"/>
    <n v="402"/>
    <s v="Йогурт"/>
    <s v="Чудо"/>
    <n v="263.25423728813558"/>
    <n v="0.32191604429564769"/>
    <n v="2871"/>
  </r>
  <r>
    <n v="535"/>
    <n v="121"/>
    <n v="77"/>
    <n v="1"/>
    <n v="77"/>
    <x v="335"/>
    <x v="3"/>
    <n v="279"/>
    <s v="Чипсы"/>
    <s v="Pringles"/>
    <n v="273.72549019607845"/>
    <n v="-0.71869627507163325"/>
    <n v="5885"/>
  </r>
  <r>
    <n v="536"/>
    <n v="371"/>
    <n v="62"/>
    <n v="5"/>
    <n v="310"/>
    <x v="336"/>
    <x v="2"/>
    <n v="385"/>
    <s v="Сахар"/>
    <s v="Русский сахар"/>
    <n v="254.58333333333334"/>
    <n v="-0.75646481178396074"/>
    <n v="4988"/>
  </r>
  <r>
    <n v="537"/>
    <n v="169"/>
    <n v="429"/>
    <n v="2"/>
    <n v="858"/>
    <x v="148"/>
    <x v="18"/>
    <n v="326"/>
    <s v="Фрукты"/>
    <s v="Фруктовый Рай"/>
    <n v="274.16279069767444"/>
    <n v="0.56476376282975638"/>
    <n v="3358"/>
  </r>
  <r>
    <n v="538"/>
    <n v="433"/>
    <n v="115"/>
    <n v="4"/>
    <n v="460"/>
    <x v="337"/>
    <x v="17"/>
    <n v="138"/>
    <s v="Рыба"/>
    <s v="Меридиан"/>
    <n v="258.5128205128205"/>
    <n v="-0.55514778813727439"/>
    <n v="4431"/>
  </r>
  <r>
    <n v="539"/>
    <n v="43"/>
    <n v="158"/>
    <n v="5"/>
    <n v="790"/>
    <x v="333"/>
    <x v="8"/>
    <n v="271"/>
    <s v="Печенье"/>
    <s v="КДВ"/>
    <n v="283.468085106383"/>
    <n v="-0.44261802897245373"/>
    <n v="4200"/>
  </r>
  <r>
    <n v="540"/>
    <n v="453"/>
    <n v="318"/>
    <n v="4"/>
    <n v="1272"/>
    <x v="338"/>
    <x v="8"/>
    <n v="408"/>
    <s v="Макароны"/>
    <s v="Макфа"/>
    <n v="265.47674418604652"/>
    <n v="0.19784503525907748"/>
    <n v="3622"/>
  </r>
  <r>
    <n v="541"/>
    <n v="403"/>
    <n v="184"/>
    <n v="5"/>
    <n v="920"/>
    <x v="339"/>
    <x v="3"/>
    <n v="444"/>
    <s v="Чай"/>
    <s v="Ахмад"/>
    <n v="271.18181818181819"/>
    <n v="-0.32148843446195108"/>
    <n v="2433"/>
  </r>
  <r>
    <n v="542"/>
    <n v="248"/>
    <n v="497"/>
    <n v="2"/>
    <n v="994"/>
    <x v="137"/>
    <x v="9"/>
    <n v="116"/>
    <s v="Конфеты"/>
    <s v="Красный Октябрь"/>
    <n v="267.85483870967744"/>
    <n v="0.85548262780755091"/>
    <n v="2189"/>
  </r>
  <r>
    <n v="543"/>
    <n v="492"/>
    <n v="469"/>
    <n v="4"/>
    <n v="1876"/>
    <x v="340"/>
    <x v="2"/>
    <n v="38"/>
    <s v="Рыба"/>
    <s v="Русское море"/>
    <n v="258.5128205128205"/>
    <n v="0.81422336837928988"/>
    <n v="878"/>
  </r>
  <r>
    <n v="544"/>
    <n v="428"/>
    <n v="263"/>
    <n v="4"/>
    <n v="1052"/>
    <x v="260"/>
    <x v="14"/>
    <n v="136"/>
    <s v="Конфеты"/>
    <s v="Бабаевский"/>
    <n v="267.85483870967744"/>
    <n v="-1.8124887095803066E-2"/>
    <n v="6757"/>
  </r>
  <r>
    <n v="545"/>
    <n v="91"/>
    <n v="335"/>
    <n v="2"/>
    <n v="670"/>
    <x v="341"/>
    <x v="15"/>
    <n v="310"/>
    <s v="Сыр"/>
    <s v="Сырная долина"/>
    <n v="261.03225806451616"/>
    <n v="0.28336628769154704"/>
    <n v="8943"/>
  </r>
  <r>
    <n v="546"/>
    <n v="122"/>
    <n v="309"/>
    <n v="3"/>
    <n v="927"/>
    <x v="342"/>
    <x v="11"/>
    <n v="263"/>
    <s v="Фрукты"/>
    <s v="Фрукты-Ягоды"/>
    <n v="274.16279069767444"/>
    <n v="0.12706760539485962"/>
    <n v="2526"/>
  </r>
  <r>
    <n v="547"/>
    <n v="444"/>
    <n v="59"/>
    <n v="2"/>
    <n v="118"/>
    <x v="343"/>
    <x v="19"/>
    <n v="381"/>
    <s v="Йогурт"/>
    <s v="Эрманн"/>
    <n v="263.25423728813558"/>
    <n v="-0.77588204996137011"/>
    <n v="4970"/>
  </r>
  <r>
    <n v="532"/>
    <n v="161"/>
    <n v="489"/>
    <n v="5"/>
    <n v="2445"/>
    <x v="39"/>
    <x v="5"/>
    <n v="143"/>
    <s v="Молоко"/>
    <s v="Простоквашино"/>
    <n v="294.95238095238096"/>
    <n v="-0.74911204391346464"/>
    <n v="3507"/>
  </r>
  <r>
    <n v="549"/>
    <n v="431"/>
    <n v="149"/>
    <n v="5"/>
    <n v="745"/>
    <x v="310"/>
    <x v="15"/>
    <n v="12"/>
    <s v="Овощи"/>
    <s v="Гавриш"/>
    <n v="250.48780487804879"/>
    <n v="-0.40516066212268742"/>
    <n v="2229"/>
  </r>
  <r>
    <n v="550"/>
    <n v="62"/>
    <n v="88"/>
    <n v="1"/>
    <n v="88"/>
    <x v="344"/>
    <x v="6"/>
    <n v="44"/>
    <s v="Рыба"/>
    <s v="Балтийский берег"/>
    <n v="258.5128205128205"/>
    <n v="-0.65959135092243604"/>
    <n v="2609"/>
  </r>
  <r>
    <n v="551"/>
    <n v="458"/>
    <n v="79"/>
    <n v="2"/>
    <n v="158"/>
    <x v="345"/>
    <x v="14"/>
    <n v="133"/>
    <s v="Макароны"/>
    <s v="Борилла"/>
    <n v="265.47674418604652"/>
    <n v="-0.70242214532871972"/>
    <n v="6852"/>
  </r>
  <r>
    <n v="552"/>
    <n v="119"/>
    <n v="369"/>
    <n v="2"/>
    <n v="738"/>
    <x v="176"/>
    <x v="12"/>
    <n v="21"/>
    <s v="Печенье"/>
    <s v="КДВ"/>
    <n v="283.468085106383"/>
    <n v="0.30173384372888989"/>
    <n v="4200"/>
  </r>
  <r>
    <n v="553"/>
    <n v="388"/>
    <n v="107"/>
    <n v="1"/>
    <n v="107"/>
    <x v="346"/>
    <x v="4"/>
    <n v="179"/>
    <s v="Рыба"/>
    <s v="Меридиан"/>
    <n v="258.5128205128205"/>
    <n v="-0.5860940289625074"/>
    <n v="4431"/>
  </r>
  <r>
    <n v="554"/>
    <n v="303"/>
    <n v="258"/>
    <n v="4"/>
    <n v="1032"/>
    <x v="185"/>
    <x v="10"/>
    <n v="300"/>
    <s v="Фрукты"/>
    <s v="Фруктовый Рай"/>
    <n v="274.16279069767444"/>
    <n v="-5.89532615149716E-2"/>
    <n v="3358"/>
  </r>
  <r>
    <n v="555"/>
    <n v="160"/>
    <n v="400"/>
    <n v="3"/>
    <n v="1200"/>
    <x v="347"/>
    <x v="19"/>
    <n v="134"/>
    <s v="Крупа"/>
    <s v="Мистраль"/>
    <n v="255.11627906976744"/>
    <n v="0.56791248860528709"/>
    <n v="3254"/>
  </r>
  <r>
    <n v="556"/>
    <n v="66"/>
    <n v="230"/>
    <n v="2"/>
    <n v="460"/>
    <x v="295"/>
    <x v="13"/>
    <n v="391"/>
    <s v="Кофе"/>
    <s v="Черная Карта"/>
    <n v="249.02380952380952"/>
    <n v="-7.639353666698534E-2"/>
    <n v="2222"/>
  </r>
  <r>
    <n v="557"/>
    <n v="125"/>
    <n v="187"/>
    <n v="5"/>
    <n v="935"/>
    <x v="22"/>
    <x v="15"/>
    <n v="54"/>
    <s v="Рис"/>
    <s v="Националь"/>
    <n v="258.375"/>
    <n v="-0.27624576681180457"/>
    <n v="187"/>
  </r>
  <r>
    <n v="558"/>
    <n v="280"/>
    <n v="234"/>
    <n v="2"/>
    <n v="468"/>
    <x v="348"/>
    <x v="4"/>
    <n v="19"/>
    <s v="Сыр"/>
    <s v="President"/>
    <n v="261.03225806451616"/>
    <n v="-0.10355907068709846"/>
    <n v="3935"/>
  </r>
  <r>
    <n v="559"/>
    <n v="309"/>
    <n v="368"/>
    <n v="3"/>
    <n v="1104"/>
    <x v="110"/>
    <x v="7"/>
    <n v="340"/>
    <s v="Конфеты"/>
    <s v="Рот Фронт"/>
    <n v="267.85483870967744"/>
    <n v="0.37387848497621468"/>
    <n v="6053"/>
  </r>
  <r>
    <n v="560"/>
    <n v="317"/>
    <n v="267"/>
    <n v="3"/>
    <n v="801"/>
    <x v="194"/>
    <x v="18"/>
    <n v="71"/>
    <s v="Сок"/>
    <s v="Фруктовый сад"/>
    <n v="268.60344827586209"/>
    <n v="-5.9695744271135442E-3"/>
    <n v="9023"/>
  </r>
  <r>
    <n v="561"/>
    <n v="260"/>
    <n v="370"/>
    <n v="5"/>
    <n v="1850"/>
    <x v="349"/>
    <x v="10"/>
    <n v="102"/>
    <s v="Соль"/>
    <s v="Экстра"/>
    <n v="264.8679245283019"/>
    <n v="0.39692263855250021"/>
    <n v="4171"/>
  </r>
  <r>
    <n v="562"/>
    <n v="448"/>
    <n v="170"/>
    <n v="1"/>
    <n v="170"/>
    <x v="267"/>
    <x v="18"/>
    <n v="43"/>
    <s v="Йогурт"/>
    <s v="Ростагроэкспорт"/>
    <n v="263.25423728813558"/>
    <n v="-0.35423641514293069"/>
    <n v="5929"/>
  </r>
  <r>
    <n v="563"/>
    <n v="158"/>
    <n v="71"/>
    <n v="2"/>
    <n v="142"/>
    <x v="137"/>
    <x v="5"/>
    <n v="29"/>
    <s v="Сахар"/>
    <s v="Сладов"/>
    <n v="254.58333333333334"/>
    <n v="-0.72111292962356788"/>
    <n v="3604"/>
  </r>
  <r>
    <n v="652"/>
    <n v="112"/>
    <n v="237"/>
    <n v="3"/>
    <n v="711"/>
    <x v="81"/>
    <x v="17"/>
    <n v="342"/>
    <s v="Молоко"/>
    <s v="Беллакт"/>
    <n v="294.95238095238096"/>
    <n v="-0.30158217629964479"/>
    <n v="3548"/>
  </r>
  <r>
    <n v="565"/>
    <n v="471"/>
    <n v="294"/>
    <n v="2"/>
    <n v="588"/>
    <x v="350"/>
    <x v="3"/>
    <n v="370"/>
    <s v="Овощи"/>
    <s v="Зеленая грядка"/>
    <n v="250.48780487804879"/>
    <n v="0.17370983446932819"/>
    <n v="796"/>
  </r>
  <r>
    <n v="566"/>
    <n v="398"/>
    <n v="65"/>
    <n v="4"/>
    <n v="260"/>
    <x v="351"/>
    <x v="7"/>
    <n v="165"/>
    <s v="Сок"/>
    <s v="Фруктовый сад"/>
    <n v="268.60344827586209"/>
    <n v="-0.75800757429873555"/>
    <n v="9023"/>
  </r>
  <r>
    <n v="567"/>
    <n v="395"/>
    <n v="454"/>
    <n v="5"/>
    <n v="2270"/>
    <x v="352"/>
    <x v="4"/>
    <n v="147"/>
    <s v="Соль"/>
    <s v="Славянская"/>
    <n v="264.8679245283019"/>
    <n v="0.71406183216982466"/>
    <n v="2843"/>
  </r>
  <r>
    <n v="568"/>
    <n v="424"/>
    <n v="472"/>
    <n v="3"/>
    <n v="1416"/>
    <x v="56"/>
    <x v="14"/>
    <n v="181"/>
    <s v="Печенье"/>
    <s v="КДВ"/>
    <n v="283.468085106383"/>
    <n v="0.66509044509494841"/>
    <n v="4200"/>
  </r>
  <r>
    <n v="142"/>
    <n v="112"/>
    <n v="351"/>
    <n v="3"/>
    <n v="1053"/>
    <x v="27"/>
    <x v="10"/>
    <n v="419"/>
    <s v="Молоко"/>
    <s v="Беллакт"/>
    <n v="294.95238095238096"/>
    <n v="0.60025831449790124"/>
    <n v="3548"/>
  </r>
  <r>
    <n v="570"/>
    <n v="346"/>
    <n v="390"/>
    <n v="5"/>
    <n v="1950"/>
    <x v="353"/>
    <x v="12"/>
    <n v="10"/>
    <s v="Чай"/>
    <s v="Greenfield"/>
    <n v="271.18181818181819"/>
    <n v="0.43814951391216894"/>
    <n v="6412"/>
  </r>
  <r>
    <n v="571"/>
    <n v="132"/>
    <n v="497"/>
    <n v="4"/>
    <n v="1988"/>
    <x v="196"/>
    <x v="19"/>
    <n v="364"/>
    <s v="Рыба"/>
    <s v="Меридиан"/>
    <n v="258.5128205128205"/>
    <n v="0.92253521126760574"/>
    <n v="4431"/>
  </r>
  <r>
    <n v="572"/>
    <n v="17"/>
    <n v="363"/>
    <n v="4"/>
    <n v="1452"/>
    <x v="354"/>
    <x v="12"/>
    <n v="277"/>
    <s v="Кофе"/>
    <s v="Jacobs"/>
    <n v="249.02380952380952"/>
    <n v="0.45769193995601887"/>
    <n v="5248"/>
  </r>
  <r>
    <n v="573"/>
    <n v="63"/>
    <n v="251"/>
    <n v="1"/>
    <n v="251"/>
    <x v="245"/>
    <x v="11"/>
    <n v="214"/>
    <s v="Рыба"/>
    <s v="Балтийский берег"/>
    <n v="258.5128205128205"/>
    <n v="-2.9061694108311831E-2"/>
    <n v="2609"/>
  </r>
  <r>
    <n v="574"/>
    <n v="89"/>
    <n v="492"/>
    <n v="2"/>
    <n v="984"/>
    <x v="301"/>
    <x v="9"/>
    <n v="402"/>
    <s v="Конфеты"/>
    <s v="Рот Фронт"/>
    <n v="267.85483870967744"/>
    <n v="0.83681580056602622"/>
    <n v="6053"/>
  </r>
  <r>
    <n v="575"/>
    <n v="260"/>
    <n v="449"/>
    <n v="1"/>
    <n v="449"/>
    <x v="114"/>
    <x v="16"/>
    <n v="490"/>
    <s v="Соль"/>
    <s v="Экстра"/>
    <n v="264.8679245283019"/>
    <n v="0.69518449921641245"/>
    <n v="4171"/>
  </r>
  <r>
    <n v="576"/>
    <n v="27"/>
    <n v="193"/>
    <n v="1"/>
    <n v="193"/>
    <x v="355"/>
    <x v="7"/>
    <n v="151"/>
    <s v="Макароны"/>
    <s v="Паста Зара"/>
    <n v="265.47674418604652"/>
    <n v="-0.27300600061320135"/>
    <n v="10237"/>
  </r>
  <r>
    <n v="577"/>
    <n v="221"/>
    <n v="406"/>
    <n v="3"/>
    <n v="1218"/>
    <x v="356"/>
    <x v="19"/>
    <n v="409"/>
    <s v="Чипсы"/>
    <s v="Pringles"/>
    <n v="273.72549019607845"/>
    <n v="0.48323782234957013"/>
    <n v="5885"/>
  </r>
  <r>
    <n v="578"/>
    <n v="127"/>
    <n v="384"/>
    <n v="2"/>
    <n v="768"/>
    <x v="168"/>
    <x v="11"/>
    <n v="348"/>
    <s v="Овощи"/>
    <s v="Семко"/>
    <n v="250.48780487804879"/>
    <n v="0.53300876338851011"/>
    <n v="2080"/>
  </r>
  <r>
    <n v="579"/>
    <n v="464"/>
    <n v="356"/>
    <n v="4"/>
    <n v="1424"/>
    <x v="174"/>
    <x v="11"/>
    <n v="255"/>
    <s v="Сыр"/>
    <s v="Сырная долина"/>
    <n v="261.03225806451616"/>
    <n v="0.36381611468116648"/>
    <n v="8943"/>
  </r>
  <r>
    <n v="580"/>
    <n v="426"/>
    <n v="438"/>
    <n v="1"/>
    <n v="438"/>
    <x v="264"/>
    <x v="2"/>
    <n v="27"/>
    <s v="Печенье"/>
    <s v="Посиделкино"/>
    <n v="283.468085106383"/>
    <n v="0.54514748930421075"/>
    <n v="3538"/>
  </r>
  <r>
    <n v="581"/>
    <n v="224"/>
    <n v="232"/>
    <n v="5"/>
    <n v="1160"/>
    <x v="280"/>
    <x v="19"/>
    <n v="219"/>
    <s v="Чипсы"/>
    <s v="Pringles"/>
    <n v="273.72549019607845"/>
    <n v="-0.15243553008596"/>
    <n v="5885"/>
  </r>
  <r>
    <n v="582"/>
    <n v="198"/>
    <n v="383"/>
    <n v="2"/>
    <n v="766"/>
    <x v="357"/>
    <x v="5"/>
    <n v="272"/>
    <s v="Мясо"/>
    <s v="Мираторг"/>
    <n v="271.74545454545455"/>
    <n v="0.40940719925063562"/>
    <n v="3799"/>
  </r>
  <r>
    <n v="583"/>
    <n v="233"/>
    <n v="419"/>
    <n v="5"/>
    <n v="2095"/>
    <x v="313"/>
    <x v="17"/>
    <n v="388"/>
    <s v="Йогурт"/>
    <s v="Ростагроэкспорт"/>
    <n v="263.25423728813558"/>
    <n v="0.59161730620654129"/>
    <n v="5929"/>
  </r>
  <r>
    <n v="584"/>
    <n v="355"/>
    <n v="210"/>
    <n v="1"/>
    <n v="210"/>
    <x v="307"/>
    <x v="6"/>
    <n v="446"/>
    <s v="Кофе"/>
    <s v="Jacobs"/>
    <n v="249.02380952380952"/>
    <n v="-0.15670714217420401"/>
    <n v="5248"/>
  </r>
  <r>
    <n v="585"/>
    <n v="118"/>
    <n v="214"/>
    <n v="2"/>
    <n v="428"/>
    <x v="18"/>
    <x v="6"/>
    <n v="138"/>
    <s v="Сахар"/>
    <s v="Продимекс"/>
    <n v="254.58333333333334"/>
    <n v="-0.15941080196399349"/>
    <n v="5172"/>
  </r>
  <r>
    <n v="586"/>
    <n v="414"/>
    <n v="115"/>
    <n v="2"/>
    <n v="230"/>
    <x v="312"/>
    <x v="4"/>
    <n v="402"/>
    <s v="Фрукты"/>
    <s v="Экзотик"/>
    <n v="274.16279069767444"/>
    <n v="-0.58054118245822384"/>
    <n v="4059"/>
  </r>
  <r>
    <n v="587"/>
    <n v="405"/>
    <n v="340"/>
    <n v="1"/>
    <n v="340"/>
    <x v="307"/>
    <x v="3"/>
    <n v="351"/>
    <s v="Хлеб"/>
    <s v="Каравай"/>
    <n v="300.31818181818181"/>
    <n v="0.1321325866505223"/>
    <n v="3974"/>
  </r>
  <r>
    <n v="588"/>
    <n v="313"/>
    <n v="392"/>
    <n v="5"/>
    <n v="1960"/>
    <x v="73"/>
    <x v="0"/>
    <n v="40"/>
    <s v="Конфеты"/>
    <s v="Бабаевский"/>
    <n v="267.85483870967744"/>
    <n v="0.46347925573553317"/>
    <n v="6757"/>
  </r>
  <r>
    <n v="589"/>
    <n v="113"/>
    <n v="378"/>
    <n v="1"/>
    <n v="378"/>
    <x v="103"/>
    <x v="2"/>
    <n v="19"/>
    <s v="Сок"/>
    <s v="Добрый"/>
    <n v="268.60344827586209"/>
    <n v="0.4072790294627382"/>
    <n v="2671"/>
  </r>
  <r>
    <n v="663"/>
    <n v="151"/>
    <n v="496"/>
    <n v="3"/>
    <n v="1488"/>
    <x v="347"/>
    <x v="14"/>
    <n v="436"/>
    <s v="Молоко"/>
    <s v="Беллакт"/>
    <n v="294.95238095238096"/>
    <n v="0.63416209234743293"/>
    <n v="3548"/>
  </r>
  <r>
    <n v="591"/>
    <n v="361"/>
    <n v="69"/>
    <n v="1"/>
    <n v="69"/>
    <x v="309"/>
    <x v="19"/>
    <n v="355"/>
    <s v="Мясо"/>
    <s v="Сава"/>
    <n v="271.74545454545455"/>
    <n v="-0.74608590927338425"/>
    <n v="3405"/>
  </r>
  <r>
    <n v="592"/>
    <n v="291"/>
    <n v="455"/>
    <n v="5"/>
    <n v="2275"/>
    <x v="214"/>
    <x v="10"/>
    <n v="245"/>
    <s v="Рыба"/>
    <s v="Балтийский берег"/>
    <n v="258.5128205128205"/>
    <n v="0.76006744693513206"/>
    <n v="2609"/>
  </r>
  <r>
    <n v="593"/>
    <n v="360"/>
    <n v="137"/>
    <n v="2"/>
    <n v="274"/>
    <x v="358"/>
    <x v="14"/>
    <n v="80"/>
    <s v="Соль"/>
    <s v="Славянская"/>
    <n v="264.8679245283019"/>
    <n v="-0.48276107707650662"/>
    <n v="2843"/>
  </r>
  <r>
    <n v="594"/>
    <n v="182"/>
    <n v="152"/>
    <n v="3"/>
    <n v="456"/>
    <x v="359"/>
    <x v="14"/>
    <n v="466"/>
    <s v="Соль"/>
    <s v="Экстра"/>
    <n v="264.8679245283019"/>
    <n v="-0.42612907821627011"/>
    <n v="4171"/>
  </r>
  <r>
    <n v="595"/>
    <n v="490"/>
    <n v="170"/>
    <n v="5"/>
    <n v="850"/>
    <x v="18"/>
    <x v="9"/>
    <n v="317"/>
    <s v="Сыр"/>
    <s v="Сырная долина"/>
    <n v="261.03225806451616"/>
    <n v="-0.34873949579831942"/>
    <n v="8943"/>
  </r>
  <r>
    <n v="596"/>
    <n v="215"/>
    <n v="496"/>
    <n v="2"/>
    <n v="992"/>
    <x v="360"/>
    <x v="4"/>
    <n v="342"/>
    <s v="Сок"/>
    <s v="Фруктовый сад"/>
    <n v="268.60344827586209"/>
    <n v="0.84658835612041838"/>
    <n v="9023"/>
  </r>
  <r>
    <n v="597"/>
    <n v="137"/>
    <n v="411"/>
    <n v="1"/>
    <n v="411"/>
    <x v="233"/>
    <x v="19"/>
    <n v="130"/>
    <s v="Фрукты"/>
    <s v="Экзотик"/>
    <n v="274.16279069767444"/>
    <n v="0.49910933921452183"/>
    <n v="4059"/>
  </r>
  <r>
    <n v="598"/>
    <n v="75"/>
    <n v="240"/>
    <n v="4"/>
    <n v="960"/>
    <x v="361"/>
    <x v="14"/>
    <n v="53"/>
    <s v="Печенье"/>
    <s v="Белогорье"/>
    <n v="283.468085106383"/>
    <n v="-0.15334384147714486"/>
    <n v="3493"/>
  </r>
  <r>
    <n v="599"/>
    <n v="359"/>
    <n v="302"/>
    <n v="4"/>
    <n v="1208"/>
    <x v="362"/>
    <x v="14"/>
    <n v="122"/>
    <s v="Мясо"/>
    <s v="Мираторг"/>
    <n v="271.74545454545455"/>
    <n v="0.11133413622373878"/>
    <n v="3799"/>
  </r>
  <r>
    <n v="600"/>
    <n v="364"/>
    <n v="138"/>
    <n v="4"/>
    <n v="552"/>
    <x v="299"/>
    <x v="14"/>
    <n v="199"/>
    <s v="Сахар"/>
    <s v="Русский сахар"/>
    <n v="254.58333333333334"/>
    <n v="-0.45793780687397712"/>
    <n v="4988"/>
  </r>
  <r>
    <n v="601"/>
    <n v="197"/>
    <n v="309"/>
    <n v="4"/>
    <n v="1236"/>
    <x v="155"/>
    <x v="7"/>
    <n v="52"/>
    <s v="Печенье"/>
    <s v="Юбилейное"/>
    <n v="283.468085106383"/>
    <n v="9.0069804098175998E-2"/>
    <n v="2092"/>
  </r>
  <r>
    <n v="602"/>
    <n v="157"/>
    <n v="473"/>
    <n v="5"/>
    <n v="2365"/>
    <x v="139"/>
    <x v="14"/>
    <n v="477"/>
    <s v="Сыр"/>
    <s v="President"/>
    <n v="261.03225806451616"/>
    <n v="0.81203657933761719"/>
    <n v="3935"/>
  </r>
  <r>
    <n v="603"/>
    <n v="105"/>
    <n v="187"/>
    <n v="1"/>
    <n v="187"/>
    <x v="122"/>
    <x v="11"/>
    <n v="24"/>
    <s v="Фрукты"/>
    <s v="Фрукты-Ягоды"/>
    <n v="274.16279069767444"/>
    <n v="-0.31792348799728565"/>
    <n v="2526"/>
  </r>
  <r>
    <n v="604"/>
    <n v="479"/>
    <n v="314"/>
    <n v="3"/>
    <n v="942"/>
    <x v="363"/>
    <x v="8"/>
    <n v="293"/>
    <s v="Овощи"/>
    <s v="Гавриш"/>
    <n v="250.48780487804879"/>
    <n v="0.25355404089581302"/>
    <n v="2229"/>
  </r>
  <r>
    <n v="605"/>
    <n v="285"/>
    <n v="122"/>
    <n v="5"/>
    <n v="610"/>
    <x v="106"/>
    <x v="9"/>
    <n v="447"/>
    <s v="Макароны"/>
    <s v="Паста Зара"/>
    <n v="265.47674418604652"/>
    <n v="-0.5404493889886558"/>
    <n v="10237"/>
  </r>
  <r>
    <n v="606"/>
    <n v="93"/>
    <n v="184"/>
    <n v="2"/>
    <n v="368"/>
    <x v="0"/>
    <x v="11"/>
    <n v="163"/>
    <s v="Чай"/>
    <s v="Greenfield"/>
    <n v="271.18181818181819"/>
    <n v="-0.32148843446195108"/>
    <n v="6412"/>
  </r>
  <r>
    <n v="607"/>
    <n v="199"/>
    <n v="172"/>
    <n v="3"/>
    <n v="516"/>
    <x v="364"/>
    <x v="14"/>
    <n v="421"/>
    <s v="Макароны"/>
    <s v="Борилла"/>
    <n v="265.47674418604652"/>
    <n v="-0.35210897463974422"/>
    <n v="6852"/>
  </r>
  <r>
    <n v="608"/>
    <n v="122"/>
    <n v="482"/>
    <n v="4"/>
    <n v="1928"/>
    <x v="122"/>
    <x v="15"/>
    <n v="320"/>
    <s v="Фрукты"/>
    <s v="Фрукты-Ягоды"/>
    <n v="274.16279069767444"/>
    <n v="0.75807956569683599"/>
    <n v="2526"/>
  </r>
  <r>
    <n v="609"/>
    <n v="415"/>
    <n v="350"/>
    <n v="1"/>
    <n v="350"/>
    <x v="365"/>
    <x v="0"/>
    <n v="199"/>
    <s v="Чипсы"/>
    <s v="Pringles"/>
    <n v="273.72549019607845"/>
    <n v="0.27865329512893977"/>
    <n v="5885"/>
  </r>
  <r>
    <n v="610"/>
    <n v="315"/>
    <n v="232"/>
    <n v="1"/>
    <n v="232"/>
    <x v="366"/>
    <x v="5"/>
    <n v="247"/>
    <s v="Йогурт"/>
    <s v="Чудо"/>
    <n v="263.25423728813558"/>
    <n v="-0.11872263713623488"/>
    <n v="2871"/>
  </r>
  <r>
    <n v="611"/>
    <n v="25"/>
    <n v="222"/>
    <n v="1"/>
    <n v="222"/>
    <x v="58"/>
    <x v="3"/>
    <n v="364"/>
    <s v="Чипсы"/>
    <s v="Русская картошка"/>
    <n v="273.72549019607845"/>
    <n v="-0.18896848137535827"/>
    <n v="2902"/>
  </r>
  <r>
    <n v="612"/>
    <n v="207"/>
    <n v="152"/>
    <n v="3"/>
    <n v="456"/>
    <x v="238"/>
    <x v="3"/>
    <n v="173"/>
    <s v="Сахар"/>
    <s v="Агросахар"/>
    <n v="254.58333333333334"/>
    <n v="-0.40294599018003274"/>
    <n v="1511"/>
  </r>
  <r>
    <n v="613"/>
    <n v="180"/>
    <n v="284"/>
    <n v="1"/>
    <n v="284"/>
    <x v="33"/>
    <x v="1"/>
    <n v="485"/>
    <s v="Чипсы"/>
    <s v="Русская картошка"/>
    <n v="273.72549019607845"/>
    <n v="3.7535816618911033E-2"/>
    <n v="2902"/>
  </r>
  <r>
    <n v="614"/>
    <n v="117"/>
    <n v="208"/>
    <n v="3"/>
    <n v="624"/>
    <x v="333"/>
    <x v="0"/>
    <n v="401"/>
    <s v="Макароны"/>
    <s v="Роллтон"/>
    <n v="265.47674418604652"/>
    <n v="-0.21650387630852785"/>
    <n v="2120"/>
  </r>
  <r>
    <n v="615"/>
    <n v="211"/>
    <n v="338"/>
    <n v="4"/>
    <n v="1352"/>
    <x v="251"/>
    <x v="3"/>
    <n v="379"/>
    <s v="Овощи"/>
    <s v="Овощной ряд"/>
    <n v="250.48780487804879"/>
    <n v="0.3493670886075948"/>
    <n v="5165"/>
  </r>
  <r>
    <n v="616"/>
    <n v="26"/>
    <n v="143"/>
    <n v="2"/>
    <n v="286"/>
    <x v="333"/>
    <x v="14"/>
    <n v="183"/>
    <s v="Мясо"/>
    <s v="Сава"/>
    <n v="271.74545454545455"/>
    <n v="-0.47377224675498464"/>
    <n v="3405"/>
  </r>
  <r>
    <n v="617"/>
    <n v="22"/>
    <n v="217"/>
    <n v="3"/>
    <n v="651"/>
    <x v="312"/>
    <x v="12"/>
    <n v="37"/>
    <s v="Конфеты"/>
    <s v="Бабаевский"/>
    <n v="267.85483870967744"/>
    <n v="-0.18985969771782985"/>
    <n v="6757"/>
  </r>
  <r>
    <n v="618"/>
    <n v="150"/>
    <n v="347"/>
    <n v="3"/>
    <n v="1041"/>
    <x v="367"/>
    <x v="2"/>
    <n v="201"/>
    <s v="Рыба"/>
    <s v="Меридиан"/>
    <n v="258.5128205128205"/>
    <n v="0.34229319579448525"/>
    <n v="4431"/>
  </r>
  <r>
    <n v="619"/>
    <n v="268"/>
    <n v="55"/>
    <n v="2"/>
    <n v="110"/>
    <x v="307"/>
    <x v="11"/>
    <n v="424"/>
    <s v="Рис"/>
    <s v="Мистраль"/>
    <n v="258.375"/>
    <n v="-0.78713110788582485"/>
    <n v="1271"/>
  </r>
  <r>
    <n v="620"/>
    <n v="67"/>
    <n v="142"/>
    <n v="4"/>
    <n v="568"/>
    <x v="299"/>
    <x v="0"/>
    <n v="69"/>
    <s v="Йогурт"/>
    <s v="Чудо"/>
    <n v="263.25423728813558"/>
    <n v="-0.46059747617821267"/>
    <n v="2871"/>
  </r>
  <r>
    <n v="621"/>
    <n v="453"/>
    <n v="459"/>
    <n v="1"/>
    <n v="459"/>
    <x v="10"/>
    <x v="7"/>
    <n v="498"/>
    <s v="Макароны"/>
    <s v="Макфа"/>
    <n v="265.47674418604652"/>
    <n v="0.72896500372300821"/>
    <n v="3622"/>
  </r>
  <r>
    <n v="622"/>
    <n v="191"/>
    <n v="58"/>
    <n v="1"/>
    <n v="58"/>
    <x v="57"/>
    <x v="11"/>
    <n v="237"/>
    <s v="Колбаса"/>
    <s v="Окраина"/>
    <n v="286.92307692307691"/>
    <n v="-0.79785522788203755"/>
    <n v="3283"/>
  </r>
  <r>
    <n v="623"/>
    <n v="49"/>
    <n v="465"/>
    <n v="2"/>
    <n v="930"/>
    <x v="368"/>
    <x v="2"/>
    <n v="365"/>
    <s v="Рис"/>
    <s v="Агро-Альянс"/>
    <n v="258.375"/>
    <n v="0.79970972423802622"/>
    <n v="2225"/>
  </r>
  <r>
    <n v="624"/>
    <n v="313"/>
    <n v="152"/>
    <n v="1"/>
    <n v="152"/>
    <x v="369"/>
    <x v="8"/>
    <n v="127"/>
    <s v="Конфеты"/>
    <s v="Бабаевский"/>
    <n v="267.85483870967744"/>
    <n v="-0.43252845185765043"/>
    <n v="6757"/>
  </r>
  <r>
    <n v="625"/>
    <n v="245"/>
    <n v="144"/>
    <n v="4"/>
    <n v="576"/>
    <x v="298"/>
    <x v="15"/>
    <n v="314"/>
    <s v="Сахар"/>
    <s v="Продимекс"/>
    <n v="254.58333333333334"/>
    <n v="-0.43436988543371524"/>
    <n v="5172"/>
  </r>
  <r>
    <n v="626"/>
    <n v="194"/>
    <n v="478"/>
    <n v="3"/>
    <n v="1434"/>
    <x v="110"/>
    <x v="8"/>
    <n v="403"/>
    <s v="Соль"/>
    <s v="Салта"/>
    <n v="264.8679245283019"/>
    <n v="0.80467303034620308"/>
    <n v="2737"/>
  </r>
  <r>
    <n v="627"/>
    <n v="154"/>
    <n v="75"/>
    <n v="1"/>
    <n v="75"/>
    <x v="339"/>
    <x v="6"/>
    <n v="255"/>
    <s v="Овощи"/>
    <s v="Зеленая грядка"/>
    <n v="250.48780487804879"/>
    <n v="-0.70058422590068159"/>
    <n v="796"/>
  </r>
  <r>
    <n v="628"/>
    <n v="462"/>
    <n v="147"/>
    <n v="5"/>
    <n v="735"/>
    <x v="370"/>
    <x v="15"/>
    <n v="229"/>
    <s v="Рис"/>
    <s v="Белый Злат"/>
    <n v="258.375"/>
    <n v="-0.43105950653120462"/>
    <n v="4585"/>
  </r>
  <r>
    <n v="629"/>
    <n v="310"/>
    <n v="404"/>
    <n v="4"/>
    <n v="1616"/>
    <x v="174"/>
    <x v="3"/>
    <n v="179"/>
    <s v="Макароны"/>
    <s v="Паста Зара"/>
    <n v="265.47674418604652"/>
    <n v="0.52179054793920554"/>
    <n v="10237"/>
  </r>
  <r>
    <n v="630"/>
    <n v="422"/>
    <n v="361"/>
    <n v="1"/>
    <n v="361"/>
    <x v="113"/>
    <x v="7"/>
    <n v="277"/>
    <s v="Кофе"/>
    <s v="Nescafe"/>
    <n v="249.02380952380952"/>
    <n v="0.4496605794052968"/>
    <n v="2569"/>
  </r>
  <r>
    <n v="631"/>
    <n v="453"/>
    <n v="404"/>
    <n v="5"/>
    <n v="2020"/>
    <x v="178"/>
    <x v="0"/>
    <n v="460"/>
    <s v="Макароны"/>
    <s v="Макфа"/>
    <n v="265.47674418604652"/>
    <n v="0.52179054793920554"/>
    <n v="3622"/>
  </r>
  <r>
    <n v="632"/>
    <n v="337"/>
    <n v="132"/>
    <n v="3"/>
    <n v="396"/>
    <x v="371"/>
    <x v="18"/>
    <n v="434"/>
    <s v="Макароны"/>
    <s v="Паста Зара"/>
    <n v="265.47674418604652"/>
    <n v="-0.50278130611887351"/>
    <n v="10237"/>
  </r>
  <r>
    <n v="633"/>
    <n v="258"/>
    <n v="333"/>
    <n v="4"/>
    <n v="1332"/>
    <x v="181"/>
    <x v="3"/>
    <n v="62"/>
    <s v="Рыба"/>
    <s v="Санта Бремор"/>
    <n v="258.5128205128205"/>
    <n v="0.28813727435032743"/>
    <n v="2164"/>
  </r>
  <r>
    <n v="634"/>
    <n v="111"/>
    <n v="420"/>
    <n v="1"/>
    <n v="420"/>
    <x v="372"/>
    <x v="1"/>
    <n v="13"/>
    <s v="Сахар"/>
    <s v="Сладов"/>
    <n v="254.58333333333334"/>
    <n v="0.64975450081833053"/>
    <n v="3604"/>
  </r>
  <r>
    <n v="635"/>
    <n v="4"/>
    <n v="151"/>
    <n v="4"/>
    <n v="604"/>
    <x v="373"/>
    <x v="10"/>
    <n v="116"/>
    <s v="Рис"/>
    <s v="Белый Злат"/>
    <n v="258.375"/>
    <n v="-0.41557813255926468"/>
    <n v="4585"/>
  </r>
  <r>
    <n v="636"/>
    <n v="266"/>
    <n v="141"/>
    <n v="5"/>
    <n v="705"/>
    <x v="25"/>
    <x v="3"/>
    <n v="50"/>
    <s v="Рыба"/>
    <s v="Меридиан"/>
    <n v="258.5128205128205"/>
    <n v="-0.45457250545526673"/>
    <n v="4431"/>
  </r>
  <r>
    <n v="637"/>
    <n v="143"/>
    <n v="339"/>
    <n v="1"/>
    <n v="339"/>
    <x v="101"/>
    <x v="3"/>
    <n v="197"/>
    <s v="Сахар"/>
    <s v="Агросахар"/>
    <n v="254.58333333333334"/>
    <n v="0.33158756137479539"/>
    <n v="1511"/>
  </r>
  <r>
    <n v="638"/>
    <n v="475"/>
    <n v="206"/>
    <n v="3"/>
    <n v="618"/>
    <x v="85"/>
    <x v="11"/>
    <n v="243"/>
    <s v="Хлеб"/>
    <s v="Русский Хлеб"/>
    <n v="300.31818181818181"/>
    <n v="-0.31406084455880123"/>
    <n v="3166"/>
  </r>
  <r>
    <n v="639"/>
    <n v="52"/>
    <n v="105"/>
    <n v="2"/>
    <n v="210"/>
    <x v="252"/>
    <x v="0"/>
    <n v="275"/>
    <s v="Соль"/>
    <s v="Илецкая"/>
    <n v="264.8679245283019"/>
    <n v="-0.60357600797834454"/>
    <n v="4287"/>
  </r>
  <r>
    <n v="640"/>
    <n v="47"/>
    <n v="356"/>
    <n v="3"/>
    <n v="1068"/>
    <x v="374"/>
    <x v="7"/>
    <n v="45"/>
    <s v="Мясо"/>
    <s v="Снежана"/>
    <n v="271.74545454545455"/>
    <n v="0.31004951157500327"/>
    <n v="4630"/>
  </r>
  <r>
    <n v="641"/>
    <n v="122"/>
    <n v="240"/>
    <n v="1"/>
    <n v="240"/>
    <x v="206"/>
    <x v="1"/>
    <n v="419"/>
    <s v="Фрукты"/>
    <s v="Фрукты-Ягоды"/>
    <n v="274.16279069767444"/>
    <n v="-0.12460768513020615"/>
    <n v="2526"/>
  </r>
  <r>
    <n v="642"/>
    <n v="422"/>
    <n v="290"/>
    <n v="5"/>
    <n v="1450"/>
    <x v="259"/>
    <x v="4"/>
    <n v="125"/>
    <s v="Кофе"/>
    <s v="Nescafe"/>
    <n v="249.02380952380952"/>
    <n v="0.16454727985467055"/>
    <n v="2569"/>
  </r>
  <r>
    <n v="643"/>
    <n v="479"/>
    <n v="405"/>
    <n v="4"/>
    <n v="1620"/>
    <x v="74"/>
    <x v="11"/>
    <n v="242"/>
    <s v="Овощи"/>
    <s v="Гавриш"/>
    <n v="250.48780487804879"/>
    <n v="0.61684518013631928"/>
    <n v="2229"/>
  </r>
  <r>
    <n v="644"/>
    <n v="99"/>
    <n v="281"/>
    <n v="5"/>
    <n v="1405"/>
    <x v="184"/>
    <x v="7"/>
    <n v="329"/>
    <s v="Овощи"/>
    <s v="Семко"/>
    <n v="250.48780487804879"/>
    <n v="0.12181110029211295"/>
    <n v="2080"/>
  </r>
  <r>
    <n v="645"/>
    <n v="272"/>
    <n v="207"/>
    <n v="5"/>
    <n v="1035"/>
    <x v="295"/>
    <x v="19"/>
    <n v="42"/>
    <s v="Крупа"/>
    <s v="Ярмарка"/>
    <n v="255.11627906976744"/>
    <n v="-0.18860528714676394"/>
    <n v="2773"/>
  </r>
  <r>
    <n v="646"/>
    <n v="493"/>
    <n v="378"/>
    <n v="2"/>
    <n v="756"/>
    <x v="375"/>
    <x v="14"/>
    <n v="229"/>
    <s v="Овощи"/>
    <s v="Овощной ряд"/>
    <n v="250.48780487804879"/>
    <n v="0.50905550146056466"/>
    <n v="5165"/>
  </r>
  <r>
    <n v="647"/>
    <n v="360"/>
    <n v="120"/>
    <n v="2"/>
    <n v="240"/>
    <x v="110"/>
    <x v="19"/>
    <n v="306"/>
    <s v="Соль"/>
    <s v="Славянская"/>
    <n v="264.8679245283019"/>
    <n v="-0.54694400911810803"/>
    <n v="2843"/>
  </r>
  <r>
    <n v="648"/>
    <n v="215"/>
    <n v="440"/>
    <n v="2"/>
    <n v="880"/>
    <x v="34"/>
    <x v="10"/>
    <n v="292"/>
    <s v="Сок"/>
    <s v="Фруктовый сад"/>
    <n v="268.60344827586209"/>
    <n v="0.63810257397779058"/>
    <n v="9023"/>
  </r>
  <r>
    <n v="649"/>
    <n v="292"/>
    <n v="327"/>
    <n v="5"/>
    <n v="1635"/>
    <x v="122"/>
    <x v="12"/>
    <n v="275"/>
    <s v="Колбаса"/>
    <s v="Дымов"/>
    <n v="286.92307692307691"/>
    <n v="0.13967828418230566"/>
    <n v="2814"/>
  </r>
  <r>
    <n v="650"/>
    <n v="307"/>
    <n v="407"/>
    <n v="1"/>
    <n v="407"/>
    <x v="344"/>
    <x v="12"/>
    <n v="103"/>
    <s v="Сыр"/>
    <s v="Карат"/>
    <n v="261.03225806451616"/>
    <n v="0.55919426594167065"/>
    <n v="2802"/>
  </r>
  <r>
    <n v="651"/>
    <n v="473"/>
    <n v="343"/>
    <n v="5"/>
    <n v="1715"/>
    <x v="376"/>
    <x v="3"/>
    <n v="460"/>
    <s v="Хлеб"/>
    <s v="Хлебный Дом"/>
    <n v="300.31818181818181"/>
    <n v="0.14212199182685037"/>
    <n v="4226"/>
  </r>
  <r>
    <n v="864"/>
    <n v="369"/>
    <n v="206"/>
    <n v="4"/>
    <n v="824"/>
    <x v="269"/>
    <x v="9"/>
    <n v="346"/>
    <s v="Молоко"/>
    <s v="Домик в деревне"/>
    <n v="294.95238095238096"/>
    <n v="0.28495318049725538"/>
    <n v="4946"/>
  </r>
  <r>
    <n v="653"/>
    <n v="131"/>
    <n v="116"/>
    <n v="5"/>
    <n v="580"/>
    <x v="241"/>
    <x v="1"/>
    <n v="246"/>
    <s v="Сок"/>
    <s v="Сады Придонья"/>
    <n v="268.60344827586209"/>
    <n v="-0.568136594133128"/>
    <n v="2796"/>
  </r>
  <r>
    <n v="654"/>
    <n v="230"/>
    <n v="453"/>
    <n v="3"/>
    <n v="1359"/>
    <x v="375"/>
    <x v="19"/>
    <n v="175"/>
    <s v="Сок"/>
    <s v="Фруктовый сад"/>
    <n v="268.60344827586209"/>
    <n v="0.68650105911804338"/>
    <n v="9023"/>
  </r>
  <r>
    <n v="655"/>
    <n v="39"/>
    <n v="375"/>
    <n v="2"/>
    <n v="750"/>
    <x v="148"/>
    <x v="14"/>
    <n v="366"/>
    <s v="Сыр"/>
    <s v="Сырная долина"/>
    <n v="261.03225806451616"/>
    <n v="0.43660405338606023"/>
    <n v="8943"/>
  </r>
  <r>
    <n v="656"/>
    <n v="481"/>
    <n v="374"/>
    <n v="5"/>
    <n v="1870"/>
    <x v="26"/>
    <x v="14"/>
    <n v="254"/>
    <s v="Чипсы"/>
    <s v="Pringles"/>
    <n v="273.72549019607845"/>
    <n v="0.36633237822349551"/>
    <n v="5885"/>
  </r>
  <r>
    <n v="657"/>
    <n v="438"/>
    <n v="81"/>
    <n v="4"/>
    <n v="324"/>
    <x v="78"/>
    <x v="16"/>
    <n v="79"/>
    <s v="Кофе"/>
    <s v="Nescafe"/>
    <n v="249.02380952380952"/>
    <n v="-0.67472989769576441"/>
    <n v="2569"/>
  </r>
  <r>
    <n v="658"/>
    <n v="316"/>
    <n v="428"/>
    <n v="3"/>
    <n v="1284"/>
    <x v="44"/>
    <x v="4"/>
    <n v="70"/>
    <s v="Макароны"/>
    <s v="Борилла"/>
    <n v="265.47674418604652"/>
    <n v="0.61219394682668304"/>
    <n v="6852"/>
  </r>
  <r>
    <n v="659"/>
    <n v="174"/>
    <n v="456"/>
    <n v="3"/>
    <n v="1368"/>
    <x v="182"/>
    <x v="15"/>
    <n v="76"/>
    <s v="Чай"/>
    <s v="Ахмад"/>
    <n v="271.18181818181819"/>
    <n v="0.68152866242038224"/>
    <n v="2433"/>
  </r>
  <r>
    <n v="660"/>
    <n v="228"/>
    <n v="247"/>
    <n v="4"/>
    <n v="988"/>
    <x v="377"/>
    <x v="11"/>
    <n v="147"/>
    <s v="Рис"/>
    <s v="Мистраль"/>
    <n v="258.375"/>
    <n v="-4.4025157232704393E-2"/>
    <n v="1271"/>
  </r>
  <r>
    <n v="661"/>
    <n v="269"/>
    <n v="455"/>
    <n v="5"/>
    <n v="2275"/>
    <x v="42"/>
    <x v="3"/>
    <n v="345"/>
    <s v="Сахар"/>
    <s v="Русский сахар"/>
    <n v="254.58333333333334"/>
    <n v="0.7872340425531914"/>
    <n v="4988"/>
  </r>
  <r>
    <n v="662"/>
    <n v="461"/>
    <n v="388"/>
    <n v="4"/>
    <n v="1552"/>
    <x v="378"/>
    <x v="13"/>
    <n v="303"/>
    <s v="Фрукты"/>
    <s v="Green Garden"/>
    <n v="274.16279069767444"/>
    <n v="0.41521757570616669"/>
    <n v="1846"/>
  </r>
  <r>
    <n v="499"/>
    <n v="396"/>
    <n v="482"/>
    <n v="2"/>
    <n v="964"/>
    <x v="126"/>
    <x v="12"/>
    <n v="362"/>
    <s v="Молоко"/>
    <s v="Домик в деревне"/>
    <n v="294.95238095238096"/>
    <n v="-0.21004197610590902"/>
    <n v="4946"/>
  </r>
  <r>
    <n v="664"/>
    <n v="386"/>
    <n v="295"/>
    <n v="3"/>
    <n v="885"/>
    <x v="40"/>
    <x v="11"/>
    <n v="25"/>
    <s v="Крупа"/>
    <s v="Увелка"/>
    <n v="255.11627906976744"/>
    <n v="0.15633546034639934"/>
    <n v="3023"/>
  </r>
  <r>
    <n v="665"/>
    <n v="452"/>
    <n v="226"/>
    <n v="4"/>
    <n v="904"/>
    <x v="136"/>
    <x v="19"/>
    <n v="33"/>
    <s v="Фрукты"/>
    <s v="Экзотик"/>
    <n v="274.16279069767444"/>
    <n v="-0.17567223683094413"/>
    <n v="4059"/>
  </r>
  <r>
    <n v="666"/>
    <n v="37"/>
    <n v="411"/>
    <n v="5"/>
    <n v="2055"/>
    <x v="379"/>
    <x v="13"/>
    <n v="7"/>
    <s v="Соль"/>
    <s v="Илецкая"/>
    <n v="264.8679245283019"/>
    <n v="0.55171676877048004"/>
    <n v="4287"/>
  </r>
  <r>
    <n v="667"/>
    <n v="27"/>
    <n v="301"/>
    <n v="1"/>
    <n v="301"/>
    <x v="292"/>
    <x v="14"/>
    <n v="494"/>
    <s v="Макароны"/>
    <s v="Паста Зара"/>
    <n v="265.47674418604652"/>
    <n v="0.13380929438044764"/>
    <n v="10237"/>
  </r>
  <r>
    <n v="668"/>
    <n v="435"/>
    <n v="452"/>
    <n v="4"/>
    <n v="1808"/>
    <x v="82"/>
    <x v="5"/>
    <n v="420"/>
    <s v="Мясо"/>
    <s v="Снежана"/>
    <n v="271.74545454545455"/>
    <n v="0.66332128997725137"/>
    <n v="4630"/>
  </r>
  <r>
    <n v="669"/>
    <n v="101"/>
    <n v="293"/>
    <n v="1"/>
    <n v="293"/>
    <x v="153"/>
    <x v="14"/>
    <n v="75"/>
    <s v="Чай"/>
    <s v="Ахмад"/>
    <n v="271.18181818181819"/>
    <n v="8.0455916862219201E-2"/>
    <n v="2433"/>
  </r>
  <r>
    <n v="670"/>
    <n v="423"/>
    <n v="382"/>
    <n v="2"/>
    <n v="764"/>
    <x v="141"/>
    <x v="8"/>
    <n v="83"/>
    <s v="Чипсы"/>
    <s v="Pringles"/>
    <n v="273.72549019607845"/>
    <n v="0.39555873925501417"/>
    <n v="5885"/>
  </r>
  <r>
    <n v="671"/>
    <n v="411"/>
    <n v="158"/>
    <n v="3"/>
    <n v="474"/>
    <x v="123"/>
    <x v="8"/>
    <n v="109"/>
    <s v="Хлеб"/>
    <s v="Хлебный Дом"/>
    <n v="300.31818181818181"/>
    <n v="-0.47389132738005146"/>
    <n v="4226"/>
  </r>
  <r>
    <n v="672"/>
    <n v="381"/>
    <n v="296"/>
    <n v="4"/>
    <n v="1184"/>
    <x v="190"/>
    <x v="12"/>
    <n v="465"/>
    <s v="Рыба"/>
    <s v="Русское море"/>
    <n v="258.5128205128205"/>
    <n v="0.14501091053362436"/>
    <n v="878"/>
  </r>
  <r>
    <n v="220"/>
    <n v="498"/>
    <n v="472"/>
    <n v="5"/>
    <n v="2360"/>
    <x v="362"/>
    <x v="9"/>
    <n v="171"/>
    <s v="Молоко"/>
    <s v="Домик в деревне"/>
    <n v="294.95238095238096"/>
    <n v="-0.22360348724572165"/>
    <n v="4946"/>
  </r>
  <r>
    <n v="674"/>
    <n v="389"/>
    <n v="155"/>
    <n v="4"/>
    <n v="620"/>
    <x v="145"/>
    <x v="19"/>
    <n v="376"/>
    <s v="Чай"/>
    <s v="Ахмад"/>
    <n v="271.18181818181819"/>
    <n v="-0.42842775729131743"/>
    <n v="2433"/>
  </r>
  <r>
    <n v="675"/>
    <n v="227"/>
    <n v="300"/>
    <n v="4"/>
    <n v="1200"/>
    <x v="140"/>
    <x v="8"/>
    <n v="88"/>
    <s v="Макароны"/>
    <s v="Макфа"/>
    <n v="265.47674418604652"/>
    <n v="0.13004248609346947"/>
    <n v="3622"/>
  </r>
  <r>
    <n v="676"/>
    <n v="243"/>
    <n v="371"/>
    <n v="3"/>
    <n v="1113"/>
    <x v="138"/>
    <x v="1"/>
    <n v="352"/>
    <s v="Рис"/>
    <s v="Белый Злат"/>
    <n v="258.375"/>
    <n v="0.4358974358974359"/>
    <n v="4585"/>
  </r>
  <r>
    <n v="677"/>
    <n v="187"/>
    <n v="273"/>
    <n v="3"/>
    <n v="819"/>
    <x v="15"/>
    <x v="16"/>
    <n v="452"/>
    <s v="Макароны"/>
    <s v="Паста Зара"/>
    <n v="265.47674418604652"/>
    <n v="2.8338662345057219E-2"/>
    <n v="10237"/>
  </r>
  <r>
    <n v="678"/>
    <n v="441"/>
    <n v="147"/>
    <n v="3"/>
    <n v="441"/>
    <x v="39"/>
    <x v="9"/>
    <n v="449"/>
    <s v="Чай"/>
    <s v="Lipton"/>
    <n v="271.18181818181819"/>
    <n v="-0.4579282601407979"/>
    <n v="4943"/>
  </r>
  <r>
    <n v="679"/>
    <n v="446"/>
    <n v="440"/>
    <n v="5"/>
    <n v="2200"/>
    <x v="11"/>
    <x v="16"/>
    <n v="197"/>
    <s v="Чипсы"/>
    <s v="Lay's"/>
    <n v="273.72549019607845"/>
    <n v="0.60744985673352425"/>
    <n v="2244"/>
  </r>
  <r>
    <n v="680"/>
    <n v="55"/>
    <n v="227"/>
    <n v="4"/>
    <n v="908"/>
    <x v="108"/>
    <x v="0"/>
    <n v="70"/>
    <s v="Крупа"/>
    <s v="Националь"/>
    <n v="255.11627906976744"/>
    <n v="-0.11020966271649957"/>
    <n v="1920"/>
  </r>
  <r>
    <n v="681"/>
    <n v="27"/>
    <n v="415"/>
    <n v="4"/>
    <n v="1660"/>
    <x v="380"/>
    <x v="17"/>
    <n v="345"/>
    <s v="Макароны"/>
    <s v="Паста Зара"/>
    <n v="265.47674418604652"/>
    <n v="0.5632254390959659"/>
    <n v="10237"/>
  </r>
  <r>
    <n v="682"/>
    <n v="110"/>
    <n v="84"/>
    <n v="5"/>
    <n v="420"/>
    <x v="118"/>
    <x v="5"/>
    <n v="225"/>
    <s v="Макароны"/>
    <s v="Паста Зара"/>
    <n v="265.47674418604652"/>
    <n v="-0.68358810389382851"/>
    <n v="10237"/>
  </r>
  <r>
    <n v="683"/>
    <n v="196"/>
    <n v="196"/>
    <n v="4"/>
    <n v="784"/>
    <x v="381"/>
    <x v="13"/>
    <n v="8"/>
    <s v="Конфеты"/>
    <s v="Рот Фронт"/>
    <n v="267.85483870967744"/>
    <n v="-0.26826037213223342"/>
    <n v="6053"/>
  </r>
  <r>
    <n v="684"/>
    <n v="271"/>
    <n v="123"/>
    <n v="2"/>
    <n v="246"/>
    <x v="254"/>
    <x v="3"/>
    <n v="11"/>
    <s v="Сыр"/>
    <s v="Сырная долина"/>
    <n v="261.03225806451616"/>
    <n v="-0.52879387048937221"/>
    <n v="8943"/>
  </r>
  <r>
    <n v="685"/>
    <n v="189"/>
    <n v="356"/>
    <n v="1"/>
    <n v="356"/>
    <x v="137"/>
    <x v="16"/>
    <n v="388"/>
    <s v="Хлеб"/>
    <s v="Дарница"/>
    <n v="300.31818181818181"/>
    <n v="0.18540941425760549"/>
    <n v="1848"/>
  </r>
  <r>
    <n v="686"/>
    <n v="372"/>
    <n v="166"/>
    <n v="5"/>
    <n v="830"/>
    <x v="382"/>
    <x v="15"/>
    <n v="40"/>
    <s v="Кофе"/>
    <s v="Черная Карта"/>
    <n v="249.02380952380952"/>
    <n v="-0.33339707429008503"/>
    <n v="2222"/>
  </r>
  <r>
    <n v="687"/>
    <n v="205"/>
    <n v="156"/>
    <n v="4"/>
    <n v="624"/>
    <x v="363"/>
    <x v="4"/>
    <n v="286"/>
    <s v="Макароны"/>
    <s v="Борилла"/>
    <n v="265.47674418604652"/>
    <n v="-0.41237790723139589"/>
    <n v="6852"/>
  </r>
  <r>
    <n v="688"/>
    <n v="187"/>
    <n v="496"/>
    <n v="4"/>
    <n v="1984"/>
    <x v="383"/>
    <x v="2"/>
    <n v="448"/>
    <s v="Макароны"/>
    <s v="Паста Зара"/>
    <n v="265.47674418604652"/>
    <n v="0.86833691034120264"/>
    <n v="10237"/>
  </r>
  <r>
    <n v="689"/>
    <n v="194"/>
    <n v="257"/>
    <n v="5"/>
    <n v="1285"/>
    <x v="384"/>
    <x v="1"/>
    <n v="291"/>
    <s v="Соль"/>
    <s v="Салта"/>
    <n v="264.8679245283019"/>
    <n v="-2.9705086194614649E-2"/>
    <n v="2737"/>
  </r>
  <r>
    <n v="690"/>
    <n v="51"/>
    <n v="476"/>
    <n v="2"/>
    <n v="952"/>
    <x v="385"/>
    <x v="18"/>
    <n v="480"/>
    <s v="Колбаса"/>
    <s v="Дымов"/>
    <n v="286.92307692307691"/>
    <n v="0.65898123324396796"/>
    <n v="2814"/>
  </r>
  <r>
    <n v="691"/>
    <n v="80"/>
    <n v="232"/>
    <n v="2"/>
    <n v="464"/>
    <x v="17"/>
    <x v="8"/>
    <n v="418"/>
    <s v="Конфеты"/>
    <s v="Красный Октябрь"/>
    <n v="267.85483870967744"/>
    <n v="-0.1338592159932559"/>
    <n v="2189"/>
  </r>
  <r>
    <n v="151"/>
    <n v="206"/>
    <n v="73"/>
    <n v="5"/>
    <n v="365"/>
    <x v="228"/>
    <x v="2"/>
    <n v="115"/>
    <s v="Молоко"/>
    <s v="Домик в деревне"/>
    <n v="294.95238095238096"/>
    <n v="-0.22360348724572165"/>
    <n v="4946"/>
  </r>
  <r>
    <n v="693"/>
    <n v="215"/>
    <n v="485"/>
    <n v="4"/>
    <n v="1940"/>
    <x v="106"/>
    <x v="1"/>
    <n v="318"/>
    <s v="Сок"/>
    <s v="Фруктовый сад"/>
    <n v="268.60344827586209"/>
    <n v="0.80563579177097355"/>
    <n v="9023"/>
  </r>
  <r>
    <n v="694"/>
    <n v="36"/>
    <n v="150"/>
    <n v="2"/>
    <n v="300"/>
    <x v="266"/>
    <x v="12"/>
    <n v="283"/>
    <s v="Макароны"/>
    <s v="Роллтон"/>
    <n v="265.47674418604652"/>
    <n v="-0.43497875695326527"/>
    <n v="2120"/>
  </r>
  <r>
    <n v="29"/>
    <n v="181"/>
    <n v="476"/>
    <n v="4"/>
    <n v="1904"/>
    <x v="239"/>
    <x v="0"/>
    <n v="451"/>
    <s v="Молоко"/>
    <s v="Простоквашино"/>
    <n v="294.95238095238096"/>
    <n v="0.37310300290603804"/>
    <n v="3507"/>
  </r>
  <r>
    <n v="696"/>
    <n v="80"/>
    <n v="135"/>
    <n v="2"/>
    <n v="270"/>
    <x v="386"/>
    <x v="9"/>
    <n v="123"/>
    <s v="Конфеты"/>
    <s v="Красный Октябрь"/>
    <n v="267.85483870967744"/>
    <n v="-0.49599566447883425"/>
    <n v="2189"/>
  </r>
  <r>
    <n v="697"/>
    <n v="413"/>
    <n v="178"/>
    <n v="5"/>
    <n v="890"/>
    <x v="98"/>
    <x v="2"/>
    <n v="380"/>
    <s v="Кофе"/>
    <s v="Jacobs"/>
    <n v="249.02380952380952"/>
    <n v="-0.28520891098575385"/>
    <n v="5248"/>
  </r>
  <r>
    <n v="698"/>
    <n v="10"/>
    <n v="112"/>
    <n v="3"/>
    <n v="336"/>
    <x v="254"/>
    <x v="2"/>
    <n v="442"/>
    <s v="Сок"/>
    <s v="Фруктовый сад"/>
    <n v="268.60344827586209"/>
    <n v="-0.58302843571474416"/>
    <n v="9023"/>
  </r>
  <r>
    <n v="699"/>
    <n v="14"/>
    <n v="338"/>
    <n v="4"/>
    <n v="1352"/>
    <x v="387"/>
    <x v="5"/>
    <n v="218"/>
    <s v="Сок"/>
    <s v="Rich"/>
    <n v="268.60344827586209"/>
    <n v="0.25836061364657548"/>
    <n v="1089"/>
  </r>
  <r>
    <n v="700"/>
    <n v="423"/>
    <n v="277"/>
    <n v="5"/>
    <n v="1385"/>
    <x v="277"/>
    <x v="4"/>
    <n v="331"/>
    <s v="Чипсы"/>
    <s v="Pringles"/>
    <n v="273.72549019607845"/>
    <n v="1.1962750716332238E-2"/>
    <n v="5885"/>
  </r>
  <r>
    <n v="701"/>
    <n v="138"/>
    <n v="427"/>
    <n v="5"/>
    <n v="2135"/>
    <x v="285"/>
    <x v="4"/>
    <n v="196"/>
    <s v="Сыр"/>
    <s v="Сырная долина"/>
    <n v="261.03225806451616"/>
    <n v="0.63581314878892714"/>
    <n v="8943"/>
  </r>
  <r>
    <n v="702"/>
    <n v="498"/>
    <n v="169"/>
    <n v="4"/>
    <n v="676"/>
    <x v="37"/>
    <x v="17"/>
    <n v="36"/>
    <s v="Молоко"/>
    <s v="Домик в деревне"/>
    <n v="294.95238095238096"/>
    <n v="-0.42702615434291247"/>
    <n v="4946"/>
  </r>
  <r>
    <n v="703"/>
    <n v="46"/>
    <n v="228"/>
    <n v="5"/>
    <n v="1140"/>
    <x v="388"/>
    <x v="3"/>
    <n v="272"/>
    <s v="Йогурт"/>
    <s v="Активиа"/>
    <n v="263.25423728813558"/>
    <n v="-0.13391707442698941"/>
    <n v="1762"/>
  </r>
  <r>
    <n v="704"/>
    <n v="1"/>
    <n v="322"/>
    <n v="2"/>
    <n v="644"/>
    <x v="389"/>
    <x v="15"/>
    <n v="22"/>
    <s v="Крупа"/>
    <s v="Ярмарка"/>
    <n v="255.11627906976744"/>
    <n v="0.26216955332725611"/>
    <n v="2773"/>
  </r>
  <r>
    <n v="705"/>
    <n v="478"/>
    <n v="342"/>
    <n v="3"/>
    <n v="1026"/>
    <x v="215"/>
    <x v="6"/>
    <n v="360"/>
    <s v="Конфеты"/>
    <s v="Рот Фронт"/>
    <n v="267.85483870967744"/>
    <n v="0.27681098332028653"/>
    <n v="6053"/>
  </r>
  <r>
    <n v="706"/>
    <n v="444"/>
    <n v="315"/>
    <n v="4"/>
    <n v="1260"/>
    <x v="146"/>
    <x v="4"/>
    <n v="414"/>
    <s v="Йогурт"/>
    <s v="Эрманн"/>
    <n v="263.25423728813558"/>
    <n v="0.19656193664692245"/>
    <n v="4970"/>
  </r>
  <r>
    <n v="707"/>
    <n v="110"/>
    <n v="473"/>
    <n v="2"/>
    <n v="946"/>
    <x v="279"/>
    <x v="17"/>
    <n v="152"/>
    <s v="Макароны"/>
    <s v="Паста Зара"/>
    <n v="265.47674418604652"/>
    <n v="0.78170031974070331"/>
    <n v="10237"/>
  </r>
  <r>
    <n v="708"/>
    <n v="191"/>
    <n v="248"/>
    <n v="2"/>
    <n v="496"/>
    <x v="361"/>
    <x v="11"/>
    <n v="177"/>
    <s v="Колбаса"/>
    <s v="Окраина"/>
    <n v="286.92307692307691"/>
    <n v="-0.13565683646112592"/>
    <n v="3283"/>
  </r>
  <r>
    <n v="709"/>
    <n v="198"/>
    <n v="335"/>
    <n v="3"/>
    <n v="1005"/>
    <x v="75"/>
    <x v="10"/>
    <n v="111"/>
    <s v="Мясо"/>
    <s v="Мираторг"/>
    <n v="271.74545454545455"/>
    <n v="0.23277131004951146"/>
    <n v="3799"/>
  </r>
  <r>
    <n v="710"/>
    <n v="93"/>
    <n v="343"/>
    <n v="3"/>
    <n v="1029"/>
    <x v="71"/>
    <x v="18"/>
    <n v="281"/>
    <s v="Чай"/>
    <s v="Greenfield"/>
    <n v="271.18181818181819"/>
    <n v="0.26483405967147156"/>
    <n v="6412"/>
  </r>
  <r>
    <n v="711"/>
    <n v="385"/>
    <n v="309"/>
    <n v="1"/>
    <n v="309"/>
    <x v="390"/>
    <x v="6"/>
    <n v="177"/>
    <s v="Макароны"/>
    <s v="Макфа"/>
    <n v="265.47674418604652"/>
    <n v="0.16394376067627348"/>
    <n v="3622"/>
  </r>
  <r>
    <n v="712"/>
    <n v="456"/>
    <n v="196"/>
    <n v="4"/>
    <n v="784"/>
    <x v="202"/>
    <x v="4"/>
    <n v="446"/>
    <s v="Колбаса"/>
    <s v="Окраина"/>
    <n v="286.92307692307691"/>
    <n v="-0.31689008042895439"/>
    <n v="3283"/>
  </r>
  <r>
    <n v="713"/>
    <n v="147"/>
    <n v="258"/>
    <n v="5"/>
    <n v="1290"/>
    <x v="53"/>
    <x v="3"/>
    <n v="202"/>
    <s v="Конфеты"/>
    <s v="Бабаевский"/>
    <n v="267.85483870967744"/>
    <n v="-3.6791714337327752E-2"/>
    <n v="6757"/>
  </r>
  <r>
    <n v="714"/>
    <n v="47"/>
    <n v="496"/>
    <n v="2"/>
    <n v="992"/>
    <x v="41"/>
    <x v="2"/>
    <n v="140"/>
    <s v="Мясо"/>
    <s v="Снежана"/>
    <n v="271.74545454545455"/>
    <n v="0.82523752174494835"/>
    <n v="4630"/>
  </r>
  <r>
    <n v="82"/>
    <n v="334"/>
    <n v="396"/>
    <n v="4"/>
    <n v="1584"/>
    <x v="319"/>
    <x v="17"/>
    <n v="134"/>
    <s v="Молоко"/>
    <s v="Домик в деревне"/>
    <n v="294.95238095238096"/>
    <n v="-0.63044882144010339"/>
    <n v="4946"/>
  </r>
  <r>
    <n v="716"/>
    <n v="296"/>
    <n v="155"/>
    <n v="1"/>
    <n v="155"/>
    <x v="6"/>
    <x v="18"/>
    <n v="188"/>
    <s v="Крупа"/>
    <s v="Мистраль"/>
    <n v="255.11627906976744"/>
    <n v="-0.39243391066545119"/>
    <n v="3254"/>
  </r>
  <r>
    <n v="717"/>
    <n v="448"/>
    <n v="72"/>
    <n v="5"/>
    <n v="360"/>
    <x v="191"/>
    <x v="10"/>
    <n v="63"/>
    <s v="Йогурт"/>
    <s v="Ростагроэкспорт"/>
    <n v="263.25423728813558"/>
    <n v="-0.72650012876641767"/>
    <n v="5929"/>
  </r>
  <r>
    <n v="718"/>
    <n v="38"/>
    <n v="191"/>
    <n v="5"/>
    <n v="955"/>
    <x v="391"/>
    <x v="14"/>
    <n v="25"/>
    <s v="Конфеты"/>
    <s v="Рот Фронт"/>
    <n v="267.85483870967744"/>
    <n v="-0.2869271993737581"/>
    <n v="6053"/>
  </r>
  <r>
    <n v="719"/>
    <n v="272"/>
    <n v="362"/>
    <n v="2"/>
    <n v="724"/>
    <x v="114"/>
    <x v="18"/>
    <n v="409"/>
    <s v="Крупа"/>
    <s v="Ярмарка"/>
    <n v="255.11627906976744"/>
    <n v="0.41896080218778486"/>
    <n v="2773"/>
  </r>
  <r>
    <n v="720"/>
    <n v="426"/>
    <n v="394"/>
    <n v="5"/>
    <n v="1970"/>
    <x v="6"/>
    <x v="15"/>
    <n v="386"/>
    <s v="Печенье"/>
    <s v="Посиделкино"/>
    <n v="283.468085106383"/>
    <n v="0.38992719357502059"/>
    <n v="3538"/>
  </r>
  <r>
    <n v="721"/>
    <n v="378"/>
    <n v="203"/>
    <n v="4"/>
    <n v="812"/>
    <x v="20"/>
    <x v="8"/>
    <n v="238"/>
    <s v="Сок"/>
    <s v="Фруктовый сад"/>
    <n v="268.60344827586209"/>
    <n v="-0.24423903973297389"/>
    <n v="9023"/>
  </r>
  <r>
    <n v="722"/>
    <n v="134"/>
    <n v="450"/>
    <n v="5"/>
    <n v="2250"/>
    <x v="355"/>
    <x v="0"/>
    <n v="480"/>
    <s v="Рыба"/>
    <s v="Меридиан"/>
    <n v="258.5128205128205"/>
    <n v="0.74072604641936124"/>
    <n v="4431"/>
  </r>
  <r>
    <n v="723"/>
    <n v="485"/>
    <n v="323"/>
    <n v="1"/>
    <n v="323"/>
    <x v="392"/>
    <x v="17"/>
    <n v="157"/>
    <s v="Макароны"/>
    <s v="Борилла"/>
    <n v="265.47674418604652"/>
    <n v="0.2166790766939688"/>
    <n v="6852"/>
  </r>
  <r>
    <n v="330"/>
    <n v="188"/>
    <n v="154"/>
    <n v="4"/>
    <n v="616"/>
    <x v="262"/>
    <x v="18"/>
    <n v="187"/>
    <s v="Молоко"/>
    <s v="Вимм-Билль-Данн"/>
    <n v="294.95238095238096"/>
    <n v="-0.24394575395544082"/>
    <n v="387"/>
  </r>
  <r>
    <n v="725"/>
    <n v="28"/>
    <n v="459"/>
    <n v="1"/>
    <n v="459"/>
    <x v="294"/>
    <x v="0"/>
    <n v="63"/>
    <s v="Крупа"/>
    <s v="Националь"/>
    <n v="255.11627906976744"/>
    <n v="0.79917958067456696"/>
    <n v="1920"/>
  </r>
  <r>
    <n v="726"/>
    <n v="195"/>
    <n v="497"/>
    <n v="5"/>
    <n v="2485"/>
    <x v="10"/>
    <x v="16"/>
    <n v="105"/>
    <s v="Хлеб"/>
    <s v="Каравай"/>
    <n v="300.31818181818181"/>
    <n v="0.65491145754502811"/>
    <n v="3974"/>
  </r>
  <r>
    <n v="727"/>
    <n v="398"/>
    <n v="361"/>
    <n v="1"/>
    <n v="361"/>
    <x v="127"/>
    <x v="7"/>
    <n v="40"/>
    <s v="Сок"/>
    <s v="Фруктовый сад"/>
    <n v="268.60344827586209"/>
    <n v="0.34398870274086901"/>
    <n v="9023"/>
  </r>
  <r>
    <n v="728"/>
    <n v="77"/>
    <n v="160"/>
    <n v="2"/>
    <n v="320"/>
    <x v="238"/>
    <x v="11"/>
    <n v="260"/>
    <s v="Макароны"/>
    <s v="Паста Зара"/>
    <n v="265.47674418604652"/>
    <n v="-0.39731067408348297"/>
    <n v="10237"/>
  </r>
  <r>
    <n v="729"/>
    <n v="128"/>
    <n v="419"/>
    <n v="5"/>
    <n v="2095"/>
    <x v="225"/>
    <x v="4"/>
    <n v="220"/>
    <s v="Мясо"/>
    <s v="Мираторг"/>
    <n v="271.74545454545455"/>
    <n v="0.54188411615147869"/>
    <n v="3799"/>
  </r>
  <r>
    <n v="730"/>
    <n v="328"/>
    <n v="429"/>
    <n v="4"/>
    <n v="1716"/>
    <x v="58"/>
    <x v="7"/>
    <n v="88"/>
    <s v="Чипсы"/>
    <s v="Русская картошка"/>
    <n v="273.72549019607845"/>
    <n v="0.56726361031518602"/>
    <n v="2902"/>
  </r>
  <r>
    <n v="731"/>
    <n v="455"/>
    <n v="72"/>
    <n v="2"/>
    <n v="144"/>
    <x v="248"/>
    <x v="5"/>
    <n v="66"/>
    <s v="Соль"/>
    <s v="Славянская"/>
    <n v="264.8679245283019"/>
    <n v="-0.72816640547086475"/>
    <n v="2843"/>
  </r>
  <r>
    <n v="732"/>
    <n v="371"/>
    <n v="97"/>
    <n v="3"/>
    <n v="291"/>
    <x v="393"/>
    <x v="1"/>
    <n v="15"/>
    <s v="Сахар"/>
    <s v="Русский сахар"/>
    <n v="254.58333333333334"/>
    <n v="-0.61898527004909987"/>
    <n v="4988"/>
  </r>
  <r>
    <n v="733"/>
    <n v="486"/>
    <n v="57"/>
    <n v="2"/>
    <n v="114"/>
    <x v="293"/>
    <x v="0"/>
    <n v="485"/>
    <s v="Соль"/>
    <s v="Илецкая"/>
    <n v="264.8679245283019"/>
    <n v="-0.78479840433110137"/>
    <n v="4287"/>
  </r>
  <r>
    <n v="734"/>
    <n v="359"/>
    <n v="126"/>
    <n v="4"/>
    <n v="504"/>
    <x v="394"/>
    <x v="7"/>
    <n v="394"/>
    <s v="Мясо"/>
    <s v="Мираторг"/>
    <n v="271.74545454545455"/>
    <n v="-0.53633079084704938"/>
    <n v="3799"/>
  </r>
  <r>
    <n v="735"/>
    <n v="267"/>
    <n v="54"/>
    <n v="2"/>
    <n v="108"/>
    <x v="171"/>
    <x v="15"/>
    <n v="290"/>
    <s v="Овощи"/>
    <s v="Семко"/>
    <n v="250.48780487804879"/>
    <n v="-0.78442064264849076"/>
    <n v="2080"/>
  </r>
  <r>
    <n v="736"/>
    <n v="52"/>
    <n v="150"/>
    <n v="4"/>
    <n v="600"/>
    <x v="395"/>
    <x v="3"/>
    <n v="279"/>
    <s v="Соль"/>
    <s v="Илецкая"/>
    <n v="264.8679245283019"/>
    <n v="-0.43368001139763501"/>
    <n v="4287"/>
  </r>
  <r>
    <n v="737"/>
    <n v="187"/>
    <n v="233"/>
    <n v="4"/>
    <n v="932"/>
    <x v="376"/>
    <x v="9"/>
    <n v="245"/>
    <s v="Макароны"/>
    <s v="Паста Зара"/>
    <n v="265.47674418604652"/>
    <n v="-0.12233366913407206"/>
    <n v="10237"/>
  </r>
  <r>
    <n v="738"/>
    <n v="118"/>
    <n v="156"/>
    <n v="5"/>
    <n v="780"/>
    <x v="395"/>
    <x v="13"/>
    <n v="261"/>
    <s v="Сахар"/>
    <s v="Продимекс"/>
    <n v="254.58333333333334"/>
    <n v="-0.38723404255319149"/>
    <n v="5172"/>
  </r>
  <r>
    <n v="739"/>
    <n v="218"/>
    <n v="383"/>
    <n v="2"/>
    <n v="766"/>
    <x v="108"/>
    <x v="1"/>
    <n v="9"/>
    <s v="Колбаса"/>
    <s v="Дымов"/>
    <n v="286.92307692307691"/>
    <n v="0.33485254691689015"/>
    <n v="2814"/>
  </r>
  <r>
    <n v="740"/>
    <n v="46"/>
    <n v="370"/>
    <n v="5"/>
    <n v="1850"/>
    <x v="396"/>
    <x v="17"/>
    <n v="103"/>
    <s v="Йогурт"/>
    <s v="Активиа"/>
    <n v="263.25423728813558"/>
    <n v="0.40548544939479791"/>
    <n v="1762"/>
  </r>
  <r>
    <n v="741"/>
    <n v="263"/>
    <n v="173"/>
    <n v="3"/>
    <n v="519"/>
    <x v="28"/>
    <x v="14"/>
    <n v="142"/>
    <s v="Йогурт"/>
    <s v="Активиа"/>
    <n v="263.25423728813558"/>
    <n v="-0.34284058717486476"/>
    <n v="1762"/>
  </r>
  <r>
    <n v="742"/>
    <n v="201"/>
    <n v="113"/>
    <n v="5"/>
    <n v="565"/>
    <x v="106"/>
    <x v="13"/>
    <n v="470"/>
    <s v="Печенье"/>
    <s v="Белогорье"/>
    <n v="283.468085106383"/>
    <n v="-0.60136605869548898"/>
    <n v="3493"/>
  </r>
  <r>
    <n v="743"/>
    <n v="434"/>
    <n v="366"/>
    <n v="4"/>
    <n v="1464"/>
    <x v="231"/>
    <x v="5"/>
    <n v="490"/>
    <s v="Сыр"/>
    <s v="Сырная долина"/>
    <n v="261.03225806451616"/>
    <n v="0.40212555610479472"/>
    <n v="8943"/>
  </r>
  <r>
    <n v="744"/>
    <n v="99"/>
    <n v="92"/>
    <n v="4"/>
    <n v="368"/>
    <x v="342"/>
    <x v="6"/>
    <n v="255"/>
    <s v="Овощи"/>
    <s v="Семко"/>
    <n v="250.48780487804879"/>
    <n v="-0.63271665043816938"/>
    <n v="2080"/>
  </r>
  <r>
    <n v="745"/>
    <n v="357"/>
    <n v="290"/>
    <n v="4"/>
    <n v="1160"/>
    <x v="92"/>
    <x v="5"/>
    <n v="422"/>
    <s v="Мясо"/>
    <s v="Снежана"/>
    <n v="271.74545454545455"/>
    <n v="6.7175163923457681E-2"/>
    <n v="4630"/>
  </r>
  <r>
    <n v="746"/>
    <n v="337"/>
    <n v="453"/>
    <n v="4"/>
    <n v="1812"/>
    <x v="377"/>
    <x v="18"/>
    <n v="115"/>
    <s v="Макароны"/>
    <s v="Паста Зара"/>
    <n v="265.47674418604652"/>
    <n v="0.70636415400113872"/>
    <n v="10237"/>
  </r>
  <r>
    <n v="747"/>
    <n v="230"/>
    <n v="104"/>
    <n v="4"/>
    <n v="416"/>
    <x v="327"/>
    <x v="4"/>
    <n v="163"/>
    <s v="Сок"/>
    <s v="Фруктовый сад"/>
    <n v="268.60344827586209"/>
    <n v="-0.61281211887797682"/>
    <n v="9023"/>
  </r>
  <r>
    <n v="748"/>
    <n v="293"/>
    <n v="57"/>
    <n v="5"/>
    <n v="285"/>
    <x v="77"/>
    <x v="18"/>
    <n v="248"/>
    <s v="Конфеты"/>
    <s v="Бабаевский"/>
    <n v="267.85483870967744"/>
    <n v="-0.78719816944661891"/>
    <n v="6757"/>
  </r>
  <r>
    <n v="749"/>
    <n v="254"/>
    <n v="326"/>
    <n v="1"/>
    <n v="326"/>
    <x v="125"/>
    <x v="2"/>
    <n v="201"/>
    <s v="Соль"/>
    <s v="Илецкая"/>
    <n v="264.8679245283019"/>
    <n v="0.23080210856247318"/>
    <n v="4287"/>
  </r>
  <r>
    <n v="750"/>
    <n v="248"/>
    <n v="176"/>
    <n v="5"/>
    <n v="880"/>
    <x v="76"/>
    <x v="8"/>
    <n v="434"/>
    <s v="Конфеты"/>
    <s v="Красный Октябрь"/>
    <n v="267.85483870967744"/>
    <n v="-0.34292768109833205"/>
    <n v="2189"/>
  </r>
  <r>
    <n v="751"/>
    <n v="156"/>
    <n v="490"/>
    <n v="1"/>
    <n v="490"/>
    <x v="397"/>
    <x v="9"/>
    <n v="140"/>
    <s v="Фрукты"/>
    <s v="Фрукты-Ягоды"/>
    <n v="274.16279069767444"/>
    <n v="0.78725930952582912"/>
    <n v="2526"/>
  </r>
  <r>
    <n v="752"/>
    <n v="370"/>
    <n v="95"/>
    <n v="5"/>
    <n v="475"/>
    <x v="143"/>
    <x v="5"/>
    <n v="250"/>
    <s v="Сок"/>
    <s v="Фруктовый сад"/>
    <n v="268.60344827586209"/>
    <n v="-0.64631876243661335"/>
    <n v="9023"/>
  </r>
  <r>
    <n v="753"/>
    <n v="61"/>
    <n v="183"/>
    <n v="5"/>
    <n v="915"/>
    <x v="398"/>
    <x v="9"/>
    <n v="191"/>
    <s v="Йогурт"/>
    <s v="Эрманн"/>
    <n v="263.25423728813558"/>
    <n v="-0.30485449394797837"/>
    <n v="4970"/>
  </r>
  <r>
    <n v="754"/>
    <n v="246"/>
    <n v="302"/>
    <n v="5"/>
    <n v="1510"/>
    <x v="316"/>
    <x v="5"/>
    <n v="336"/>
    <s v="Сыр"/>
    <s v="President"/>
    <n v="261.03225806451616"/>
    <n v="0.15694513099357388"/>
    <n v="3935"/>
  </r>
  <r>
    <n v="755"/>
    <n v="322"/>
    <n v="417"/>
    <n v="2"/>
    <n v="834"/>
    <x v="8"/>
    <x v="16"/>
    <n v="3"/>
    <s v="Крупа"/>
    <s v="Увелка"/>
    <n v="255.11627906976744"/>
    <n v="0.6345487693710119"/>
    <n v="3023"/>
  </r>
  <r>
    <n v="756"/>
    <n v="51"/>
    <n v="439"/>
    <n v="5"/>
    <n v="2195"/>
    <x v="151"/>
    <x v="9"/>
    <n v="435"/>
    <s v="Колбаса"/>
    <s v="Дымов"/>
    <n v="286.92307692307691"/>
    <n v="0.53002680965147464"/>
    <n v="2814"/>
  </r>
  <r>
    <n v="757"/>
    <n v="189"/>
    <n v="136"/>
    <n v="5"/>
    <n v="680"/>
    <x v="252"/>
    <x v="18"/>
    <n v="80"/>
    <s v="Хлеб"/>
    <s v="Дарница"/>
    <n v="300.31818181818181"/>
    <n v="-0.54714696533979112"/>
    <n v="1848"/>
  </r>
  <r>
    <n v="758"/>
    <n v="67"/>
    <n v="274"/>
    <n v="4"/>
    <n v="1096"/>
    <x v="399"/>
    <x v="2"/>
    <n v="262"/>
    <s v="Йогурт"/>
    <s v="Чудо"/>
    <n v="263.25423728813558"/>
    <n v="4.0818954416688147E-2"/>
    <n v="2871"/>
  </r>
  <r>
    <n v="759"/>
    <n v="301"/>
    <n v="189"/>
    <n v="3"/>
    <n v="567"/>
    <x v="392"/>
    <x v="15"/>
    <n v="43"/>
    <s v="Фрукты"/>
    <s v="Экзотик"/>
    <n v="274.16279069767444"/>
    <n v="-0.31062855204003736"/>
    <n v="4059"/>
  </r>
  <r>
    <n v="760"/>
    <n v="463"/>
    <n v="77"/>
    <n v="4"/>
    <n v="308"/>
    <x v="378"/>
    <x v="13"/>
    <n v="163"/>
    <s v="Кофе"/>
    <s v="Черная Карта"/>
    <n v="249.02380952380952"/>
    <n v="-0.69079261879720821"/>
    <n v="2222"/>
  </r>
  <r>
    <n v="905"/>
    <n v="318"/>
    <n v="280"/>
    <n v="1"/>
    <n v="280"/>
    <x v="307"/>
    <x v="1"/>
    <n v="382"/>
    <s v="Молоко"/>
    <s v="Домик в деревне"/>
    <n v="294.95238095238096"/>
    <n v="-0.42024539877300615"/>
    <n v="4946"/>
  </r>
  <r>
    <n v="762"/>
    <n v="398"/>
    <n v="464"/>
    <n v="5"/>
    <n v="2320"/>
    <x v="239"/>
    <x v="3"/>
    <n v="342"/>
    <s v="Сок"/>
    <s v="Фруктовый сад"/>
    <n v="268.60344827586209"/>
    <n v="0.72745362346748821"/>
    <n v="9023"/>
  </r>
  <r>
    <n v="763"/>
    <n v="483"/>
    <n v="140"/>
    <n v="5"/>
    <n v="700"/>
    <x v="20"/>
    <x v="3"/>
    <n v="7"/>
    <s v="Колбаса"/>
    <s v="Дымов"/>
    <n v="286.92307692307691"/>
    <n v="-0.51206434316353877"/>
    <n v="2814"/>
  </r>
  <r>
    <n v="764"/>
    <n v="86"/>
    <n v="353"/>
    <n v="2"/>
    <n v="706"/>
    <x v="400"/>
    <x v="19"/>
    <n v="264"/>
    <s v="Сахар"/>
    <s v="Русский сахар"/>
    <n v="254.58333333333334"/>
    <n v="0.38657937806873965"/>
    <n v="4988"/>
  </r>
  <r>
    <n v="765"/>
    <n v="158"/>
    <n v="318"/>
    <n v="5"/>
    <n v="1590"/>
    <x v="349"/>
    <x v="7"/>
    <n v="99"/>
    <s v="Сахар"/>
    <s v="Сладов"/>
    <n v="254.58333333333334"/>
    <n v="0.24909983633387878"/>
    <n v="3604"/>
  </r>
  <r>
    <n v="766"/>
    <n v="199"/>
    <n v="80"/>
    <n v="5"/>
    <n v="400"/>
    <x v="126"/>
    <x v="9"/>
    <n v="404"/>
    <s v="Макароны"/>
    <s v="Борилла"/>
    <n v="265.47674418604652"/>
    <n v="-0.69865533704174143"/>
    <n v="6852"/>
  </r>
  <r>
    <n v="767"/>
    <n v="259"/>
    <n v="90"/>
    <n v="4"/>
    <n v="360"/>
    <x v="18"/>
    <x v="4"/>
    <n v="79"/>
    <s v="Йогурт"/>
    <s v="Ростагроэкспорт"/>
    <n v="263.25423728813558"/>
    <n v="-0.65812516095802209"/>
    <n v="5929"/>
  </r>
  <r>
    <n v="768"/>
    <n v="468"/>
    <n v="167"/>
    <n v="4"/>
    <n v="668"/>
    <x v="240"/>
    <x v="19"/>
    <n v="377"/>
    <s v="Йогурт"/>
    <s v="Чудо"/>
    <n v="263.25423728813558"/>
    <n v="-0.36563224311099662"/>
    <n v="2871"/>
  </r>
  <r>
    <n v="769"/>
    <n v="4"/>
    <n v="478"/>
    <n v="4"/>
    <n v="1912"/>
    <x v="308"/>
    <x v="13"/>
    <n v="146"/>
    <s v="Рис"/>
    <s v="Белый Злат"/>
    <n v="258.375"/>
    <n v="0.85002418964683124"/>
    <n v="4585"/>
  </r>
  <r>
    <n v="770"/>
    <n v="155"/>
    <n v="310"/>
    <n v="4"/>
    <n v="1240"/>
    <x v="71"/>
    <x v="11"/>
    <n v="346"/>
    <s v="Йогурт"/>
    <s v="Эрманн"/>
    <n v="263.25423728813558"/>
    <n v="0.17756889003347931"/>
    <n v="4970"/>
  </r>
  <r>
    <n v="771"/>
    <n v="413"/>
    <n v="210"/>
    <n v="5"/>
    <n v="1050"/>
    <x v="389"/>
    <x v="11"/>
    <n v="436"/>
    <s v="Кофе"/>
    <s v="Jacobs"/>
    <n v="249.02380952380952"/>
    <n v="-0.15670714217420401"/>
    <n v="5248"/>
  </r>
  <r>
    <n v="772"/>
    <n v="200"/>
    <n v="67"/>
    <n v="1"/>
    <n v="67"/>
    <x v="401"/>
    <x v="6"/>
    <n v="103"/>
    <s v="Чипсы"/>
    <s v="Estrella"/>
    <n v="273.72549019607845"/>
    <n v="-0.75522922636103151"/>
    <n v="2929"/>
  </r>
  <r>
    <n v="773"/>
    <n v="295"/>
    <n v="294"/>
    <n v="5"/>
    <n v="1470"/>
    <x v="192"/>
    <x v="18"/>
    <n v="493"/>
    <s v="Печенье"/>
    <s v="Белогорье"/>
    <n v="283.468085106383"/>
    <n v="3.715379419049758E-2"/>
    <n v="3493"/>
  </r>
  <r>
    <n v="774"/>
    <n v="39"/>
    <n v="404"/>
    <n v="2"/>
    <n v="808"/>
    <x v="149"/>
    <x v="7"/>
    <n v="252"/>
    <s v="Сыр"/>
    <s v="Сырная долина"/>
    <n v="261.03225806451616"/>
    <n v="0.54770143351458223"/>
    <n v="8943"/>
  </r>
  <r>
    <n v="775"/>
    <n v="228"/>
    <n v="98"/>
    <n v="2"/>
    <n v="196"/>
    <x v="317"/>
    <x v="4"/>
    <n v="338"/>
    <s v="Рис"/>
    <s v="Мистраль"/>
    <n v="258.375"/>
    <n v="-0.62070633768746974"/>
    <n v="1271"/>
  </r>
  <r>
    <n v="776"/>
    <n v="37"/>
    <n v="139"/>
    <n v="3"/>
    <n v="417"/>
    <x v="369"/>
    <x v="9"/>
    <n v="397"/>
    <s v="Соль"/>
    <s v="Илецкая"/>
    <n v="264.8679245283019"/>
    <n v="-0.47521014389514182"/>
    <n v="4287"/>
  </r>
  <r>
    <n v="777"/>
    <n v="62"/>
    <n v="241"/>
    <n v="2"/>
    <n v="482"/>
    <x v="283"/>
    <x v="0"/>
    <n v="247"/>
    <s v="Рыба"/>
    <s v="Балтийский берег"/>
    <n v="258.5128205128205"/>
    <n v="-6.7744495139853145E-2"/>
    <n v="2609"/>
  </r>
  <r>
    <n v="778"/>
    <n v="468"/>
    <n v="182"/>
    <n v="5"/>
    <n v="910"/>
    <x v="186"/>
    <x v="16"/>
    <n v="445"/>
    <s v="Йогурт"/>
    <s v="Чудо"/>
    <n v="263.25423728813558"/>
    <n v="-0.30865310327066697"/>
    <n v="2871"/>
  </r>
  <r>
    <n v="779"/>
    <n v="497"/>
    <n v="275"/>
    <n v="4"/>
    <n v="1100"/>
    <x v="402"/>
    <x v="3"/>
    <n v="477"/>
    <s v="Конфеты"/>
    <s v="Бабаевский"/>
    <n v="267.85483870967744"/>
    <n v="2.667549828385618E-2"/>
    <n v="6757"/>
  </r>
  <r>
    <n v="780"/>
    <n v="372"/>
    <n v="182"/>
    <n v="2"/>
    <n v="364"/>
    <x v="140"/>
    <x v="14"/>
    <n v="402"/>
    <s v="Кофе"/>
    <s v="Черная Карта"/>
    <n v="249.02380952380952"/>
    <n v="-0.26914618988431016"/>
    <n v="2222"/>
  </r>
  <r>
    <n v="781"/>
    <n v="354"/>
    <n v="203"/>
    <n v="5"/>
    <n v="1015"/>
    <x v="43"/>
    <x v="17"/>
    <n v="265"/>
    <s v="Чай"/>
    <s v="Lipton"/>
    <n v="271.18181818181819"/>
    <n v="-0.25142474019443517"/>
    <n v="4943"/>
  </r>
  <r>
    <n v="782"/>
    <n v="460"/>
    <n v="103"/>
    <n v="5"/>
    <n v="515"/>
    <x v="158"/>
    <x v="12"/>
    <n v="124"/>
    <s v="Кофе"/>
    <s v="Tchibo"/>
    <n v="249.02380952380952"/>
    <n v="-0.58638493163782379"/>
    <n v="420"/>
  </r>
  <r>
    <n v="783"/>
    <n v="63"/>
    <n v="344"/>
    <n v="2"/>
    <n v="688"/>
    <x v="40"/>
    <x v="13"/>
    <n v="208"/>
    <s v="Рыба"/>
    <s v="Балтийский берег"/>
    <n v="258.5128205128205"/>
    <n v="0.33068835548502284"/>
    <n v="2609"/>
  </r>
  <r>
    <n v="784"/>
    <n v="467"/>
    <n v="436"/>
    <n v="3"/>
    <n v="1308"/>
    <x v="148"/>
    <x v="5"/>
    <n v="343"/>
    <s v="Макароны"/>
    <s v="Борилла"/>
    <n v="265.47674418604652"/>
    <n v="0.64232841312250888"/>
    <n v="6852"/>
  </r>
  <r>
    <n v="785"/>
    <n v="184"/>
    <n v="79"/>
    <n v="4"/>
    <n v="316"/>
    <x v="316"/>
    <x v="1"/>
    <n v="394"/>
    <s v="Конфеты"/>
    <s v="Славянка"/>
    <n v="267.85483870967744"/>
    <n v="-0.7050641295839104"/>
    <n v="1608"/>
  </r>
  <r>
    <n v="786"/>
    <n v="265"/>
    <n v="339"/>
    <n v="3"/>
    <n v="1017"/>
    <x v="381"/>
    <x v="1"/>
    <n v="242"/>
    <s v="Мясо"/>
    <s v="Мираторг"/>
    <n v="271.74545454545455"/>
    <n v="0.24749096748293864"/>
    <n v="3799"/>
  </r>
  <r>
    <n v="787"/>
    <n v="130"/>
    <n v="319"/>
    <n v="3"/>
    <n v="957"/>
    <x v="285"/>
    <x v="19"/>
    <n v="56"/>
    <s v="Соль"/>
    <s v="Илецкая"/>
    <n v="264.8679245283019"/>
    <n v="0.20437384242769618"/>
    <n v="4287"/>
  </r>
  <r>
    <n v="788"/>
    <n v="443"/>
    <n v="348"/>
    <n v="3"/>
    <n v="1044"/>
    <x v="71"/>
    <x v="16"/>
    <n v="324"/>
    <s v="Кофе"/>
    <s v="Jacobs"/>
    <n v="249.02380952380952"/>
    <n v="0.3974567358256047"/>
    <n v="5248"/>
  </r>
  <r>
    <n v="789"/>
    <n v="408"/>
    <n v="60"/>
    <n v="4"/>
    <n v="240"/>
    <x v="229"/>
    <x v="7"/>
    <n v="486"/>
    <s v="Йогурт"/>
    <s v="Эрманн"/>
    <n v="263.25423728813558"/>
    <n v="-0.7720834406386814"/>
    <n v="4970"/>
  </r>
  <r>
    <n v="790"/>
    <n v="249"/>
    <n v="125"/>
    <n v="5"/>
    <n v="625"/>
    <x v="198"/>
    <x v="3"/>
    <n v="71"/>
    <s v="Чай"/>
    <s v="Lipton"/>
    <n v="271.18181818181819"/>
    <n v="-0.539054642976869"/>
    <n v="4943"/>
  </r>
  <r>
    <n v="791"/>
    <n v="241"/>
    <n v="490"/>
    <n v="1"/>
    <n v="490"/>
    <x v="310"/>
    <x v="7"/>
    <n v="299"/>
    <s v="Колбаса"/>
    <s v="Окраина"/>
    <n v="286.92307692307691"/>
    <n v="0.70777479892761397"/>
    <n v="3283"/>
  </r>
  <r>
    <n v="792"/>
    <n v="202"/>
    <n v="298"/>
    <n v="4"/>
    <n v="1192"/>
    <x v="367"/>
    <x v="16"/>
    <n v="265"/>
    <s v="Овощи"/>
    <s v="Овощной ряд"/>
    <n v="250.48780487804879"/>
    <n v="0.18967867575462516"/>
    <n v="5165"/>
  </r>
  <r>
    <n v="793"/>
    <n v="376"/>
    <n v="441"/>
    <n v="2"/>
    <n v="882"/>
    <x v="326"/>
    <x v="17"/>
    <n v="272"/>
    <s v="Конфеты"/>
    <s v="Красный Октябрь"/>
    <n v="267.85483870967744"/>
    <n v="0.64641416270247465"/>
    <n v="2189"/>
  </r>
  <r>
    <n v="794"/>
    <n v="371"/>
    <n v="126"/>
    <n v="5"/>
    <n v="630"/>
    <x v="403"/>
    <x v="5"/>
    <n v="371"/>
    <s v="Сахар"/>
    <s v="Русский сахар"/>
    <n v="254.58333333333334"/>
    <n v="-0.50507364975450086"/>
    <n v="4988"/>
  </r>
  <r>
    <n v="795"/>
    <n v="308"/>
    <n v="416"/>
    <n v="4"/>
    <n v="1664"/>
    <x v="258"/>
    <x v="6"/>
    <n v="360"/>
    <s v="Конфеты"/>
    <s v="Бабаевский"/>
    <n v="267.85483870967744"/>
    <n v="0.55308002649485144"/>
    <n v="6757"/>
  </r>
  <r>
    <n v="796"/>
    <n v="146"/>
    <n v="387"/>
    <n v="4"/>
    <n v="1548"/>
    <x v="22"/>
    <x v="2"/>
    <n v="368"/>
    <s v="Сок"/>
    <s v="Добрый"/>
    <n v="268.60344827586209"/>
    <n v="0.44078567302137484"/>
    <n v="2671"/>
  </r>
  <r>
    <n v="797"/>
    <n v="77"/>
    <n v="151"/>
    <n v="2"/>
    <n v="302"/>
    <x v="230"/>
    <x v="19"/>
    <n v="481"/>
    <s v="Макароны"/>
    <s v="Паста Зара"/>
    <n v="265.47674418604652"/>
    <n v="-0.43121194866628709"/>
    <n v="10237"/>
  </r>
  <r>
    <n v="798"/>
    <n v="407"/>
    <n v="157"/>
    <n v="3"/>
    <n v="471"/>
    <x v="404"/>
    <x v="1"/>
    <n v="354"/>
    <s v="Конфеты"/>
    <s v="Славянка"/>
    <n v="267.85483870967744"/>
    <n v="-0.41386162461612575"/>
    <n v="1608"/>
  </r>
  <r>
    <n v="799"/>
    <n v="357"/>
    <n v="55"/>
    <n v="5"/>
    <n v="275"/>
    <x v="74"/>
    <x v="16"/>
    <n v="8"/>
    <s v="Мясо"/>
    <s v="Снежана"/>
    <n v="271.74545454545455"/>
    <n v="-0.79760471029037872"/>
    <n v="4630"/>
  </r>
  <r>
    <n v="800"/>
    <n v="409"/>
    <n v="235"/>
    <n v="5"/>
    <n v="1175"/>
    <x v="110"/>
    <x v="8"/>
    <n v="1"/>
    <s v="Фрукты"/>
    <s v="Фруктовый Рай"/>
    <n v="274.16279069767444"/>
    <n v="-0.14284502502332685"/>
    <n v="3358"/>
  </r>
  <r>
    <n v="801"/>
    <n v="148"/>
    <n v="474"/>
    <n v="4"/>
    <n v="1896"/>
    <x v="295"/>
    <x v="11"/>
    <n v="333"/>
    <s v="Сок"/>
    <s v="Фруктовый сад"/>
    <n v="268.60344827586209"/>
    <n v="0.76468322742152872"/>
    <n v="9023"/>
  </r>
  <r>
    <n v="802"/>
    <n v="63"/>
    <n v="479"/>
    <n v="4"/>
    <n v="1916"/>
    <x v="89"/>
    <x v="3"/>
    <n v="396"/>
    <s v="Рыба"/>
    <s v="Балтийский берег"/>
    <n v="258.5128205128205"/>
    <n v="0.85290616941083131"/>
    <n v="2609"/>
  </r>
  <r>
    <n v="803"/>
    <n v="410"/>
    <n v="320"/>
    <n v="4"/>
    <n v="1280"/>
    <x v="211"/>
    <x v="8"/>
    <n v="401"/>
    <s v="Чипсы"/>
    <s v="Lay's"/>
    <n v="273.72549019607845"/>
    <n v="0.16905444126074487"/>
    <n v="2244"/>
  </r>
  <r>
    <n v="804"/>
    <n v="223"/>
    <n v="477"/>
    <n v="4"/>
    <n v="1908"/>
    <x v="242"/>
    <x v="7"/>
    <n v="121"/>
    <s v="Чай"/>
    <s v="Greenfield"/>
    <n v="271.18181818181819"/>
    <n v="0.75896748240026812"/>
    <n v="6412"/>
  </r>
  <r>
    <n v="805"/>
    <n v="35"/>
    <n v="277"/>
    <n v="4"/>
    <n v="1108"/>
    <x v="389"/>
    <x v="2"/>
    <n v="108"/>
    <s v="Крупа"/>
    <s v="Мистраль"/>
    <n v="255.11627906976744"/>
    <n v="8.5779398359161263E-2"/>
    <n v="3254"/>
  </r>
  <r>
    <n v="806"/>
    <n v="398"/>
    <n v="127"/>
    <n v="5"/>
    <n v="635"/>
    <x v="156"/>
    <x v="7"/>
    <n v="191"/>
    <s v="Сок"/>
    <s v="Фруктовый сад"/>
    <n v="268.60344827586209"/>
    <n v="-0.52718402978368317"/>
    <n v="9023"/>
  </r>
  <r>
    <n v="807"/>
    <n v="132"/>
    <n v="154"/>
    <n v="3"/>
    <n v="462"/>
    <x v="405"/>
    <x v="11"/>
    <n v="443"/>
    <s v="Рыба"/>
    <s v="Меридиан"/>
    <n v="258.5128205128205"/>
    <n v="-0.40428486411426301"/>
    <n v="4431"/>
  </r>
  <r>
    <n v="808"/>
    <n v="415"/>
    <n v="84"/>
    <n v="5"/>
    <n v="420"/>
    <x v="308"/>
    <x v="18"/>
    <n v="191"/>
    <s v="Чипсы"/>
    <s v="Pringles"/>
    <n v="273.72549019607845"/>
    <n v="-0.69312320916905446"/>
    <n v="5885"/>
  </r>
  <r>
    <n v="809"/>
    <n v="384"/>
    <n v="423"/>
    <n v="5"/>
    <n v="2115"/>
    <x v="255"/>
    <x v="17"/>
    <n v="249"/>
    <s v="Сахар"/>
    <s v="Сладов"/>
    <n v="254.58333333333334"/>
    <n v="0.66153846153846141"/>
    <n v="3604"/>
  </r>
  <r>
    <n v="810"/>
    <n v="311"/>
    <n v="470"/>
    <n v="2"/>
    <n v="940"/>
    <x v="313"/>
    <x v="11"/>
    <n v="418"/>
    <s v="Макароны"/>
    <s v="Паста Зара"/>
    <n v="265.47674418604652"/>
    <n v="0.77039989487976879"/>
    <n v="10237"/>
  </r>
  <r>
    <n v="811"/>
    <n v="328"/>
    <n v="59"/>
    <n v="1"/>
    <n v="59"/>
    <x v="140"/>
    <x v="14"/>
    <n v="126"/>
    <s v="Чипсы"/>
    <s v="Русская картошка"/>
    <n v="273.72549019607845"/>
    <n v="-0.78445558739255017"/>
    <n v="2902"/>
  </r>
  <r>
    <n v="812"/>
    <n v="74"/>
    <n v="332"/>
    <n v="3"/>
    <n v="996"/>
    <x v="67"/>
    <x v="16"/>
    <n v="497"/>
    <s v="Колбаса"/>
    <s v="Черкизово"/>
    <n v="286.92307692307691"/>
    <n v="0.15710455764075082"/>
    <n v="1281"/>
  </r>
  <r>
    <n v="813"/>
    <n v="152"/>
    <n v="94"/>
    <n v="5"/>
    <n v="470"/>
    <x v="91"/>
    <x v="16"/>
    <n v="332"/>
    <s v="Печенье"/>
    <s v="Белогорье"/>
    <n v="283.468085106383"/>
    <n v="-0.66839300457854844"/>
    <n v="3493"/>
  </r>
  <r>
    <n v="814"/>
    <n v="319"/>
    <n v="148"/>
    <n v="1"/>
    <n v="148"/>
    <x v="277"/>
    <x v="6"/>
    <n v="445"/>
    <s v="Йогурт"/>
    <s v="Эрманн"/>
    <n v="263.25423728813558"/>
    <n v="-0.43780582024208081"/>
    <n v="4970"/>
  </r>
  <r>
    <n v="815"/>
    <n v="19"/>
    <n v="378"/>
    <n v="2"/>
    <n v="756"/>
    <x v="365"/>
    <x v="15"/>
    <n v="167"/>
    <s v="Мясо"/>
    <s v="Снежана"/>
    <n v="271.74545454545455"/>
    <n v="0.39100762745885187"/>
    <n v="4630"/>
  </r>
  <r>
    <n v="816"/>
    <n v="242"/>
    <n v="265"/>
    <n v="4"/>
    <n v="1060"/>
    <x v="292"/>
    <x v="19"/>
    <n v="415"/>
    <s v="Овощи"/>
    <s v="Овощной ряд"/>
    <n v="250.48780487804879"/>
    <n v="5.7935735150924872E-2"/>
    <n v="5165"/>
  </r>
  <r>
    <n v="817"/>
    <n v="354"/>
    <n v="431"/>
    <n v="1"/>
    <n v="431"/>
    <x v="406"/>
    <x v="12"/>
    <n v="229"/>
    <s v="Чай"/>
    <s v="Lipton"/>
    <n v="271.18181818181819"/>
    <n v="0.58933959101575595"/>
    <n v="4943"/>
  </r>
  <r>
    <n v="818"/>
    <n v="354"/>
    <n v="382"/>
    <n v="4"/>
    <n v="1528"/>
    <x v="79"/>
    <x v="8"/>
    <n v="119"/>
    <s v="Чай"/>
    <s v="Lipton"/>
    <n v="271.18181818181819"/>
    <n v="0.40864901106268858"/>
    <n v="4943"/>
  </r>
  <r>
    <n v="819"/>
    <n v="245"/>
    <n v="281"/>
    <n v="1"/>
    <n v="281"/>
    <x v="257"/>
    <x v="3"/>
    <n v="341"/>
    <s v="Сахар"/>
    <s v="Продимекс"/>
    <n v="254.58333333333334"/>
    <n v="0.10376432078559739"/>
    <n v="5172"/>
  </r>
  <r>
    <n v="820"/>
    <n v="386"/>
    <n v="149"/>
    <n v="5"/>
    <n v="745"/>
    <x v="130"/>
    <x v="0"/>
    <n v="407"/>
    <s v="Крупа"/>
    <s v="Увелка"/>
    <n v="255.11627906976744"/>
    <n v="-0.41595259799453055"/>
    <n v="3023"/>
  </r>
  <r>
    <n v="821"/>
    <n v="434"/>
    <n v="257"/>
    <n v="2"/>
    <n v="514"/>
    <x v="407"/>
    <x v="2"/>
    <n v="264"/>
    <s v="Сыр"/>
    <s v="Сырная долина"/>
    <n v="261.03225806451616"/>
    <n v="-1.5447355412753438E-2"/>
    <n v="8943"/>
  </r>
  <r>
    <n v="822"/>
    <n v="402"/>
    <n v="218"/>
    <n v="1"/>
    <n v="218"/>
    <x v="198"/>
    <x v="6"/>
    <n v="91"/>
    <s v="Хлеб"/>
    <s v="Каравай"/>
    <n v="300.31818181818181"/>
    <n v="-0.27410322385348873"/>
    <n v="3974"/>
  </r>
  <r>
    <n v="823"/>
    <n v="326"/>
    <n v="198"/>
    <n v="2"/>
    <n v="396"/>
    <x v="194"/>
    <x v="2"/>
    <n v="362"/>
    <s v="Крупа"/>
    <s v="Увелка"/>
    <n v="255.11627906976744"/>
    <n v="-0.22388331814038287"/>
    <n v="3023"/>
  </r>
  <r>
    <n v="824"/>
    <n v="491"/>
    <n v="111"/>
    <n v="4"/>
    <n v="444"/>
    <x v="285"/>
    <x v="1"/>
    <n v="473"/>
    <s v="Овощи"/>
    <s v="Зеленая грядка"/>
    <n v="250.48780487804879"/>
    <n v="-0.5568646543330088"/>
    <n v="796"/>
  </r>
  <r>
    <n v="825"/>
    <n v="240"/>
    <n v="306"/>
    <n v="5"/>
    <n v="1530"/>
    <x v="408"/>
    <x v="19"/>
    <n v="482"/>
    <s v="Макароны"/>
    <s v="Борилла"/>
    <n v="265.47674418604652"/>
    <n v="0.15264333581533873"/>
    <n v="6852"/>
  </r>
  <r>
    <n v="826"/>
    <n v="352"/>
    <n v="391"/>
    <n v="1"/>
    <n v="391"/>
    <x v="26"/>
    <x v="12"/>
    <n v="367"/>
    <s v="Йогурт"/>
    <s v="Эрманн"/>
    <n v="263.25423728813558"/>
    <n v="0.48525624517125943"/>
    <n v="4970"/>
  </r>
  <r>
    <n v="827"/>
    <n v="305"/>
    <n v="252"/>
    <n v="1"/>
    <n v="252"/>
    <x v="152"/>
    <x v="10"/>
    <n v="172"/>
    <s v="Печенье"/>
    <s v="Посиделкино"/>
    <n v="283.468085106383"/>
    <n v="-0.11101103355100206"/>
    <n v="3538"/>
  </r>
  <r>
    <n v="828"/>
    <n v="269"/>
    <n v="398"/>
    <n v="4"/>
    <n v="1592"/>
    <x v="137"/>
    <x v="15"/>
    <n v="466"/>
    <s v="Сахар"/>
    <s v="Русский сахар"/>
    <n v="254.58333333333334"/>
    <n v="0.56333878887070377"/>
    <n v="4988"/>
  </r>
  <r>
    <n v="829"/>
    <n v="380"/>
    <n v="100"/>
    <n v="2"/>
    <n v="200"/>
    <x v="95"/>
    <x v="9"/>
    <n v="57"/>
    <s v="Конфеты"/>
    <s v="Бабаевский"/>
    <n v="267.85483870967744"/>
    <n v="-0.62666345516950683"/>
    <n v="6757"/>
  </r>
  <r>
    <n v="394"/>
    <n v="206"/>
    <n v="226"/>
    <n v="2"/>
    <n v="452"/>
    <x v="131"/>
    <x v="7"/>
    <n v="357"/>
    <s v="Молоко"/>
    <s v="Домик в деревне"/>
    <n v="294.95238095238096"/>
    <n v="0.16968033580884723"/>
    <n v="4946"/>
  </r>
  <r>
    <n v="831"/>
    <n v="183"/>
    <n v="286"/>
    <n v="2"/>
    <n v="572"/>
    <x v="173"/>
    <x v="14"/>
    <n v="11"/>
    <s v="Конфеты"/>
    <s v="Бабаевский"/>
    <n v="267.85483870967744"/>
    <n v="6.774251821521049E-2"/>
    <n v="6757"/>
  </r>
  <r>
    <n v="832"/>
    <n v="65"/>
    <n v="201"/>
    <n v="2"/>
    <n v="402"/>
    <x v="386"/>
    <x v="1"/>
    <n v="125"/>
    <s v="Хлеб"/>
    <s v="Хлебный Дом"/>
    <n v="300.31818181818181"/>
    <n v="-0.33070985318601487"/>
    <n v="4226"/>
  </r>
  <r>
    <n v="833"/>
    <n v="425"/>
    <n v="258"/>
    <n v="4"/>
    <n v="1032"/>
    <x v="407"/>
    <x v="15"/>
    <n v="72"/>
    <s v="Соль"/>
    <s v="Экстра"/>
    <n v="264.8679245283019"/>
    <n v="-2.5929619603932252E-2"/>
    <n v="4171"/>
  </r>
  <r>
    <n v="834"/>
    <n v="230"/>
    <n v="179"/>
    <n v="4"/>
    <n v="716"/>
    <x v="409"/>
    <x v="19"/>
    <n v="68"/>
    <s v="Сок"/>
    <s v="Фруктовый сад"/>
    <n v="268.60344827586209"/>
    <n v="-0.33359008922267164"/>
    <n v="9023"/>
  </r>
  <r>
    <n v="835"/>
    <n v="497"/>
    <n v="113"/>
    <n v="2"/>
    <n v="226"/>
    <x v="262"/>
    <x v="17"/>
    <n v="219"/>
    <s v="Конфеты"/>
    <s v="Бабаевский"/>
    <n v="267.85483870967744"/>
    <n v="-0.57812970434154276"/>
    <n v="6757"/>
  </r>
  <r>
    <n v="836"/>
    <n v="82"/>
    <n v="73"/>
    <n v="1"/>
    <n v="73"/>
    <x v="410"/>
    <x v="8"/>
    <n v="218"/>
    <s v="Сыр"/>
    <s v="Hochland"/>
    <n v="261.03225806451616"/>
    <n v="-0.72034107760751365"/>
    <n v="504"/>
  </r>
  <r>
    <n v="837"/>
    <n v="104"/>
    <n v="420"/>
    <n v="2"/>
    <n v="840"/>
    <x v="189"/>
    <x v="2"/>
    <n v="26"/>
    <s v="Йогурт"/>
    <s v="Ростагроэкспорт"/>
    <n v="263.25423728813558"/>
    <n v="0.59541591552923001"/>
    <n v="5929"/>
  </r>
  <r>
    <n v="838"/>
    <n v="364"/>
    <n v="496"/>
    <n v="1"/>
    <n v="496"/>
    <x v="411"/>
    <x v="2"/>
    <n v="417"/>
    <s v="Сахар"/>
    <s v="Русский сахар"/>
    <n v="254.58333333333334"/>
    <n v="0.94828150572831427"/>
    <n v="4988"/>
  </r>
  <r>
    <n v="483"/>
    <n v="334"/>
    <n v="309"/>
    <n v="5"/>
    <n v="1545"/>
    <x v="371"/>
    <x v="7"/>
    <n v="39"/>
    <s v="Молоко"/>
    <s v="Домик в деревне"/>
    <n v="294.95238095238096"/>
    <n v="-0.30836293186955122"/>
    <n v="4946"/>
  </r>
  <r>
    <n v="840"/>
    <n v="356"/>
    <n v="97"/>
    <n v="2"/>
    <n v="194"/>
    <x v="9"/>
    <x v="3"/>
    <n v="491"/>
    <s v="Печенье"/>
    <s v="Посиделкино"/>
    <n v="283.468085106383"/>
    <n v="-0.65780980259701272"/>
    <n v="3538"/>
  </r>
  <r>
    <n v="841"/>
    <n v="446"/>
    <n v="445"/>
    <n v="5"/>
    <n v="2225"/>
    <x v="69"/>
    <x v="15"/>
    <n v="307"/>
    <s v="Чипсы"/>
    <s v="Lay's"/>
    <n v="273.72549019607845"/>
    <n v="0.62571633237822333"/>
    <n v="2244"/>
  </r>
  <r>
    <n v="842"/>
    <n v="88"/>
    <n v="206"/>
    <n v="4"/>
    <n v="824"/>
    <x v="397"/>
    <x v="15"/>
    <n v="492"/>
    <s v="Крупа"/>
    <s v="Мистраль"/>
    <n v="255.11627906976744"/>
    <n v="-0.1925250683682771"/>
    <n v="3254"/>
  </r>
  <r>
    <n v="843"/>
    <n v="347"/>
    <n v="265"/>
    <n v="1"/>
    <n v="265"/>
    <x v="28"/>
    <x v="11"/>
    <n v="264"/>
    <s v="Макароны"/>
    <s v="Паста Зара"/>
    <n v="265.47674418604652"/>
    <n v="-1.7958039507687262E-3"/>
    <n v="10237"/>
  </r>
  <r>
    <n v="844"/>
    <n v="342"/>
    <n v="269"/>
    <n v="4"/>
    <n v="1076"/>
    <x v="412"/>
    <x v="13"/>
    <n v="190"/>
    <s v="Овощи"/>
    <s v="Овощной ряд"/>
    <n v="250.48780487804879"/>
    <n v="7.3904576436222058E-2"/>
    <n v="5165"/>
  </r>
  <r>
    <n v="941"/>
    <n v="44"/>
    <n v="439"/>
    <n v="5"/>
    <n v="2195"/>
    <x v="302"/>
    <x v="6"/>
    <n v="469"/>
    <s v="Молоко"/>
    <s v="Беллакт"/>
    <n v="294.95238095238096"/>
    <n v="5.1017113335485975E-2"/>
    <n v="3548"/>
  </r>
  <r>
    <n v="846"/>
    <n v="69"/>
    <n v="197"/>
    <n v="2"/>
    <n v="394"/>
    <x v="362"/>
    <x v="13"/>
    <n v="125"/>
    <s v="Чипсы"/>
    <s v="Estrella"/>
    <n v="273.72549019607845"/>
    <n v="-0.28030085959885398"/>
    <n v="2929"/>
  </r>
  <r>
    <n v="715"/>
    <n v="369"/>
    <n v="202"/>
    <n v="5"/>
    <n v="1010"/>
    <x v="390"/>
    <x v="13"/>
    <n v="321"/>
    <s v="Молоко"/>
    <s v="Домик в деревне"/>
    <n v="294.95238095238096"/>
    <n v="0.34258960284145945"/>
    <n v="4946"/>
  </r>
  <r>
    <n v="848"/>
    <n v="319"/>
    <n v="193"/>
    <n v="1"/>
    <n v="193"/>
    <x v="194"/>
    <x v="7"/>
    <n v="43"/>
    <s v="Йогурт"/>
    <s v="Эрманн"/>
    <n v="263.25423728813558"/>
    <n v="-0.26686840072109197"/>
    <n v="4970"/>
  </r>
  <r>
    <n v="849"/>
    <n v="59"/>
    <n v="150"/>
    <n v="4"/>
    <n v="600"/>
    <x v="393"/>
    <x v="9"/>
    <n v="343"/>
    <s v="Сахар"/>
    <s v="Продимекс"/>
    <n v="254.58333333333334"/>
    <n v="-0.41080196399345337"/>
    <n v="5172"/>
  </r>
  <r>
    <n v="850"/>
    <n v="16"/>
    <n v="207"/>
    <n v="2"/>
    <n v="414"/>
    <x v="171"/>
    <x v="3"/>
    <n v="26"/>
    <s v="Сыр"/>
    <s v="Сырная долина"/>
    <n v="261.03225806451616"/>
    <n v="-0.20699456253089477"/>
    <n v="8943"/>
  </r>
  <r>
    <n v="851"/>
    <n v="220"/>
    <n v="305"/>
    <n v="4"/>
    <n v="1220"/>
    <x v="413"/>
    <x v="6"/>
    <n v="306"/>
    <s v="Чай"/>
    <s v="Тесс"/>
    <n v="271.18181818181819"/>
    <n v="0.12470667113643974"/>
    <n v="1127"/>
  </r>
  <r>
    <n v="761"/>
    <n v="151"/>
    <n v="239"/>
    <n v="2"/>
    <n v="478"/>
    <x v="413"/>
    <x v="6"/>
    <n v="386"/>
    <s v="Молоко"/>
    <s v="Беллакт"/>
    <n v="294.95238095238096"/>
    <n v="-5.0694220213109542E-2"/>
    <n v="3548"/>
  </r>
  <r>
    <n v="853"/>
    <n v="118"/>
    <n v="466"/>
    <n v="3"/>
    <n v="1398"/>
    <x v="15"/>
    <x v="14"/>
    <n v="188"/>
    <s v="Сахар"/>
    <s v="Продимекс"/>
    <n v="254.58333333333334"/>
    <n v="0.83044189852700478"/>
    <n v="5172"/>
  </r>
  <r>
    <n v="854"/>
    <n v="207"/>
    <n v="57"/>
    <n v="2"/>
    <n v="114"/>
    <x v="317"/>
    <x v="13"/>
    <n v="152"/>
    <s v="Сахар"/>
    <s v="Агросахар"/>
    <n v="254.58333333333334"/>
    <n v="-0.77610474631751225"/>
    <n v="1511"/>
  </r>
  <r>
    <n v="855"/>
    <n v="239"/>
    <n v="397"/>
    <n v="2"/>
    <n v="794"/>
    <x v="48"/>
    <x v="6"/>
    <n v="65"/>
    <s v="Йогурт"/>
    <s v="Эрманн"/>
    <n v="263.25423728813558"/>
    <n v="0.50804790110739129"/>
    <n v="4970"/>
  </r>
  <r>
    <n v="856"/>
    <n v="367"/>
    <n v="289"/>
    <n v="1"/>
    <n v="289"/>
    <x v="146"/>
    <x v="1"/>
    <n v="281"/>
    <s v="Колбаса"/>
    <s v="Окраина"/>
    <n v="286.92307692307691"/>
    <n v="7.238605898123307E-3"/>
    <n v="3283"/>
  </r>
  <r>
    <n v="857"/>
    <n v="87"/>
    <n v="191"/>
    <n v="3"/>
    <n v="573"/>
    <x v="30"/>
    <x v="18"/>
    <n v="430"/>
    <s v="Кофе"/>
    <s v="Jacobs"/>
    <n v="249.02380952380952"/>
    <n v="-0.23300506740606175"/>
    <n v="5248"/>
  </r>
  <r>
    <n v="858"/>
    <n v="309"/>
    <n v="244"/>
    <n v="3"/>
    <n v="732"/>
    <x v="265"/>
    <x v="19"/>
    <n v="299"/>
    <s v="Конфеты"/>
    <s v="Рот Фронт"/>
    <n v="267.85483870967744"/>
    <n v="-8.9058830613596762E-2"/>
    <n v="6053"/>
  </r>
  <r>
    <n v="859"/>
    <n v="271"/>
    <n v="392"/>
    <n v="3"/>
    <n v="1176"/>
    <x v="130"/>
    <x v="11"/>
    <n v="132"/>
    <s v="Сыр"/>
    <s v="Сырная долина"/>
    <n v="261.03225806451616"/>
    <n v="0.50173010380622829"/>
    <n v="8943"/>
  </r>
  <r>
    <n v="860"/>
    <n v="354"/>
    <n v="493"/>
    <n v="2"/>
    <n v="986"/>
    <x v="414"/>
    <x v="16"/>
    <n v="68"/>
    <s v="Чай"/>
    <s v="Lipton"/>
    <n v="271.18181818181819"/>
    <n v="0.81796848809922884"/>
    <n v="4943"/>
  </r>
  <r>
    <n v="861"/>
    <n v="266"/>
    <n v="339"/>
    <n v="5"/>
    <n v="1695"/>
    <x v="365"/>
    <x v="1"/>
    <n v="42"/>
    <s v="Рыба"/>
    <s v="Меридиан"/>
    <n v="258.5128205128205"/>
    <n v="0.31134695496925224"/>
    <n v="4431"/>
  </r>
  <r>
    <n v="862"/>
    <n v="441"/>
    <n v="316"/>
    <n v="4"/>
    <n v="1264"/>
    <x v="305"/>
    <x v="14"/>
    <n v="488"/>
    <s v="Чай"/>
    <s v="Lipton"/>
    <n v="271.18181818181819"/>
    <n v="0.16526986255447529"/>
    <n v="4943"/>
  </r>
  <r>
    <n v="863"/>
    <n v="245"/>
    <n v="284"/>
    <n v="4"/>
    <n v="1136"/>
    <x v="205"/>
    <x v="7"/>
    <n v="324"/>
    <s v="Сахар"/>
    <s v="Продимекс"/>
    <n v="254.58333333333334"/>
    <n v="0.11554828150572827"/>
    <n v="5172"/>
  </r>
  <r>
    <n v="903"/>
    <n v="369"/>
    <n v="379"/>
    <n v="5"/>
    <n v="1895"/>
    <x v="80"/>
    <x v="16"/>
    <n v="267"/>
    <s v="Молоко"/>
    <s v="Домик в деревне"/>
    <n v="294.95238095238096"/>
    <n v="0.6951888924765901"/>
    <n v="4946"/>
  </r>
  <r>
    <n v="865"/>
    <n v="176"/>
    <n v="217"/>
    <n v="4"/>
    <n v="868"/>
    <x v="415"/>
    <x v="4"/>
    <n v="313"/>
    <s v="Сахар"/>
    <s v="Продимекс"/>
    <n v="254.58333333333334"/>
    <n v="-0.14762684124386261"/>
    <n v="5172"/>
  </r>
  <r>
    <n v="866"/>
    <n v="467"/>
    <n v="72"/>
    <n v="2"/>
    <n v="144"/>
    <x v="416"/>
    <x v="5"/>
    <n v="233"/>
    <s v="Макароны"/>
    <s v="Борилла"/>
    <n v="265.47674418604652"/>
    <n v="-0.72878980333756727"/>
    <n v="6852"/>
  </r>
  <r>
    <n v="867"/>
    <n v="237"/>
    <n v="121"/>
    <n v="3"/>
    <n v="363"/>
    <x v="417"/>
    <x v="18"/>
    <n v="77"/>
    <s v="Конфеты"/>
    <s v="Рот Фронт"/>
    <n v="267.85483870967744"/>
    <n v="-0.54826278075510326"/>
    <n v="6053"/>
  </r>
  <r>
    <n v="868"/>
    <n v="300"/>
    <n v="140"/>
    <n v="4"/>
    <n v="560"/>
    <x v="324"/>
    <x v="9"/>
    <n v="107"/>
    <s v="Сахар"/>
    <s v="Продимекс"/>
    <n v="254.58333333333334"/>
    <n v="-0.45008183306055649"/>
    <n v="5172"/>
  </r>
  <r>
    <n v="869"/>
    <n v="137"/>
    <n v="295"/>
    <n v="2"/>
    <n v="590"/>
    <x v="418"/>
    <x v="13"/>
    <n v="375"/>
    <s v="Фрукты"/>
    <s v="Экзотик"/>
    <n v="274.16279069767444"/>
    <n v="7.6003053694121636E-2"/>
    <n v="4059"/>
  </r>
  <r>
    <n v="870"/>
    <n v="194"/>
    <n v="325"/>
    <n v="4"/>
    <n v="1300"/>
    <x v="408"/>
    <x v="12"/>
    <n v="62"/>
    <s v="Соль"/>
    <s v="Салта"/>
    <n v="264.8679245283019"/>
    <n v="0.22702664197179079"/>
    <n v="2737"/>
  </r>
  <r>
    <n v="871"/>
    <n v="215"/>
    <n v="147"/>
    <n v="3"/>
    <n v="441"/>
    <x v="319"/>
    <x v="5"/>
    <n v="368"/>
    <s v="Сок"/>
    <s v="Фруктовый сад"/>
    <n v="268.60344827586209"/>
    <n v="-0.45272482187560181"/>
    <n v="9023"/>
  </r>
  <r>
    <n v="872"/>
    <n v="307"/>
    <n v="419"/>
    <n v="1"/>
    <n v="419"/>
    <x v="80"/>
    <x v="17"/>
    <n v="64"/>
    <s v="Сыр"/>
    <s v="Карат"/>
    <n v="261.03225806451616"/>
    <n v="0.60516559565002459"/>
    <n v="2802"/>
  </r>
  <r>
    <n v="873"/>
    <n v="424"/>
    <n v="457"/>
    <n v="1"/>
    <n v="457"/>
    <x v="26"/>
    <x v="10"/>
    <n v="286"/>
    <s v="Печенье"/>
    <s v="КДВ"/>
    <n v="283.468085106383"/>
    <n v="0.61217443518726999"/>
    <n v="4200"/>
  </r>
  <r>
    <n v="874"/>
    <n v="439"/>
    <n v="392"/>
    <n v="2"/>
    <n v="784"/>
    <x v="415"/>
    <x v="7"/>
    <n v="74"/>
    <s v="Сок"/>
    <s v="Добрый"/>
    <n v="268.60344827586209"/>
    <n v="0.45940047499839509"/>
    <n v="2671"/>
  </r>
  <r>
    <n v="875"/>
    <n v="83"/>
    <n v="282"/>
    <n v="5"/>
    <n v="1410"/>
    <x v="419"/>
    <x v="4"/>
    <n v="6"/>
    <s v="Сок"/>
    <s v="Сады Придонья"/>
    <n v="268.60344827586209"/>
    <n v="4.9874831503947448E-2"/>
    <n v="2796"/>
  </r>
  <r>
    <n v="876"/>
    <n v="329"/>
    <n v="265"/>
    <n v="2"/>
    <n v="530"/>
    <x v="152"/>
    <x v="14"/>
    <n v="258"/>
    <s v="Соль"/>
    <s v="Славянская"/>
    <n v="264.8679245283019"/>
    <n v="4.9864653084474853E-4"/>
    <n v="2843"/>
  </r>
  <r>
    <n v="877"/>
    <n v="91"/>
    <n v="146"/>
    <n v="1"/>
    <n v="146"/>
    <x v="180"/>
    <x v="16"/>
    <n v="138"/>
    <s v="Сыр"/>
    <s v="Сырная долина"/>
    <n v="261.03225806451616"/>
    <n v="-0.44068215521502729"/>
    <n v="8943"/>
  </r>
  <r>
    <n v="878"/>
    <n v="296"/>
    <n v="58"/>
    <n v="2"/>
    <n v="116"/>
    <x v="420"/>
    <x v="0"/>
    <n v="419"/>
    <s v="Крупа"/>
    <s v="Мистраль"/>
    <n v="255.11627906976744"/>
    <n v="-0.7726526891522334"/>
    <n v="3254"/>
  </r>
  <r>
    <n v="879"/>
    <n v="437"/>
    <n v="379"/>
    <n v="2"/>
    <n v="758"/>
    <x v="34"/>
    <x v="17"/>
    <n v="148"/>
    <s v="Чай"/>
    <s v="Тесс"/>
    <n v="271.18181818181819"/>
    <n v="0.39758632249413339"/>
    <n v="1127"/>
  </r>
  <r>
    <n v="880"/>
    <n v="193"/>
    <n v="201"/>
    <n v="4"/>
    <n v="804"/>
    <x v="337"/>
    <x v="6"/>
    <n v="105"/>
    <s v="Соль"/>
    <s v="Салта"/>
    <n v="264.8679245283019"/>
    <n v="-0.24113121527283088"/>
    <n v="2737"/>
  </r>
  <r>
    <n v="881"/>
    <n v="144"/>
    <n v="337"/>
    <n v="3"/>
    <n v="1011"/>
    <x v="102"/>
    <x v="16"/>
    <n v="365"/>
    <s v="Макароны"/>
    <s v="Роллтон"/>
    <n v="265.47674418604652"/>
    <n v="0.2694143927116639"/>
    <n v="2120"/>
  </r>
  <r>
    <n v="882"/>
    <n v="27"/>
    <n v="160"/>
    <n v="1"/>
    <n v="160"/>
    <x v="162"/>
    <x v="8"/>
    <n v="416"/>
    <s v="Макароны"/>
    <s v="Паста Зара"/>
    <n v="265.47674418604652"/>
    <n v="-0.39731067408348297"/>
    <n v="10237"/>
  </r>
  <r>
    <n v="883"/>
    <n v="375"/>
    <n v="197"/>
    <n v="5"/>
    <n v="985"/>
    <x v="27"/>
    <x v="7"/>
    <n v="315"/>
    <s v="Макароны"/>
    <s v="Борилла"/>
    <n v="265.47674418604652"/>
    <n v="-0.25793876746528843"/>
    <n v="6852"/>
  </r>
  <r>
    <n v="884"/>
    <n v="453"/>
    <n v="437"/>
    <n v="2"/>
    <n v="874"/>
    <x v="11"/>
    <x v="17"/>
    <n v="81"/>
    <s v="Макароны"/>
    <s v="Макфа"/>
    <n v="265.47674418604652"/>
    <n v="0.64609522140948705"/>
    <n v="3622"/>
  </r>
  <r>
    <n v="885"/>
    <n v="388"/>
    <n v="205"/>
    <n v="2"/>
    <n v="410"/>
    <x v="360"/>
    <x v="13"/>
    <n v="262"/>
    <s v="Рыба"/>
    <s v="Меридиан"/>
    <n v="258.5128205128205"/>
    <n v="-0.20700257885340201"/>
    <n v="4431"/>
  </r>
  <r>
    <n v="886"/>
    <n v="312"/>
    <n v="476"/>
    <n v="2"/>
    <n v="952"/>
    <x v="370"/>
    <x v="16"/>
    <n v="239"/>
    <s v="Хлеб"/>
    <s v="Каравай"/>
    <n v="300.31818181818181"/>
    <n v="0.58498562131073117"/>
    <n v="3974"/>
  </r>
  <r>
    <n v="887"/>
    <n v="486"/>
    <n v="230"/>
    <n v="2"/>
    <n v="460"/>
    <x v="272"/>
    <x v="1"/>
    <n v="358"/>
    <s v="Соль"/>
    <s v="Илецкая"/>
    <n v="264.8679245283019"/>
    <n v="-0.13164268414304037"/>
    <n v="4287"/>
  </r>
  <r>
    <n v="888"/>
    <n v="295"/>
    <n v="219"/>
    <n v="5"/>
    <n v="1095"/>
    <x v="153"/>
    <x v="11"/>
    <n v="331"/>
    <s v="Печенье"/>
    <s v="Белогорье"/>
    <n v="283.468085106383"/>
    <n v="-0.22742625534789462"/>
    <n v="3493"/>
  </r>
  <r>
    <n v="889"/>
    <n v="1"/>
    <n v="206"/>
    <n v="3"/>
    <n v="618"/>
    <x v="291"/>
    <x v="5"/>
    <n v="31"/>
    <s v="Крупа"/>
    <s v="Ярмарка"/>
    <n v="255.11627906976744"/>
    <n v="-0.1925250683682771"/>
    <n v="2773"/>
  </r>
  <r>
    <n v="890"/>
    <n v="347"/>
    <n v="343"/>
    <n v="3"/>
    <n v="1029"/>
    <x v="421"/>
    <x v="2"/>
    <n v="74"/>
    <s v="Макароны"/>
    <s v="Паста Зара"/>
    <n v="265.47674418604652"/>
    <n v="0.29201524243353338"/>
    <n v="10237"/>
  </r>
  <r>
    <n v="891"/>
    <n v="308"/>
    <n v="147"/>
    <n v="2"/>
    <n v="294"/>
    <x v="208"/>
    <x v="11"/>
    <n v="80"/>
    <s v="Конфеты"/>
    <s v="Бабаевский"/>
    <n v="267.85483870967744"/>
    <n v="-0.45119527909917512"/>
    <n v="6757"/>
  </r>
  <r>
    <n v="892"/>
    <n v="52"/>
    <n v="423"/>
    <n v="3"/>
    <n v="1269"/>
    <x v="339"/>
    <x v="6"/>
    <n v="496"/>
    <s v="Соль"/>
    <s v="Илецкая"/>
    <n v="264.8679245283019"/>
    <n v="0.59702236785866925"/>
    <n v="4287"/>
  </r>
  <r>
    <n v="893"/>
    <n v="75"/>
    <n v="494"/>
    <n v="4"/>
    <n v="1976"/>
    <x v="422"/>
    <x v="3"/>
    <n v="477"/>
    <s v="Печенье"/>
    <s v="Белогорье"/>
    <n v="283.468085106383"/>
    <n v="0.7427005929595436"/>
    <n v="3493"/>
  </r>
  <r>
    <n v="894"/>
    <n v="148"/>
    <n v="270"/>
    <n v="2"/>
    <n v="540"/>
    <x v="298"/>
    <x v="5"/>
    <n v="196"/>
    <s v="Сок"/>
    <s v="Фруктовый сад"/>
    <n v="268.60344827586209"/>
    <n v="5.199306759098743E-3"/>
    <n v="9023"/>
  </r>
  <r>
    <n v="895"/>
    <n v="481"/>
    <n v="470"/>
    <n v="2"/>
    <n v="940"/>
    <x v="423"/>
    <x v="1"/>
    <n v="400"/>
    <s v="Чипсы"/>
    <s v="Pringles"/>
    <n v="273.72549019607845"/>
    <n v="0.71704871060171915"/>
    <n v="5885"/>
  </r>
  <r>
    <n v="896"/>
    <n v="194"/>
    <n v="278"/>
    <n v="4"/>
    <n v="1112"/>
    <x v="373"/>
    <x v="9"/>
    <n v="271"/>
    <s v="Соль"/>
    <s v="Салта"/>
    <n v="264.8679245283019"/>
    <n v="4.9579712209716353E-2"/>
    <n v="2737"/>
  </r>
  <r>
    <n v="897"/>
    <n v="422"/>
    <n v="244"/>
    <n v="3"/>
    <n v="732"/>
    <x v="246"/>
    <x v="5"/>
    <n v="265"/>
    <s v="Кофе"/>
    <s v="Nescafe"/>
    <n v="249.02380952380952"/>
    <n v="-2.0174012811932318E-2"/>
    <n v="2569"/>
  </r>
  <r>
    <n v="898"/>
    <n v="52"/>
    <n v="142"/>
    <n v="3"/>
    <n v="426"/>
    <x v="366"/>
    <x v="10"/>
    <n v="366"/>
    <s v="Соль"/>
    <s v="Илецкая"/>
    <n v="264.8679245283019"/>
    <n v="-0.46388374412309452"/>
    <n v="4287"/>
  </r>
  <r>
    <n v="899"/>
    <n v="73"/>
    <n v="160"/>
    <n v="4"/>
    <n v="640"/>
    <x v="401"/>
    <x v="4"/>
    <n v="302"/>
    <s v="Хлеб"/>
    <s v="Дарница"/>
    <n v="300.31818181818181"/>
    <n v="-0.46723172392916601"/>
    <n v="1848"/>
  </r>
  <r>
    <n v="900"/>
    <n v="208"/>
    <n v="476"/>
    <n v="5"/>
    <n v="2380"/>
    <x v="3"/>
    <x v="18"/>
    <n v="326"/>
    <s v="Конфеты"/>
    <s v="Славянка"/>
    <n v="267.85483870967744"/>
    <n v="0.77708195339314745"/>
    <n v="1608"/>
  </r>
  <r>
    <n v="901"/>
    <n v="458"/>
    <n v="343"/>
    <n v="3"/>
    <n v="1029"/>
    <x v="186"/>
    <x v="12"/>
    <n v="282"/>
    <s v="Макароны"/>
    <s v="Борилла"/>
    <n v="265.47674418604652"/>
    <n v="0.29201524243353338"/>
    <n v="6852"/>
  </r>
  <r>
    <n v="902"/>
    <n v="444"/>
    <n v="328"/>
    <n v="3"/>
    <n v="984"/>
    <x v="248"/>
    <x v="19"/>
    <n v="292"/>
    <s v="Йогурт"/>
    <s v="Эрманн"/>
    <n v="263.25423728813558"/>
    <n v="0.24594385784187489"/>
    <n v="4970"/>
  </r>
  <r>
    <n v="264"/>
    <n v="222"/>
    <n v="500"/>
    <n v="2"/>
    <n v="1000"/>
    <x v="266"/>
    <x v="18"/>
    <n v="9"/>
    <s v="Молоко"/>
    <s v="Простоквашино"/>
    <n v="294.95238095238096"/>
    <n v="0.55618340329350979"/>
    <n v="3507"/>
  </r>
  <r>
    <n v="904"/>
    <n v="6"/>
    <n v="70"/>
    <n v="5"/>
    <n v="350"/>
    <x v="326"/>
    <x v="4"/>
    <n v="433"/>
    <s v="Фрукты"/>
    <s v="Фрукты-Ягоды"/>
    <n v="274.16279069767444"/>
    <n v="-0.74467724149631009"/>
    <n v="2526"/>
  </r>
  <r>
    <n v="852"/>
    <n v="474"/>
    <n v="171"/>
    <n v="3"/>
    <n v="513"/>
    <x v="226"/>
    <x v="3"/>
    <n v="260"/>
    <s v="Молоко"/>
    <s v="Простоквашино"/>
    <n v="294.95238095238096"/>
    <n v="-0.18969970939618985"/>
    <n v="3507"/>
  </r>
  <r>
    <n v="906"/>
    <n v="269"/>
    <n v="315"/>
    <n v="1"/>
    <n v="315"/>
    <x v="338"/>
    <x v="2"/>
    <n v="41"/>
    <s v="Сахар"/>
    <s v="Русский сахар"/>
    <n v="254.58333333333334"/>
    <n v="0.2373158756137479"/>
    <n v="4988"/>
  </r>
  <r>
    <n v="907"/>
    <n v="55"/>
    <n v="353"/>
    <n v="1"/>
    <n v="353"/>
    <x v="152"/>
    <x v="19"/>
    <n v="129"/>
    <s v="Крупа"/>
    <s v="Националь"/>
    <n v="255.11627906976744"/>
    <n v="0.38368277119416594"/>
    <n v="1920"/>
  </r>
  <r>
    <n v="908"/>
    <n v="327"/>
    <n v="342"/>
    <n v="2"/>
    <n v="684"/>
    <x v="331"/>
    <x v="1"/>
    <n v="335"/>
    <s v="Колбаса"/>
    <s v="Черкизово"/>
    <n v="286.92307692307691"/>
    <n v="0.19195710455764092"/>
    <n v="1281"/>
  </r>
  <r>
    <n v="909"/>
    <n v="364"/>
    <n v="299"/>
    <n v="3"/>
    <n v="897"/>
    <x v="264"/>
    <x v="14"/>
    <n v="194"/>
    <s v="Сахар"/>
    <s v="Русский сахар"/>
    <n v="254.58333333333334"/>
    <n v="0.1744680851063829"/>
    <n v="4988"/>
  </r>
  <r>
    <n v="910"/>
    <n v="378"/>
    <n v="397"/>
    <n v="1"/>
    <n v="397"/>
    <x v="67"/>
    <x v="5"/>
    <n v="56"/>
    <s v="Сок"/>
    <s v="Фруктовый сад"/>
    <n v="268.60344827586209"/>
    <n v="0.47801527697541557"/>
    <n v="9023"/>
  </r>
  <r>
    <n v="911"/>
    <n v="462"/>
    <n v="231"/>
    <n v="2"/>
    <n v="462"/>
    <x v="344"/>
    <x v="18"/>
    <n v="493"/>
    <s v="Рис"/>
    <s v="Белый Злат"/>
    <n v="258.375"/>
    <n v="-0.10595065312046448"/>
    <n v="4585"/>
  </r>
  <r>
    <n v="912"/>
    <n v="89"/>
    <n v="120"/>
    <n v="5"/>
    <n v="600"/>
    <x v="424"/>
    <x v="19"/>
    <n v="222"/>
    <s v="Конфеты"/>
    <s v="Рот Фронт"/>
    <n v="267.85483870967744"/>
    <n v="-0.5519961462034082"/>
    <n v="6053"/>
  </r>
  <r>
    <n v="913"/>
    <n v="465"/>
    <n v="177"/>
    <n v="1"/>
    <n v="177"/>
    <x v="384"/>
    <x v="8"/>
    <n v="167"/>
    <s v="Йогурт"/>
    <s v="Ростагроэкспорт"/>
    <n v="263.25423728813558"/>
    <n v="-0.32764614988411023"/>
    <n v="5929"/>
  </r>
  <r>
    <n v="914"/>
    <n v="208"/>
    <n v="412"/>
    <n v="4"/>
    <n v="1648"/>
    <x v="408"/>
    <x v="6"/>
    <n v="212"/>
    <s v="Конфеты"/>
    <s v="Славянка"/>
    <n v="267.85483870967744"/>
    <n v="0.53814656470163169"/>
    <n v="1608"/>
  </r>
  <r>
    <n v="915"/>
    <n v="357"/>
    <n v="279"/>
    <n v="2"/>
    <n v="558"/>
    <x v="12"/>
    <x v="15"/>
    <n v="499"/>
    <s v="Мясо"/>
    <s v="Снежана"/>
    <n v="271.74545454545455"/>
    <n v="2.6696105981533602E-2"/>
    <n v="4630"/>
  </r>
  <r>
    <n v="916"/>
    <n v="416"/>
    <n v="472"/>
    <n v="1"/>
    <n v="472"/>
    <x v="425"/>
    <x v="19"/>
    <n v="401"/>
    <s v="Рыба"/>
    <s v="Меридиан"/>
    <n v="258.5128205128205"/>
    <n v="0.82582820868875229"/>
    <n v="4431"/>
  </r>
  <r>
    <n v="917"/>
    <n v="374"/>
    <n v="52"/>
    <n v="3"/>
    <n v="156"/>
    <x v="426"/>
    <x v="18"/>
    <n v="463"/>
    <s v="Кофе"/>
    <s v="Tchibo"/>
    <n v="249.02380952380952"/>
    <n v="-0.79118462568123149"/>
    <n v="420"/>
  </r>
  <r>
    <n v="918"/>
    <n v="145"/>
    <n v="144"/>
    <n v="5"/>
    <n v="720"/>
    <x v="304"/>
    <x v="0"/>
    <n v="347"/>
    <s v="Овощи"/>
    <s v="Семко"/>
    <n v="250.48780487804879"/>
    <n v="-0.42512171372930874"/>
    <n v="2080"/>
  </r>
  <r>
    <n v="919"/>
    <n v="289"/>
    <n v="258"/>
    <n v="2"/>
    <n v="516"/>
    <x v="222"/>
    <x v="1"/>
    <n v="54"/>
    <s v="Сок"/>
    <s v="Добрый"/>
    <n v="268.60344827586209"/>
    <n v="-3.9476217985750184E-2"/>
    <n v="2671"/>
  </r>
  <r>
    <n v="920"/>
    <n v="173"/>
    <n v="173"/>
    <n v="2"/>
    <n v="346"/>
    <x v="427"/>
    <x v="18"/>
    <n v="246"/>
    <s v="Сок"/>
    <s v="Фруктовый сад"/>
    <n v="268.60344827586209"/>
    <n v="-0.35592785159509599"/>
    <n v="9023"/>
  </r>
  <r>
    <n v="921"/>
    <n v="390"/>
    <n v="494"/>
    <n v="3"/>
    <n v="1482"/>
    <x v="41"/>
    <x v="11"/>
    <n v="65"/>
    <s v="Сок"/>
    <s v="Сады Придонья"/>
    <n v="268.60344827586209"/>
    <n v="0.83914243532961019"/>
    <n v="2796"/>
  </r>
  <r>
    <n v="922"/>
    <n v="482"/>
    <n v="198"/>
    <n v="2"/>
    <n v="396"/>
    <x v="90"/>
    <x v="18"/>
    <n v="44"/>
    <s v="Крупа"/>
    <s v="Мистраль"/>
    <n v="255.11627906976744"/>
    <n v="-0.22388331814038287"/>
    <n v="3254"/>
  </r>
  <r>
    <n v="923"/>
    <n v="465"/>
    <n v="71"/>
    <n v="5"/>
    <n v="355"/>
    <x v="156"/>
    <x v="8"/>
    <n v="321"/>
    <s v="Йогурт"/>
    <s v="Ростагроэкспорт"/>
    <n v="263.25423728813558"/>
    <n v="-0.73029873808910639"/>
    <n v="5929"/>
  </r>
  <r>
    <n v="924"/>
    <n v="114"/>
    <n v="228"/>
    <n v="2"/>
    <n v="456"/>
    <x v="149"/>
    <x v="14"/>
    <n v="50"/>
    <s v="Сыр"/>
    <s v="Сырная долина"/>
    <n v="261.03225806451616"/>
    <n v="-0.12654473554127543"/>
    <n v="8943"/>
  </r>
  <r>
    <n v="925"/>
    <n v="46"/>
    <n v="290"/>
    <n v="3"/>
    <n v="870"/>
    <x v="195"/>
    <x v="5"/>
    <n v="460"/>
    <s v="Йогурт"/>
    <s v="Активиа"/>
    <n v="263.25423728813558"/>
    <n v="0.10159670357970652"/>
    <n v="1762"/>
  </r>
  <r>
    <n v="157"/>
    <n v="498"/>
    <n v="430"/>
    <n v="5"/>
    <n v="2150"/>
    <x v="190"/>
    <x v="17"/>
    <n v="250"/>
    <s v="Молоко"/>
    <s v="Домик в деревне"/>
    <n v="294.95238095238096"/>
    <n v="-0.43041653212786568"/>
    <n v="4946"/>
  </r>
  <r>
    <n v="927"/>
    <n v="210"/>
    <n v="374"/>
    <n v="2"/>
    <n v="748"/>
    <x v="273"/>
    <x v="8"/>
    <n v="209"/>
    <s v="Колбаса"/>
    <s v="Окраина"/>
    <n v="286.92307692307691"/>
    <n v="0.30348525469168908"/>
    <n v="3283"/>
  </r>
  <r>
    <n v="928"/>
    <n v="399"/>
    <n v="67"/>
    <n v="2"/>
    <n v="134"/>
    <x v="204"/>
    <x v="18"/>
    <n v="451"/>
    <s v="Хлеб"/>
    <s v="Хлебный Дом"/>
    <n v="300.31818181818181"/>
    <n v="-0.77690328439533829"/>
    <n v="4226"/>
  </r>
  <r>
    <n v="724"/>
    <n v="400"/>
    <n v="358"/>
    <n v="4"/>
    <n v="1432"/>
    <x v="130"/>
    <x v="2"/>
    <n v="9"/>
    <s v="Молоко"/>
    <s v="Беллакт"/>
    <n v="294.95238095238096"/>
    <n v="-0.47788182111721023"/>
    <n v="3548"/>
  </r>
  <r>
    <n v="930"/>
    <n v="170"/>
    <n v="312"/>
    <n v="1"/>
    <n v="312"/>
    <x v="428"/>
    <x v="11"/>
    <n v="162"/>
    <s v="Конфеты"/>
    <s v="Славянка"/>
    <n v="267.85483870967744"/>
    <n v="0.16481001987113864"/>
    <n v="1608"/>
  </r>
  <r>
    <n v="931"/>
    <n v="205"/>
    <n v="212"/>
    <n v="4"/>
    <n v="848"/>
    <x v="385"/>
    <x v="9"/>
    <n v="414"/>
    <s v="Макароны"/>
    <s v="Борилла"/>
    <n v="265.47674418604652"/>
    <n v="-0.20143664316061494"/>
    <n v="6852"/>
  </r>
  <r>
    <n v="695"/>
    <n v="400"/>
    <n v="474"/>
    <n v="4"/>
    <n v="1896"/>
    <x v="391"/>
    <x v="9"/>
    <n v="191"/>
    <s v="Молоко"/>
    <s v="Беллакт"/>
    <n v="294.95238095238096"/>
    <n v="0.61381982563771387"/>
    <n v="3548"/>
  </r>
  <r>
    <n v="933"/>
    <n v="246"/>
    <n v="400"/>
    <n v="4"/>
    <n v="1600"/>
    <x v="8"/>
    <x v="15"/>
    <n v="191"/>
    <s v="Сыр"/>
    <s v="President"/>
    <n v="261.03225806451616"/>
    <n v="0.53237765694513084"/>
    <n v="3935"/>
  </r>
  <r>
    <n v="934"/>
    <n v="187"/>
    <n v="168"/>
    <n v="3"/>
    <n v="504"/>
    <x v="76"/>
    <x v="14"/>
    <n v="126"/>
    <s v="Макароны"/>
    <s v="Паста Зара"/>
    <n v="265.47674418604652"/>
    <n v="-0.36717620778765714"/>
    <n v="10237"/>
  </r>
  <r>
    <n v="935"/>
    <n v="9"/>
    <n v="321"/>
    <n v="1"/>
    <n v="321"/>
    <x v="319"/>
    <x v="15"/>
    <n v="217"/>
    <s v="Йогурт"/>
    <s v="Чудо"/>
    <n v="263.25423728813558"/>
    <n v="0.21935359258305431"/>
    <n v="2871"/>
  </r>
  <r>
    <n v="384"/>
    <n v="480"/>
    <n v="70"/>
    <n v="1"/>
    <n v="70"/>
    <x v="213"/>
    <x v="2"/>
    <n v="464"/>
    <s v="Молоко"/>
    <s v="Беллакт"/>
    <n v="294.95238095238096"/>
    <n v="-0.17274782047142401"/>
    <n v="3548"/>
  </r>
  <r>
    <n v="937"/>
    <n v="166"/>
    <n v="166"/>
    <n v="5"/>
    <n v="830"/>
    <x v="429"/>
    <x v="4"/>
    <n v="407"/>
    <s v="Сок"/>
    <s v="Добрый"/>
    <n v="268.60344827586209"/>
    <n v="-0.38198857436292455"/>
    <n v="2671"/>
  </r>
  <r>
    <n v="938"/>
    <n v="329"/>
    <n v="71"/>
    <n v="2"/>
    <n v="142"/>
    <x v="430"/>
    <x v="4"/>
    <n v="117"/>
    <s v="Соль"/>
    <s v="Славянская"/>
    <n v="264.8679245283019"/>
    <n v="-0.73194187206154726"/>
    <n v="2843"/>
  </r>
  <r>
    <n v="939"/>
    <n v="35"/>
    <n v="345"/>
    <n v="2"/>
    <n v="690"/>
    <x v="315"/>
    <x v="11"/>
    <n v="91"/>
    <s v="Крупа"/>
    <s v="Мистраль"/>
    <n v="255.11627906976744"/>
    <n v="0.35232452142206006"/>
    <n v="3254"/>
  </r>
  <r>
    <n v="940"/>
    <n v="342"/>
    <n v="259"/>
    <n v="5"/>
    <n v="1295"/>
    <x v="6"/>
    <x v="9"/>
    <n v="380"/>
    <s v="Овощи"/>
    <s v="Овощной ряд"/>
    <n v="250.48780487804879"/>
    <n v="3.3982473222979426E-2"/>
    <n v="5165"/>
  </r>
  <r>
    <n v="830"/>
    <n v="44"/>
    <n v="310"/>
    <n v="3"/>
    <n v="930"/>
    <x v="35"/>
    <x v="7"/>
    <n v="48"/>
    <s v="Молоко"/>
    <s v="Беллакт"/>
    <n v="294.95238095238096"/>
    <n v="-0.23377462060058118"/>
    <n v="3548"/>
  </r>
  <r>
    <n v="942"/>
    <n v="128"/>
    <n v="246"/>
    <n v="4"/>
    <n v="984"/>
    <x v="228"/>
    <x v="2"/>
    <n v="479"/>
    <s v="Мясо"/>
    <s v="Мираторг"/>
    <n v="271.74545454545455"/>
    <n v="-9.4741067844239302E-2"/>
    <n v="3799"/>
  </r>
  <r>
    <n v="943"/>
    <n v="447"/>
    <n v="118"/>
    <n v="3"/>
    <n v="354"/>
    <x v="210"/>
    <x v="8"/>
    <n v="9"/>
    <s v="Йогурт"/>
    <s v="Эрманн"/>
    <n v="263.25423728813558"/>
    <n v="-0.55176409992274011"/>
    <n v="4970"/>
  </r>
  <r>
    <n v="944"/>
    <n v="48"/>
    <n v="116"/>
    <n v="5"/>
    <n v="580"/>
    <x v="396"/>
    <x v="17"/>
    <n v="477"/>
    <s v="Фрукты"/>
    <s v="Фруктовый Рай"/>
    <n v="274.16279069767444"/>
    <n v="-0.57689371447959958"/>
    <n v="3358"/>
  </r>
  <r>
    <n v="945"/>
    <n v="415"/>
    <n v="307"/>
    <n v="3"/>
    <n v="921"/>
    <x v="88"/>
    <x v="18"/>
    <n v="498"/>
    <s v="Чипсы"/>
    <s v="Pringles"/>
    <n v="273.72549019607845"/>
    <n v="0.12156160458452714"/>
    <n v="5885"/>
  </r>
  <r>
    <n v="946"/>
    <n v="298"/>
    <n v="84"/>
    <n v="5"/>
    <n v="420"/>
    <x v="165"/>
    <x v="2"/>
    <n v="93"/>
    <s v="Крупа"/>
    <s v="Увелка"/>
    <n v="255.11627906976744"/>
    <n v="-0.67073837739288966"/>
    <n v="3023"/>
  </r>
  <r>
    <n v="947"/>
    <n v="3"/>
    <n v="180"/>
    <n v="3"/>
    <n v="540"/>
    <x v="431"/>
    <x v="10"/>
    <n v="200"/>
    <s v="Крупа"/>
    <s v="Ярмарка"/>
    <n v="255.11627906976744"/>
    <n v="-0.29443938012762083"/>
    <n v="2773"/>
  </r>
  <r>
    <n v="948"/>
    <n v="60"/>
    <n v="334"/>
    <n v="1"/>
    <n v="334"/>
    <x v="41"/>
    <x v="17"/>
    <n v="381"/>
    <s v="Кофе"/>
    <s v="Jacobs"/>
    <n v="249.02380952380952"/>
    <n v="0.34123721197055179"/>
    <n v="5248"/>
  </r>
  <r>
    <n v="949"/>
    <n v="59"/>
    <n v="234"/>
    <n v="2"/>
    <n v="468"/>
    <x v="423"/>
    <x v="6"/>
    <n v="18"/>
    <s v="Сахар"/>
    <s v="Продимекс"/>
    <n v="254.58333333333334"/>
    <n v="-8.085106382978724E-2"/>
    <n v="5172"/>
  </r>
  <r>
    <n v="950"/>
    <n v="119"/>
    <n v="426"/>
    <n v="1"/>
    <n v="426"/>
    <x v="312"/>
    <x v="7"/>
    <n v="327"/>
    <s v="Печенье"/>
    <s v="КДВ"/>
    <n v="283.468085106383"/>
    <n v="0.50281468137806784"/>
    <n v="4200"/>
  </r>
  <r>
    <n v="951"/>
    <n v="199"/>
    <n v="494"/>
    <n v="1"/>
    <n v="494"/>
    <x v="429"/>
    <x v="2"/>
    <n v="340"/>
    <s v="Макароны"/>
    <s v="Борилла"/>
    <n v="265.47674418604652"/>
    <n v="0.86080329376724629"/>
    <n v="6852"/>
  </r>
  <r>
    <n v="952"/>
    <n v="272"/>
    <n v="353"/>
    <n v="3"/>
    <n v="1059"/>
    <x v="63"/>
    <x v="15"/>
    <n v="490"/>
    <s v="Крупа"/>
    <s v="Ярмарка"/>
    <n v="255.11627906976744"/>
    <n v="0.38368277119416594"/>
    <n v="2773"/>
  </r>
  <r>
    <n v="953"/>
    <n v="386"/>
    <n v="288"/>
    <n v="2"/>
    <n v="576"/>
    <x v="100"/>
    <x v="14"/>
    <n v="67"/>
    <s v="Крупа"/>
    <s v="Увелка"/>
    <n v="255.11627906976744"/>
    <n v="0.12889699179580671"/>
    <n v="3023"/>
  </r>
  <r>
    <n v="954"/>
    <n v="464"/>
    <n v="430"/>
    <n v="2"/>
    <n v="860"/>
    <x v="361"/>
    <x v="18"/>
    <n v="132"/>
    <s v="Сыр"/>
    <s v="Сырная долина"/>
    <n v="261.03225806451616"/>
    <n v="0.64730598121601557"/>
    <n v="8943"/>
  </r>
  <r>
    <n v="955"/>
    <n v="494"/>
    <n v="471"/>
    <n v="5"/>
    <n v="2355"/>
    <x v="148"/>
    <x v="0"/>
    <n v="95"/>
    <s v="Сыр"/>
    <s v="Сырная долина"/>
    <n v="261.03225806451616"/>
    <n v="0.8043746910528915"/>
    <n v="8943"/>
  </r>
  <r>
    <n v="956"/>
    <n v="242"/>
    <n v="313"/>
    <n v="3"/>
    <n v="939"/>
    <x v="432"/>
    <x v="17"/>
    <n v="75"/>
    <s v="Овощи"/>
    <s v="Овощной ряд"/>
    <n v="250.48780487804879"/>
    <n v="0.24956183057448866"/>
    <n v="5165"/>
  </r>
  <r>
    <n v="957"/>
    <n v="434"/>
    <n v="340"/>
    <n v="4"/>
    <n v="1360"/>
    <x v="421"/>
    <x v="9"/>
    <n v="419"/>
    <s v="Сыр"/>
    <s v="Сырная долина"/>
    <n v="261.03225806451616"/>
    <n v="0.30252100840336116"/>
    <n v="8943"/>
  </r>
  <r>
    <n v="958"/>
    <n v="110"/>
    <n v="148"/>
    <n v="2"/>
    <n v="296"/>
    <x v="433"/>
    <x v="2"/>
    <n v="42"/>
    <s v="Макароны"/>
    <s v="Паста Зара"/>
    <n v="265.47674418604652"/>
    <n v="-0.44251237352722173"/>
    <n v="10237"/>
  </r>
  <r>
    <n v="959"/>
    <n v="168"/>
    <n v="391"/>
    <n v="2"/>
    <n v="782"/>
    <x v="277"/>
    <x v="18"/>
    <n v="316"/>
    <s v="Крупа"/>
    <s v="Ярмарка"/>
    <n v="255.11627906976744"/>
    <n v="0.53263445761166817"/>
    <n v="2773"/>
  </r>
  <r>
    <n v="960"/>
    <n v="13"/>
    <n v="181"/>
    <n v="4"/>
    <n v="724"/>
    <x v="48"/>
    <x v="15"/>
    <n v="117"/>
    <s v="Макароны"/>
    <s v="Паста Зара"/>
    <n v="265.47674418604652"/>
    <n v="-0.3182077000569401"/>
    <n v="10237"/>
  </r>
  <r>
    <n v="961"/>
    <n v="141"/>
    <n v="279"/>
    <n v="1"/>
    <n v="279"/>
    <x v="375"/>
    <x v="2"/>
    <n v="243"/>
    <s v="Фрукты"/>
    <s v="Фруктовый Рай"/>
    <n v="274.16279069767444"/>
    <n v="1.7643566036135372E-2"/>
    <n v="3358"/>
  </r>
  <r>
    <n v="962"/>
    <n v="120"/>
    <n v="229"/>
    <n v="5"/>
    <n v="1145"/>
    <x v="71"/>
    <x v="17"/>
    <n v="6"/>
    <s v="Хлеб"/>
    <s v="Дарница"/>
    <n v="300.31818181818181"/>
    <n v="-0.23747540487361884"/>
    <n v="1848"/>
  </r>
  <r>
    <n v="963"/>
    <n v="316"/>
    <n v="97"/>
    <n v="4"/>
    <n v="388"/>
    <x v="264"/>
    <x v="9"/>
    <n v="283"/>
    <s v="Макароны"/>
    <s v="Борилла"/>
    <n v="265.47674418604652"/>
    <n v="-0.63461959616311159"/>
    <n v="6852"/>
  </r>
  <r>
    <n v="964"/>
    <n v="448"/>
    <n v="484"/>
    <n v="1"/>
    <n v="484"/>
    <x v="320"/>
    <x v="2"/>
    <n v="404"/>
    <s v="Йогурт"/>
    <s v="Ростагроэкспорт"/>
    <n v="263.25423728813558"/>
    <n v="0.83852691218130326"/>
    <n v="5929"/>
  </r>
  <r>
    <n v="965"/>
    <n v="143"/>
    <n v="200"/>
    <n v="4"/>
    <n v="800"/>
    <x v="68"/>
    <x v="0"/>
    <n v="379"/>
    <s v="Сахар"/>
    <s v="Агросахар"/>
    <n v="254.58333333333334"/>
    <n v="-0.21440261865793786"/>
    <n v="1511"/>
  </r>
  <r>
    <n v="966"/>
    <n v="168"/>
    <n v="206"/>
    <n v="4"/>
    <n v="824"/>
    <x v="262"/>
    <x v="14"/>
    <n v="136"/>
    <s v="Крупа"/>
    <s v="Ярмарка"/>
    <n v="255.11627906976744"/>
    <n v="-0.1925250683682771"/>
    <n v="2773"/>
  </r>
  <r>
    <n v="967"/>
    <n v="435"/>
    <n v="116"/>
    <n v="4"/>
    <n v="464"/>
    <x v="215"/>
    <x v="14"/>
    <n v="20"/>
    <s v="Мясо"/>
    <s v="Снежана"/>
    <n v="271.74545454545455"/>
    <n v="-0.57312993443061688"/>
    <n v="4630"/>
  </r>
  <r>
    <n v="968"/>
    <n v="375"/>
    <n v="212"/>
    <n v="3"/>
    <n v="636"/>
    <x v="117"/>
    <x v="19"/>
    <n v="369"/>
    <s v="Макароны"/>
    <s v="Борилла"/>
    <n v="265.47674418604652"/>
    <n v="-0.20143664316061494"/>
    <n v="6852"/>
  </r>
  <r>
    <n v="969"/>
    <n v="416"/>
    <n v="202"/>
    <n v="4"/>
    <n v="808"/>
    <x v="100"/>
    <x v="3"/>
    <n v="499"/>
    <s v="Рыба"/>
    <s v="Меридиан"/>
    <n v="258.5128205128205"/>
    <n v="-0.21860741916286441"/>
    <n v="4431"/>
  </r>
  <r>
    <n v="970"/>
    <n v="25"/>
    <n v="332"/>
    <n v="3"/>
    <n v="996"/>
    <x v="75"/>
    <x v="9"/>
    <n v="153"/>
    <s v="Чипсы"/>
    <s v="Русская картошка"/>
    <n v="273.72549019607845"/>
    <n v="0.21289398280802274"/>
    <n v="2902"/>
  </r>
  <r>
    <n v="971"/>
    <n v="236"/>
    <n v="420"/>
    <n v="5"/>
    <n v="2100"/>
    <x v="116"/>
    <x v="10"/>
    <n v="34"/>
    <s v="Печенье"/>
    <s v="Посиделкино"/>
    <n v="283.468085106383"/>
    <n v="0.48164827741499661"/>
    <n v="3538"/>
  </r>
  <r>
    <n v="972"/>
    <n v="418"/>
    <n v="139"/>
    <n v="2"/>
    <n v="278"/>
    <x v="409"/>
    <x v="17"/>
    <n v="337"/>
    <s v="Фрукты"/>
    <s v="Green Garden"/>
    <n v="274.16279069767444"/>
    <n v="-0.49300195097124444"/>
    <n v="1846"/>
  </r>
  <r>
    <n v="973"/>
    <n v="141"/>
    <n v="112"/>
    <n v="4"/>
    <n v="448"/>
    <x v="9"/>
    <x v="13"/>
    <n v="200"/>
    <s v="Фрукты"/>
    <s v="Фруктовый Рай"/>
    <n v="274.16279069767444"/>
    <n v="-0.59148358639409615"/>
    <n v="3358"/>
  </r>
  <r>
    <n v="974"/>
    <n v="294"/>
    <n v="485"/>
    <n v="3"/>
    <n v="1455"/>
    <x v="336"/>
    <x v="18"/>
    <n v="8"/>
    <s v="Сок"/>
    <s v="Фруктовый сад"/>
    <n v="268.60344827586209"/>
    <n v="0.80563579177097355"/>
    <n v="9023"/>
  </r>
  <r>
    <n v="975"/>
    <n v="497"/>
    <n v="120"/>
    <n v="1"/>
    <n v="120"/>
    <x v="331"/>
    <x v="14"/>
    <n v="280"/>
    <s v="Конфеты"/>
    <s v="Бабаевский"/>
    <n v="267.85483870967744"/>
    <n v="-0.5519961462034082"/>
    <n v="6757"/>
  </r>
  <r>
    <n v="976"/>
    <n v="359"/>
    <n v="359"/>
    <n v="4"/>
    <n v="1436"/>
    <x v="109"/>
    <x v="5"/>
    <n v="94"/>
    <s v="Мясо"/>
    <s v="Мираторг"/>
    <n v="271.74545454545455"/>
    <n v="0.32108925465007365"/>
    <n v="3799"/>
  </r>
  <r>
    <n v="977"/>
    <n v="175"/>
    <n v="198"/>
    <n v="3"/>
    <n v="594"/>
    <x v="285"/>
    <x v="3"/>
    <n v="331"/>
    <s v="Овощи"/>
    <s v="Семко"/>
    <n v="250.48780487804879"/>
    <n v="-0.2095423563777995"/>
    <n v="2080"/>
  </r>
  <r>
    <n v="978"/>
    <n v="236"/>
    <n v="363"/>
    <n v="4"/>
    <n v="1452"/>
    <x v="235"/>
    <x v="1"/>
    <n v="405"/>
    <s v="Печенье"/>
    <s v="Посиделкино"/>
    <n v="283.468085106383"/>
    <n v="0.28056743976581844"/>
    <n v="3538"/>
  </r>
  <r>
    <n v="979"/>
    <n v="195"/>
    <n v="103"/>
    <n v="1"/>
    <n v="103"/>
    <x v="32"/>
    <x v="7"/>
    <n v="42"/>
    <s v="Хлеб"/>
    <s v="Каравай"/>
    <n v="300.31818181818181"/>
    <n v="-0.65703042227940056"/>
    <n v="3974"/>
  </r>
  <r>
    <n v="980"/>
    <n v="364"/>
    <n v="401"/>
    <n v="2"/>
    <n v="802"/>
    <x v="138"/>
    <x v="17"/>
    <n v="271"/>
    <s v="Сахар"/>
    <s v="Русский сахар"/>
    <n v="254.58333333333334"/>
    <n v="0.57512274959083465"/>
    <n v="4988"/>
  </r>
  <r>
    <n v="981"/>
    <n v="347"/>
    <n v="139"/>
    <n v="1"/>
    <n v="139"/>
    <x v="358"/>
    <x v="13"/>
    <n v="56"/>
    <s v="Макароны"/>
    <s v="Паста Зара"/>
    <n v="265.47674418604652"/>
    <n v="-0.47641364811002584"/>
    <n v="10237"/>
  </r>
  <r>
    <n v="982"/>
    <n v="149"/>
    <n v="468"/>
    <n v="1"/>
    <n v="468"/>
    <x v="294"/>
    <x v="2"/>
    <n v="427"/>
    <s v="Конфеты"/>
    <s v="Бабаевский"/>
    <n v="267.85483870967744"/>
    <n v="0.74721502980670795"/>
    <n v="6757"/>
  </r>
  <r>
    <n v="983"/>
    <n v="384"/>
    <n v="100"/>
    <n v="4"/>
    <n v="400"/>
    <x v="358"/>
    <x v="3"/>
    <n v="323"/>
    <s v="Сахар"/>
    <s v="Сладов"/>
    <n v="254.58333333333334"/>
    <n v="-0.60720130932896899"/>
    <n v="3604"/>
  </r>
  <r>
    <n v="984"/>
    <n v="404"/>
    <n v="304"/>
    <n v="5"/>
    <n v="1520"/>
    <x v="374"/>
    <x v="3"/>
    <n v="17"/>
    <s v="Йогурт"/>
    <s v="Ростагроэкспорт"/>
    <n v="263.25423728813558"/>
    <n v="0.15477723409734745"/>
    <n v="5929"/>
  </r>
  <r>
    <n v="985"/>
    <n v="469"/>
    <n v="357"/>
    <n v="4"/>
    <n v="1428"/>
    <x v="294"/>
    <x v="16"/>
    <n v="165"/>
    <s v="Сахар"/>
    <s v="Сладов"/>
    <n v="254.58333333333334"/>
    <n v="0.4022913256955809"/>
    <n v="3604"/>
  </r>
  <r>
    <n v="986"/>
    <n v="134"/>
    <n v="89"/>
    <n v="5"/>
    <n v="445"/>
    <x v="173"/>
    <x v="19"/>
    <n v="403"/>
    <s v="Рыба"/>
    <s v="Меридиан"/>
    <n v="258.5128205128205"/>
    <n v="-0.65572307081928183"/>
    <n v="4431"/>
  </r>
  <r>
    <n v="987"/>
    <n v="361"/>
    <n v="283"/>
    <n v="5"/>
    <n v="1415"/>
    <x v="13"/>
    <x v="0"/>
    <n v="274"/>
    <s v="Мясо"/>
    <s v="Сава"/>
    <n v="271.74545454545455"/>
    <n v="4.141576341496056E-2"/>
    <n v="3405"/>
  </r>
  <r>
    <n v="988"/>
    <n v="110"/>
    <n v="280"/>
    <n v="3"/>
    <n v="840"/>
    <x v="332"/>
    <x v="9"/>
    <n v="61"/>
    <s v="Макароны"/>
    <s v="Паста Зара"/>
    <n v="265.47674418604652"/>
    <n v="5.4706320353904658E-2"/>
    <n v="10237"/>
  </r>
  <r>
    <n v="989"/>
    <n v="280"/>
    <n v="459"/>
    <n v="4"/>
    <n v="1836"/>
    <x v="434"/>
    <x v="11"/>
    <n v="262"/>
    <s v="Сыр"/>
    <s v="President"/>
    <n v="261.03225806451616"/>
    <n v="0.75840336134453756"/>
    <n v="3935"/>
  </r>
  <r>
    <n v="990"/>
    <n v="43"/>
    <n v="244"/>
    <n v="4"/>
    <n v="976"/>
    <x v="222"/>
    <x v="14"/>
    <n v="323"/>
    <s v="Печенье"/>
    <s v="КДВ"/>
    <n v="283.468085106383"/>
    <n v="-0.13923290550176393"/>
    <n v="4200"/>
  </r>
  <r>
    <n v="991"/>
    <n v="434"/>
    <n v="299"/>
    <n v="2"/>
    <n v="598"/>
    <x v="392"/>
    <x v="15"/>
    <n v="481"/>
    <s v="Сыр"/>
    <s v="Сырная долина"/>
    <n v="261.03225806451616"/>
    <n v="0.14545229856648523"/>
    <n v="8943"/>
  </r>
  <r>
    <n v="992"/>
    <n v="183"/>
    <n v="73"/>
    <n v="5"/>
    <n v="365"/>
    <x v="324"/>
    <x v="13"/>
    <n v="478"/>
    <s v="Конфеты"/>
    <s v="Бабаевский"/>
    <n v="267.85483870967744"/>
    <n v="-0.72746432227374003"/>
    <n v="6757"/>
  </r>
  <r>
    <n v="993"/>
    <n v="224"/>
    <n v="421"/>
    <n v="3"/>
    <n v="1263"/>
    <x v="412"/>
    <x v="11"/>
    <n v="497"/>
    <s v="Чипсы"/>
    <s v="Pringles"/>
    <n v="273.72549019607845"/>
    <n v="0.53803724928366758"/>
    <n v="5885"/>
  </r>
  <r>
    <n v="994"/>
    <n v="235"/>
    <n v="345"/>
    <n v="3"/>
    <n v="1035"/>
    <x v="320"/>
    <x v="0"/>
    <n v="406"/>
    <s v="Хлеб"/>
    <s v="Русский Хлеб"/>
    <n v="300.31818181818181"/>
    <n v="0.14878159527773582"/>
    <n v="3166"/>
  </r>
  <r>
    <n v="995"/>
    <n v="477"/>
    <n v="50"/>
    <n v="1"/>
    <n v="50"/>
    <x v="285"/>
    <x v="7"/>
    <n v="58"/>
    <s v="Макароны"/>
    <s v="Борилла"/>
    <n v="265.47674418604652"/>
    <n v="-0.81165958565108842"/>
    <n v="6852"/>
  </r>
  <r>
    <n v="996"/>
    <n v="242"/>
    <n v="441"/>
    <n v="1"/>
    <n v="441"/>
    <x v="59"/>
    <x v="17"/>
    <n v="312"/>
    <s v="Овощи"/>
    <s v="Овощной ряд"/>
    <n v="250.48780487804879"/>
    <n v="0.76056475170399218"/>
    <n v="5165"/>
  </r>
  <r>
    <n v="997"/>
    <n v="423"/>
    <n v="187"/>
    <n v="5"/>
    <n v="935"/>
    <x v="323"/>
    <x v="0"/>
    <n v="136"/>
    <s v="Чипсы"/>
    <s v="Pringles"/>
    <n v="273.72549019607845"/>
    <n v="-0.31683381088825224"/>
    <n v="5885"/>
  </r>
  <r>
    <n v="998"/>
    <n v="414"/>
    <n v="170"/>
    <n v="1"/>
    <n v="170"/>
    <x v="435"/>
    <x v="4"/>
    <n v="328"/>
    <s v="Фрукты"/>
    <s v="Экзотик"/>
    <n v="274.16279069767444"/>
    <n v="-0.37993044363389605"/>
    <n v="4059"/>
  </r>
  <r>
    <n v="999"/>
    <n v="110"/>
    <n v="114"/>
    <n v="3"/>
    <n v="342"/>
    <x v="134"/>
    <x v="14"/>
    <n v="172"/>
    <s v="Макароны"/>
    <s v="Паста Зара"/>
    <n v="265.47674418604652"/>
    <n v="-0.57058385528448163"/>
    <n v="10237"/>
  </r>
  <r>
    <n v="1000"/>
    <n v="296"/>
    <n v="453"/>
    <n v="1"/>
    <n v="453"/>
    <x v="177"/>
    <x v="7"/>
    <n v="167"/>
    <s v="Крупа"/>
    <s v="Мистраль"/>
    <n v="255.11627906976744"/>
    <n v="0.7756608933454876"/>
    <n v="32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300"/>
    <n v="103"/>
    <n v="4"/>
    <n v="412"/>
    <d v="2023-09-18T00:00:00"/>
    <s v="Бристоль"/>
    <n v="315"/>
    <x v="0"/>
    <x v="0"/>
    <n v="254.58333333333334"/>
    <n v="-0.59541734860883799"/>
    <n v="5172"/>
    <n v="-0.98008507347254448"/>
    <d v="2022-07-05T00:00:00"/>
    <n v="440"/>
    <d v="2025-08-20T00:00:00"/>
    <x v="0"/>
    <x v="0"/>
    <m/>
  </r>
  <r>
    <n v="2"/>
    <n v="486"/>
    <n v="296"/>
    <n v="3"/>
    <n v="888"/>
    <d v="2023-06-06T00:00:00"/>
    <s v="Дикси"/>
    <n v="253"/>
    <x v="1"/>
    <x v="1"/>
    <n v="264.8679245283019"/>
    <n v="0.11753811084200017"/>
    <n v="4287"/>
    <n v="-0.9309540471191976"/>
    <d v="2022-07-08T00:00:00"/>
    <n v="333"/>
    <d v="2025-08-20T00:00:00"/>
    <x v="1"/>
    <x v="1"/>
    <m/>
  </r>
  <r>
    <n v="3"/>
    <n v="76"/>
    <n v="139"/>
    <n v="5"/>
    <n v="695"/>
    <d v="2024-03-12T00:00:00"/>
    <s v="Городской Супермаркет"/>
    <n v="12"/>
    <x v="2"/>
    <x v="2"/>
    <n v="283.468085106383"/>
    <n v="-0.50964497485551308"/>
    <n v="2092"/>
    <n v="-0.93355640535372852"/>
    <d v="2022-10-08T00:00:00"/>
    <n v="521"/>
    <d v="2025-08-20T00:00:00"/>
    <x v="2"/>
    <x v="1"/>
    <m/>
  </r>
  <r>
    <n v="4"/>
    <n v="240"/>
    <n v="141"/>
    <n v="5"/>
    <n v="705"/>
    <d v="2023-12-02T00:00:00"/>
    <s v="Верный"/>
    <n v="116"/>
    <x v="3"/>
    <x v="3"/>
    <n v="265.47674418604652"/>
    <n v="-0.46888003153606939"/>
    <n v="6852"/>
    <n v="-0.97942206654991248"/>
    <d v="2022-03-23T00:00:00"/>
    <n v="619"/>
    <d v="2025-08-20T00:00:00"/>
    <x v="3"/>
    <x v="2"/>
    <m/>
  </r>
  <r>
    <n v="5"/>
    <n v="32"/>
    <n v="123"/>
    <n v="2"/>
    <n v="246"/>
    <d v="2023-08-13T00:00:00"/>
    <s v="Спар"/>
    <n v="471"/>
    <x v="4"/>
    <x v="4"/>
    <n v="250.48780487804879"/>
    <n v="-0.5089581304771178"/>
    <n v="796"/>
    <n v="-0.84547738693467334"/>
    <d v="2022-01-16T00:00:00"/>
    <n v="574"/>
    <d v="2025-08-20T00:00:00"/>
    <x v="4"/>
    <x v="3"/>
    <m/>
  </r>
  <r>
    <n v="6"/>
    <n v="162"/>
    <n v="452"/>
    <n v="2"/>
    <n v="904"/>
    <d v="2023-12-21T00:00:00"/>
    <s v="Бристоль"/>
    <n v="374"/>
    <x v="5"/>
    <x v="5"/>
    <n v="268.60344827586209"/>
    <n v="0.68277809872263928"/>
    <n v="9023"/>
    <n v="-0.9499057962983487"/>
    <d v="2022-01-21T00:00:00"/>
    <n v="699"/>
    <d v="2025-08-20T00:00:00"/>
    <x v="5"/>
    <x v="3"/>
    <m/>
  </r>
  <r>
    <n v="7"/>
    <n v="323"/>
    <n v="149"/>
    <n v="5"/>
    <n v="745"/>
    <d v="2024-02-27T00:00:00"/>
    <s v="Карусель"/>
    <n v="477"/>
    <x v="6"/>
    <x v="6"/>
    <n v="258.5128205128205"/>
    <n v="-0.42362626463003372"/>
    <n v="4431"/>
    <n v="-0.96637327916948768"/>
    <d v="2022-06-26T00:00:00"/>
    <n v="611"/>
    <d v="2025-08-20T00:00:00"/>
    <x v="6"/>
    <x v="0"/>
    <m/>
  </r>
  <r>
    <n v="8"/>
    <n v="60"/>
    <n v="489"/>
    <n v="4"/>
    <n v="1956"/>
    <d v="2024-02-05T00:00:00"/>
    <s v="Мираторг"/>
    <n v="335"/>
    <x v="7"/>
    <x v="7"/>
    <n v="249.02380952380952"/>
    <n v="0.9636676546514964"/>
    <n v="5248"/>
    <n v="-0.90682164634146345"/>
    <d v="2022-02-27T00:00:00"/>
    <n v="708"/>
    <d v="2025-08-20T00:00:00"/>
    <x v="7"/>
    <x v="0"/>
    <m/>
  </r>
  <r>
    <n v="9"/>
    <n v="401"/>
    <n v="416"/>
    <n v="5"/>
    <n v="2080"/>
    <d v="2024-03-25T00:00:00"/>
    <s v="Мосмарт"/>
    <n v="350"/>
    <x v="8"/>
    <x v="8"/>
    <n v="271.18181818181819"/>
    <n v="0.53402614817298022"/>
    <n v="6412"/>
    <n v="-0.93512164691203992"/>
    <d v="2022-05-03T00:00:00"/>
    <n v="692"/>
    <d v="2025-08-20T00:00:00"/>
    <x v="8"/>
    <x v="3"/>
    <m/>
  </r>
  <r>
    <n v="10"/>
    <n v="100"/>
    <n v="449"/>
    <n v="2"/>
    <n v="898"/>
    <d v="2023-04-16T00:00:00"/>
    <s v="Карусель"/>
    <n v="413"/>
    <x v="9"/>
    <x v="9"/>
    <n v="263.25423728813558"/>
    <n v="0.7055755858872006"/>
    <n v="5929"/>
    <n v="-0.92427053466014508"/>
    <d v="2022-05-18T00:00:00"/>
    <n v="333"/>
    <d v="2025-08-20T00:00:00"/>
    <x v="9"/>
    <x v="2"/>
    <m/>
  </r>
  <r>
    <n v="11"/>
    <n v="217"/>
    <n v="296"/>
    <n v="2"/>
    <n v="592"/>
    <d v="2023-07-29T00:00:00"/>
    <s v="Карусель"/>
    <n v="495"/>
    <x v="10"/>
    <x v="10"/>
    <n v="271.74545454545455"/>
    <n v="8.925465007359823E-2"/>
    <n v="3112"/>
    <n v="-0.9048843187660669"/>
    <d v="2022-04-03T00:00:00"/>
    <n v="482"/>
    <d v="2025-08-20T00:00:00"/>
    <x v="10"/>
    <x v="0"/>
    <m/>
  </r>
  <r>
    <n v="12"/>
    <n v="445"/>
    <n v="109"/>
    <n v="5"/>
    <n v="545"/>
    <d v="2024-04-12T00:00:00"/>
    <s v="Мираторг"/>
    <n v="353"/>
    <x v="0"/>
    <x v="11"/>
    <n v="254.58333333333334"/>
    <n v="-0.57184942716857612"/>
    <n v="3604"/>
    <n v="-0.96975582685904549"/>
    <d v="2022-04-05T00:00:00"/>
    <n v="738"/>
    <d v="2025-08-20T00:00:00"/>
    <x v="11"/>
    <x v="4"/>
    <m/>
  </r>
  <r>
    <n v="13"/>
    <n v="284"/>
    <n v="213"/>
    <n v="3"/>
    <n v="639"/>
    <d v="2023-12-06T00:00:00"/>
    <s v="Городской Супермаркет"/>
    <n v="332"/>
    <x v="10"/>
    <x v="12"/>
    <n v="271.74545454545455"/>
    <n v="-0.21617824167001209"/>
    <n v="3405"/>
    <n v="-0.93744493392070483"/>
    <d v="2022-10-24T00:00:00"/>
    <n v="408"/>
    <d v="2025-08-20T00:00:00"/>
    <x v="12"/>
    <x v="0"/>
    <m/>
  </r>
  <r>
    <n v="14"/>
    <n v="116"/>
    <n v="190"/>
    <n v="4"/>
    <n v="760"/>
    <d v="2023-07-26T00:00:00"/>
    <s v="Верный"/>
    <n v="414"/>
    <x v="1"/>
    <x v="13"/>
    <n v="264.8679245283019"/>
    <n v="-0.28266134777033769"/>
    <n v="4171"/>
    <n v="-0.95444737473028052"/>
    <d v="2022-08-21T00:00:00"/>
    <n v="339"/>
    <d v="2025-08-20T00:00:00"/>
    <x v="13"/>
    <x v="1"/>
    <m/>
  </r>
  <r>
    <n v="15"/>
    <n v="378"/>
    <n v="237"/>
    <n v="1"/>
    <n v="237"/>
    <d v="2023-02-15T00:00:00"/>
    <s v="Карусель"/>
    <n v="236"/>
    <x v="5"/>
    <x v="5"/>
    <n v="268.60344827586209"/>
    <n v="-0.11765838628923564"/>
    <n v="9023"/>
    <n v="-0.97373379142192173"/>
    <d v="2022-09-16T00:00:00"/>
    <n v="152"/>
    <d v="2025-08-20T00:00:00"/>
    <x v="14"/>
    <x v="0"/>
    <m/>
  </r>
  <r>
    <n v="16"/>
    <n v="299"/>
    <n v="178"/>
    <n v="3"/>
    <n v="534"/>
    <d v="2023-02-23T00:00:00"/>
    <s v="Мираторг"/>
    <n v="164"/>
    <x v="8"/>
    <x v="14"/>
    <n v="271.18181818181819"/>
    <n v="-0.34361381159906135"/>
    <n v="4943"/>
    <n v="-0.96398948007283025"/>
    <d v="2022-04-27T00:00:00"/>
    <n v="302"/>
    <d v="2025-08-20T00:00:00"/>
    <x v="15"/>
    <x v="2"/>
    <m/>
  </r>
  <r>
    <n v="17"/>
    <n v="359"/>
    <n v="320"/>
    <n v="5"/>
    <n v="1600"/>
    <d v="2023-10-17T00:00:00"/>
    <s v="Перекресток"/>
    <n v="490"/>
    <x v="10"/>
    <x v="15"/>
    <n v="271.74545454545455"/>
    <n v="0.1775725946741602"/>
    <n v="3799"/>
    <n v="-0.91576730718610166"/>
    <d v="2022-02-11T00:00:00"/>
    <n v="613"/>
    <d v="2025-08-20T00:00:00"/>
    <x v="16"/>
    <x v="2"/>
    <m/>
  </r>
  <r>
    <n v="18"/>
    <n v="337"/>
    <n v="419"/>
    <n v="2"/>
    <n v="838"/>
    <d v="2023-07-09T00:00:00"/>
    <s v="Городской Супермаркет"/>
    <n v="223"/>
    <x v="3"/>
    <x v="16"/>
    <n v="265.47674418604652"/>
    <n v="0.57829267224387881"/>
    <n v="10237"/>
    <n v="-0.9590700400507961"/>
    <d v="2022-11-28T00:00:00"/>
    <n v="223"/>
    <d v="2025-08-20T00:00:00"/>
    <x v="17"/>
    <x v="3"/>
    <m/>
  </r>
  <r>
    <n v="19"/>
    <n v="226"/>
    <n v="190"/>
    <n v="5"/>
    <n v="950"/>
    <d v="2023-05-12T00:00:00"/>
    <s v="Гиперглобус"/>
    <n v="204"/>
    <x v="11"/>
    <x v="17"/>
    <n v="261.03225806451616"/>
    <n v="-0.27212061295106282"/>
    <n v="2802"/>
    <n v="-0.93219129193433259"/>
    <d v="2022-11-02T00:00:00"/>
    <n v="191"/>
    <d v="2025-08-20T00:00:00"/>
    <x v="18"/>
    <x v="2"/>
    <m/>
  </r>
  <r>
    <n v="20"/>
    <n v="310"/>
    <n v="458"/>
    <n v="2"/>
    <n v="916"/>
    <d v="2023-08-20T00:00:00"/>
    <s v="Гиперглобус"/>
    <n v="481"/>
    <x v="3"/>
    <x v="16"/>
    <n v="265.47674418604652"/>
    <n v="0.72519819543603004"/>
    <n v="10237"/>
    <n v="-0.9552603301748559"/>
    <d v="2022-07-14T00:00:00"/>
    <n v="402"/>
    <d v="2025-08-20T00:00:00"/>
    <x v="19"/>
    <x v="1"/>
    <m/>
  </r>
  <r>
    <n v="21"/>
    <n v="137"/>
    <n v="152"/>
    <n v="2"/>
    <n v="304"/>
    <d v="2023-11-14T00:00:00"/>
    <s v="Бристоль"/>
    <n v="363"/>
    <x v="12"/>
    <x v="18"/>
    <n v="274.16279069767444"/>
    <n v="-0.4455848672491306"/>
    <n v="4059"/>
    <n v="-0.96255235279625528"/>
    <d v="2022-04-24T00:00:00"/>
    <n v="569"/>
    <d v="2025-08-20T00:00:00"/>
    <x v="20"/>
    <x v="0"/>
    <m/>
  </r>
  <r>
    <n v="22"/>
    <n v="385"/>
    <n v="352"/>
    <n v="2"/>
    <n v="704"/>
    <d v="2023-07-16T00:00:00"/>
    <s v="Мираторг"/>
    <n v="397"/>
    <x v="3"/>
    <x v="19"/>
    <n v="265.47674418604652"/>
    <n v="0.32591651701633739"/>
    <n v="3622"/>
    <n v="-0.90281612368856989"/>
    <d v="2022-06-16T00:00:00"/>
    <n v="395"/>
    <d v="2025-08-20T00:00:00"/>
    <x v="21"/>
    <x v="1"/>
    <m/>
  </r>
  <r>
    <n v="23"/>
    <n v="226"/>
    <n v="228"/>
    <n v="2"/>
    <n v="456"/>
    <d v="2023-04-11T00:00:00"/>
    <s v="Лента"/>
    <n v="280"/>
    <x v="11"/>
    <x v="17"/>
    <n v="261.03225806451616"/>
    <n v="-0.12654473554127543"/>
    <n v="2802"/>
    <n v="-0.9186295503211992"/>
    <d v="2022-01-02T00:00:00"/>
    <n v="464"/>
    <d v="2025-08-20T00:00:00"/>
    <x v="22"/>
    <x v="2"/>
    <m/>
  </r>
  <r>
    <n v="24"/>
    <n v="451"/>
    <n v="161"/>
    <n v="4"/>
    <n v="644"/>
    <d v="2023-02-09T00:00:00"/>
    <s v="Мосмарт"/>
    <n v="39"/>
    <x v="13"/>
    <x v="20"/>
    <n v="258.375"/>
    <n v="-0.37687469762941461"/>
    <n v="4585"/>
    <n v="-0.96488549618320607"/>
    <d v="2022-04-02T00:00:00"/>
    <n v="313"/>
    <d v="2025-08-20T00:00:00"/>
    <x v="23"/>
    <x v="1"/>
    <m/>
  </r>
  <r>
    <n v="25"/>
    <n v="7"/>
    <n v="362"/>
    <n v="1"/>
    <n v="362"/>
    <d v="2024-02-04T00:00:00"/>
    <s v="Спар"/>
    <n v="303"/>
    <x v="0"/>
    <x v="0"/>
    <n v="254.58333333333334"/>
    <n v="0.42193126022913252"/>
    <n v="5172"/>
    <n v="-0.9300077339520495"/>
    <d v="2022-05-08T00:00:00"/>
    <n v="637"/>
    <d v="2025-08-20T00:00:00"/>
    <x v="24"/>
    <x v="0"/>
    <m/>
  </r>
  <r>
    <n v="26"/>
    <n v="495"/>
    <n v="312"/>
    <n v="1"/>
    <n v="312"/>
    <d v="2023-09-05T00:00:00"/>
    <s v="Перекресток"/>
    <n v="422"/>
    <x v="8"/>
    <x v="8"/>
    <n v="271.18181818181819"/>
    <n v="0.15051961112973511"/>
    <n v="6412"/>
    <n v="-0.95134123518402991"/>
    <d v="2022-08-11T00:00:00"/>
    <n v="390"/>
    <d v="2025-08-20T00:00:00"/>
    <x v="25"/>
    <x v="3"/>
    <m/>
  </r>
  <r>
    <n v="27"/>
    <n v="415"/>
    <n v="311"/>
    <n v="5"/>
    <n v="1555"/>
    <d v="2023-06-22T00:00:00"/>
    <s v="Метро"/>
    <n v="24"/>
    <x v="14"/>
    <x v="21"/>
    <n v="273.72549019607845"/>
    <n v="0.13617478510028636"/>
    <n v="5885"/>
    <n v="-0.94715378079864065"/>
    <d v="2022-02-17T00:00:00"/>
    <n v="490"/>
    <d v="2025-08-20T00:00:00"/>
    <x v="26"/>
    <x v="0"/>
    <m/>
  </r>
  <r>
    <n v="28"/>
    <n v="176"/>
    <n v="220"/>
    <n v="1"/>
    <n v="220"/>
    <d v="2024-03-17T00:00:00"/>
    <s v="Бристоль"/>
    <n v="112"/>
    <x v="0"/>
    <x v="0"/>
    <n v="254.58333333333334"/>
    <n v="-0.13584288052373161"/>
    <n v="5172"/>
    <n v="-0.95746326372776491"/>
    <d v="2022-04-01T00:00:00"/>
    <n v="716"/>
    <d v="2025-08-20T00:00:00"/>
    <x v="27"/>
    <x v="2"/>
    <m/>
  </r>
  <r>
    <n v="845"/>
    <n v="474"/>
    <n v="405"/>
    <n v="2"/>
    <n v="810"/>
    <d v="2024-04-08T00:00:00"/>
    <s v="Перекресток"/>
    <n v="18"/>
    <x v="15"/>
    <x v="22"/>
    <n v="294.95238095238096"/>
    <n v="0.48837584759444619"/>
    <n v="3507"/>
    <n v="-0.88451668092386659"/>
    <d v="2022-01-17T00:00:00"/>
    <n v="812"/>
    <d v="2025-08-20T00:00:00"/>
    <x v="28"/>
    <x v="3"/>
    <m/>
  </r>
  <r>
    <n v="30"/>
    <n v="399"/>
    <n v="190"/>
    <n v="1"/>
    <n v="190"/>
    <d v="2024-05-02T00:00:00"/>
    <s v="Городской Супермаркет"/>
    <n v="131"/>
    <x v="16"/>
    <x v="23"/>
    <n v="300.31818181818181"/>
    <n v="-0.36733767216588464"/>
    <n v="4226"/>
    <n v="-0.95504022716516801"/>
    <d v="2022-05-12T00:00:00"/>
    <n v="721"/>
    <d v="2025-08-20T00:00:00"/>
    <x v="29"/>
    <x v="2"/>
    <m/>
  </r>
  <r>
    <n v="31"/>
    <n v="382"/>
    <n v="198"/>
    <n v="5"/>
    <n v="990"/>
    <d v="2023-07-18T00:00:00"/>
    <s v="Билла"/>
    <n v="160"/>
    <x v="4"/>
    <x v="24"/>
    <n v="250.48780487804879"/>
    <n v="-0.2095423563777995"/>
    <n v="5165"/>
    <n v="-0.96166505324298157"/>
    <d v="2022-03-29T00:00:00"/>
    <n v="476"/>
    <d v="2025-08-20T00:00:00"/>
    <x v="30"/>
    <x v="0"/>
    <m/>
  </r>
  <r>
    <n v="32"/>
    <n v="103"/>
    <n v="254"/>
    <n v="3"/>
    <n v="762"/>
    <d v="2024-03-01T00:00:00"/>
    <s v="Пятерочка"/>
    <n v="408"/>
    <x v="6"/>
    <x v="25"/>
    <n v="258.5128205128205"/>
    <n v="-1.7456853798849425E-2"/>
    <n v="2164"/>
    <n v="-0.88262476894639552"/>
    <d v="2022-10-23T00:00:00"/>
    <n v="495"/>
    <d v="2025-08-20T00:00:00"/>
    <x v="31"/>
    <x v="2"/>
    <m/>
  </r>
  <r>
    <n v="33"/>
    <n v="104"/>
    <n v="351"/>
    <n v="1"/>
    <n v="351"/>
    <d v="2023-03-12T00:00:00"/>
    <s v="Билла"/>
    <n v="324"/>
    <x v="9"/>
    <x v="9"/>
    <n v="263.25423728813558"/>
    <n v="0.33331187226371362"/>
    <n v="5929"/>
    <n v="-0.94079946027997974"/>
    <d v="2022-07-19T00:00:00"/>
    <n v="236"/>
    <d v="2025-08-20T00:00:00"/>
    <x v="32"/>
    <x v="0"/>
    <m/>
  </r>
  <r>
    <n v="34"/>
    <n v="213"/>
    <n v="387"/>
    <n v="1"/>
    <n v="387"/>
    <d v="2023-12-07T00:00:00"/>
    <s v="Карусель"/>
    <n v="310"/>
    <x v="0"/>
    <x v="0"/>
    <n v="254.58333333333334"/>
    <n v="0.52013093289689039"/>
    <n v="5172"/>
    <n v="-0.92517401392111365"/>
    <d v="2022-09-03T00:00:00"/>
    <n v="460"/>
    <d v="2025-08-20T00:00:00"/>
    <x v="33"/>
    <x v="4"/>
    <m/>
  </r>
  <r>
    <n v="35"/>
    <n v="157"/>
    <n v="55"/>
    <n v="2"/>
    <n v="110"/>
    <d v="2024-03-30T00:00:00"/>
    <s v="Городской Супермаркет"/>
    <n v="179"/>
    <x v="11"/>
    <x v="26"/>
    <n v="261.03225806451616"/>
    <n v="-0.78929807217004455"/>
    <n v="3935"/>
    <n v="-0.98602287166454894"/>
    <d v="2022-09-29T00:00:00"/>
    <n v="548"/>
    <d v="2025-08-20T00:00:00"/>
    <x v="34"/>
    <x v="2"/>
    <m/>
  </r>
  <r>
    <n v="36"/>
    <n v="237"/>
    <n v="336"/>
    <n v="1"/>
    <n v="336"/>
    <d v="2023-02-14T00:00:00"/>
    <s v="Гиперглобус"/>
    <n v="64"/>
    <x v="17"/>
    <x v="27"/>
    <n v="267.85483870967744"/>
    <n v="0.25441079063045691"/>
    <n v="6053"/>
    <n v="-0.94449033537089044"/>
    <d v="2022-05-26T00:00:00"/>
    <n v="264"/>
    <d v="2025-08-20T00:00:00"/>
    <x v="35"/>
    <x v="0"/>
    <m/>
  </r>
  <r>
    <n v="37"/>
    <n v="8"/>
    <n v="480"/>
    <n v="4"/>
    <n v="1920"/>
    <d v="2023-01-21T00:00:00"/>
    <s v="О'кей"/>
    <n v="318"/>
    <x v="3"/>
    <x v="16"/>
    <n v="265.47674418604652"/>
    <n v="0.80806797774955097"/>
    <n v="10237"/>
    <n v="-0.95311126306535121"/>
    <d v="2022-11-27T00:00:00"/>
    <n v="55"/>
    <d v="2025-08-20T00:00:00"/>
    <x v="36"/>
    <x v="0"/>
    <m/>
  </r>
  <r>
    <n v="38"/>
    <n v="65"/>
    <n v="214"/>
    <n v="3"/>
    <n v="642"/>
    <d v="2023-07-22T00:00:00"/>
    <s v="Бристоль"/>
    <n v="239"/>
    <x v="16"/>
    <x v="23"/>
    <n v="300.31818181818181"/>
    <n v="-0.28742243075525953"/>
    <n v="4226"/>
    <n v="-0.9493610979649787"/>
    <d v="2022-07-25T00:00:00"/>
    <n v="362"/>
    <d v="2025-08-20T00:00:00"/>
    <x v="37"/>
    <x v="0"/>
    <m/>
  </r>
  <r>
    <n v="39"/>
    <n v="45"/>
    <n v="60"/>
    <n v="2"/>
    <n v="120"/>
    <d v="2024-04-24T00:00:00"/>
    <s v="Ароматный Мир"/>
    <n v="194"/>
    <x v="5"/>
    <x v="28"/>
    <n v="268.60344827586209"/>
    <n v="-0.77662237627575581"/>
    <n v="2671"/>
    <n v="-0.97753650318232876"/>
    <d v="2022-12-29T00:00:00"/>
    <n v="482"/>
    <d v="2025-08-20T00:00:00"/>
    <x v="38"/>
    <x v="2"/>
    <m/>
  </r>
  <r>
    <n v="40"/>
    <n v="36"/>
    <n v="414"/>
    <n v="3"/>
    <n v="1242"/>
    <d v="2023-07-10T00:00:00"/>
    <s v="Мираторг"/>
    <n v="267"/>
    <x v="3"/>
    <x v="29"/>
    <n v="265.47674418604652"/>
    <n v="0.55945863080898772"/>
    <n v="2120"/>
    <n v="-0.80471698113207546"/>
    <d v="2022-12-15T00:00:00"/>
    <n v="207"/>
    <d v="2025-08-20T00:00:00"/>
    <x v="39"/>
    <x v="2"/>
    <m/>
  </r>
  <r>
    <n v="41"/>
    <n v="443"/>
    <n v="62"/>
    <n v="3"/>
    <n v="186"/>
    <d v="2023-09-25T00:00:00"/>
    <s v="Спар"/>
    <n v="334"/>
    <x v="7"/>
    <x v="7"/>
    <n v="249.02380952380952"/>
    <n v="-0.75102782292762216"/>
    <n v="5248"/>
    <n v="-0.98818597560975607"/>
    <d v="2022-11-16T00:00:00"/>
    <n v="313"/>
    <d v="2025-08-20T00:00:00"/>
    <x v="40"/>
    <x v="3"/>
    <m/>
  </r>
  <r>
    <n v="42"/>
    <n v="384"/>
    <n v="357"/>
    <n v="1"/>
    <n v="357"/>
    <d v="2023-09-27T00:00:00"/>
    <s v="Магнит"/>
    <n v="47"/>
    <x v="0"/>
    <x v="11"/>
    <n v="254.58333333333334"/>
    <n v="0.4022913256955809"/>
    <n v="3604"/>
    <n v="-0.90094339622641506"/>
    <d v="2022-05-12T00:00:00"/>
    <n v="503"/>
    <d v="2025-08-20T00:00:00"/>
    <x v="29"/>
    <x v="1"/>
    <m/>
  </r>
  <r>
    <n v="43"/>
    <n v="41"/>
    <n v="493"/>
    <n v="3"/>
    <n v="1479"/>
    <d v="2023-06-27T00:00:00"/>
    <s v="Дикси"/>
    <n v="287"/>
    <x v="13"/>
    <x v="30"/>
    <n v="258.375"/>
    <n v="0.90807934204160623"/>
    <n v="2225"/>
    <n v="-0.77842696629213481"/>
    <d v="2022-02-16T00:00:00"/>
    <n v="496"/>
    <d v="2025-08-20T00:00:00"/>
    <x v="41"/>
    <x v="2"/>
    <m/>
  </r>
  <r>
    <n v="44"/>
    <n v="484"/>
    <n v="305"/>
    <n v="2"/>
    <n v="610"/>
    <d v="2023-11-04T00:00:00"/>
    <s v="Метро"/>
    <n v="145"/>
    <x v="2"/>
    <x v="31"/>
    <n v="283.468085106383"/>
    <n v="7.5958868122795176E-2"/>
    <n v="4200"/>
    <n v="-0.92738095238095242"/>
    <d v="2022-04-02T00:00:00"/>
    <n v="581"/>
    <d v="2025-08-20T00:00:00"/>
    <x v="23"/>
    <x v="3"/>
    <m/>
  </r>
  <r>
    <n v="45"/>
    <n v="7"/>
    <n v="162"/>
    <n v="4"/>
    <n v="648"/>
    <d v="2024-04-05T00:00:00"/>
    <s v="Перекресток"/>
    <n v="270"/>
    <x v="11"/>
    <x v="26"/>
    <n v="261.03225806451616"/>
    <n v="-0.37938704893722197"/>
    <n v="3935"/>
    <n v="-0.95883100381194408"/>
    <d v="2022-09-23T00:00:00"/>
    <n v="560"/>
    <d v="2025-08-20T00:00:00"/>
    <x v="42"/>
    <x v="4"/>
    <m/>
  </r>
  <r>
    <n v="46"/>
    <n v="390"/>
    <n v="78"/>
    <n v="1"/>
    <n v="78"/>
    <d v="2023-02-19T00:00:00"/>
    <s v="Мосмарт"/>
    <n v="64"/>
    <x v="5"/>
    <x v="32"/>
    <n v="268.60344827586209"/>
    <n v="-0.70960908915848253"/>
    <n v="2796"/>
    <n v="-0.97210300429184548"/>
    <d v="2022-05-26T00:00:00"/>
    <n v="269"/>
    <d v="2025-08-20T00:00:00"/>
    <x v="35"/>
    <x v="0"/>
    <m/>
  </r>
  <r>
    <n v="47"/>
    <n v="57"/>
    <n v="343"/>
    <n v="5"/>
    <n v="1715"/>
    <d v="2023-05-17T00:00:00"/>
    <s v="Дикси"/>
    <n v="183"/>
    <x v="2"/>
    <x v="2"/>
    <n v="283.468085106383"/>
    <n v="0.21001275988891388"/>
    <n v="2092"/>
    <n v="-0.83604206500956024"/>
    <d v="2022-12-05T00:00:00"/>
    <n v="163"/>
    <d v="2025-08-20T00:00:00"/>
    <x v="43"/>
    <x v="4"/>
    <m/>
  </r>
  <r>
    <n v="48"/>
    <n v="285"/>
    <n v="498"/>
    <n v="4"/>
    <n v="1992"/>
    <d v="2023-10-09T00:00:00"/>
    <s v="Гиперглобус"/>
    <n v="2"/>
    <x v="3"/>
    <x v="16"/>
    <n v="265.47674418604652"/>
    <n v="0.87587052691515921"/>
    <n v="10237"/>
    <n v="-0.95135293543030186"/>
    <d v="2022-08-02T00:00:00"/>
    <n v="433"/>
    <d v="2025-08-20T00:00:00"/>
    <x v="44"/>
    <x v="0"/>
    <m/>
  </r>
  <r>
    <n v="49"/>
    <n v="299"/>
    <n v="133"/>
    <n v="1"/>
    <n v="133"/>
    <d v="2023-06-27T00:00:00"/>
    <s v="Перекресток"/>
    <n v="204"/>
    <x v="8"/>
    <x v="14"/>
    <n v="271.18181818181819"/>
    <n v="-0.50955414012738853"/>
    <n v="4943"/>
    <n v="-0.9730932632004855"/>
    <d v="2022-11-02T00:00:00"/>
    <n v="237"/>
    <d v="2025-08-20T00:00:00"/>
    <x v="18"/>
    <x v="2"/>
    <m/>
  </r>
  <r>
    <n v="50"/>
    <n v="444"/>
    <n v="311"/>
    <n v="4"/>
    <n v="1244"/>
    <d v="2024-04-16T00:00:00"/>
    <s v="Ароматный Мир"/>
    <n v="229"/>
    <x v="9"/>
    <x v="33"/>
    <n v="263.25423728813558"/>
    <n v="0.18136749935616803"/>
    <n v="4970"/>
    <n v="-0.93742454728370217"/>
    <d v="2022-07-24T00:00:00"/>
    <n v="632"/>
    <d v="2025-08-20T00:00:00"/>
    <x v="45"/>
    <x v="1"/>
    <m/>
  </r>
  <r>
    <n v="51"/>
    <n v="35"/>
    <n v="242"/>
    <n v="2"/>
    <n v="484"/>
    <d v="2023-11-09T00:00:00"/>
    <s v="О'кей"/>
    <n v="385"/>
    <x v="18"/>
    <x v="34"/>
    <n v="255.11627906976744"/>
    <n v="-5.1412944393801285E-2"/>
    <n v="3254"/>
    <n v="-0.92562999385371847"/>
    <d v="2022-07-11T00:00:00"/>
    <n v="486"/>
    <d v="2025-08-20T00:00:00"/>
    <x v="46"/>
    <x v="3"/>
    <m/>
  </r>
  <r>
    <n v="52"/>
    <n v="296"/>
    <n v="101"/>
    <n v="3"/>
    <n v="303"/>
    <d v="2023-06-03T00:00:00"/>
    <s v="Метро"/>
    <n v="407"/>
    <x v="18"/>
    <x v="34"/>
    <n v="255.11627906976744"/>
    <n v="-0.60410209662716507"/>
    <n v="3254"/>
    <n v="-0.96896127842655189"/>
    <d v="2022-03-01T00:00:00"/>
    <n v="459"/>
    <d v="2025-08-20T00:00:00"/>
    <x v="47"/>
    <x v="1"/>
    <m/>
  </r>
  <r>
    <n v="53"/>
    <n v="227"/>
    <n v="65"/>
    <n v="1"/>
    <n v="65"/>
    <d v="2024-01-17T00:00:00"/>
    <s v="Городской Супермаркет"/>
    <n v="493"/>
    <x v="3"/>
    <x v="19"/>
    <n v="265.47674418604652"/>
    <n v="-0.75515746134641493"/>
    <n v="3622"/>
    <n v="-0.98205411374930973"/>
    <d v="2022-10-21T00:00:00"/>
    <n v="453"/>
    <d v="2025-08-20T00:00:00"/>
    <x v="48"/>
    <x v="3"/>
    <m/>
  </r>
  <r>
    <n v="54"/>
    <n v="167"/>
    <n v="143"/>
    <n v="3"/>
    <n v="429"/>
    <d v="2023-11-16T00:00:00"/>
    <s v="О'кей"/>
    <n v="34"/>
    <x v="10"/>
    <x v="12"/>
    <n v="271.74545454545455"/>
    <n v="-0.47377224675498464"/>
    <n v="3405"/>
    <n v="-0.95800293685756244"/>
    <d v="2022-04-03T00:00:00"/>
    <n v="592"/>
    <d v="2025-08-20T00:00:00"/>
    <x v="10"/>
    <x v="4"/>
    <m/>
  </r>
  <r>
    <n v="55"/>
    <n v="146"/>
    <n v="402"/>
    <n v="5"/>
    <n v="2010"/>
    <d v="2024-03-05T00:00:00"/>
    <s v="Карусель"/>
    <n v="190"/>
    <x v="5"/>
    <x v="28"/>
    <n v="268.60344827586209"/>
    <n v="0.49663007895243583"/>
    <n v="2671"/>
    <n v="-0.84949457132160244"/>
    <d v="2022-05-08T00:00:00"/>
    <n v="667"/>
    <d v="2025-08-20T00:00:00"/>
    <x v="24"/>
    <x v="1"/>
    <m/>
  </r>
  <r>
    <n v="56"/>
    <n v="338"/>
    <n v="97"/>
    <n v="1"/>
    <n v="97"/>
    <d v="2023-11-04T00:00:00"/>
    <s v="Гиперглобус"/>
    <n v="266"/>
    <x v="11"/>
    <x v="26"/>
    <n v="261.03225806451616"/>
    <n v="-0.62839841819080577"/>
    <n v="3935"/>
    <n v="-0.97534942820838633"/>
    <d v="2022-08-22T00:00:00"/>
    <n v="439"/>
    <d v="2025-08-20T00:00:00"/>
    <x v="49"/>
    <x v="2"/>
    <m/>
  </r>
  <r>
    <n v="57"/>
    <n v="155"/>
    <n v="482"/>
    <n v="1"/>
    <n v="482"/>
    <d v="2024-04-18T00:00:00"/>
    <s v="Мираторг"/>
    <n v="222"/>
    <x v="9"/>
    <x v="33"/>
    <n v="263.25423728813558"/>
    <n v="0.83092969353592583"/>
    <n v="4970"/>
    <n v="-0.90301810865191146"/>
    <d v="2022-05-13T00:00:00"/>
    <n v="706"/>
    <d v="2025-08-20T00:00:00"/>
    <x v="50"/>
    <x v="3"/>
    <m/>
  </r>
  <r>
    <n v="58"/>
    <n v="239"/>
    <n v="59"/>
    <n v="1"/>
    <n v="59"/>
    <d v="2023-10-15T00:00:00"/>
    <s v="Седьмой Континент"/>
    <n v="382"/>
    <x v="9"/>
    <x v="33"/>
    <n v="263.25423728813558"/>
    <n v="-0.77588204996137011"/>
    <n v="4970"/>
    <n v="-0.98812877263581489"/>
    <d v="2022-10-16T00:00:00"/>
    <n v="364"/>
    <d v="2025-08-20T00:00:00"/>
    <x v="51"/>
    <x v="1"/>
    <m/>
  </r>
  <r>
    <n v="59"/>
    <n v="158"/>
    <n v="87"/>
    <n v="4"/>
    <n v="348"/>
    <d v="2024-05-11T00:00:00"/>
    <s v="Перекресток"/>
    <n v="142"/>
    <x v="0"/>
    <x v="11"/>
    <n v="254.58333333333334"/>
    <n v="-0.65826513911620288"/>
    <n v="3604"/>
    <n v="-0.97586015538290782"/>
    <d v="2022-05-02T00:00:00"/>
    <n v="740"/>
    <d v="2025-08-20T00:00:00"/>
    <x v="52"/>
    <x v="2"/>
    <m/>
  </r>
  <r>
    <n v="60"/>
    <n v="147"/>
    <n v="238"/>
    <n v="5"/>
    <n v="1190"/>
    <d v="2023-02-24T00:00:00"/>
    <s v="Мосмарт"/>
    <n v="270"/>
    <x v="17"/>
    <x v="35"/>
    <n v="267.85483870967744"/>
    <n v="-0.11145902330342627"/>
    <n v="6757"/>
    <n v="-0.96477726801835129"/>
    <d v="2022-09-23T00:00:00"/>
    <n v="154"/>
    <d v="2025-08-20T00:00:00"/>
    <x v="42"/>
    <x v="4"/>
    <m/>
  </r>
  <r>
    <n v="61"/>
    <n v="311"/>
    <n v="238"/>
    <n v="5"/>
    <n v="1190"/>
    <d v="2023-11-15T00:00:00"/>
    <s v="Мосмарт"/>
    <n v="150"/>
    <x v="3"/>
    <x v="16"/>
    <n v="265.47674418604652"/>
    <n v="-0.10349962769918097"/>
    <n v="10237"/>
    <n v="-0.97675100126990333"/>
    <d v="2022-03-02T00:00:00"/>
    <n v="623"/>
    <d v="2025-08-20T00:00:00"/>
    <x v="53"/>
    <x v="0"/>
    <m/>
  </r>
  <r>
    <n v="62"/>
    <n v="465"/>
    <n v="311"/>
    <n v="2"/>
    <n v="622"/>
    <d v="2023-01-08T00:00:00"/>
    <s v="Дикси"/>
    <n v="14"/>
    <x v="9"/>
    <x v="9"/>
    <n v="263.25423728813558"/>
    <n v="0.18136749935616803"/>
    <n v="5929"/>
    <n v="-0.94754596053297346"/>
    <d v="2022-08-02T00:00:00"/>
    <n v="159"/>
    <d v="2025-08-20T00:00:00"/>
    <x v="44"/>
    <x v="4"/>
    <m/>
  </r>
  <r>
    <n v="63"/>
    <n v="449"/>
    <n v="392"/>
    <n v="3"/>
    <n v="1176"/>
    <d v="2023-12-07T00:00:00"/>
    <s v="Метро"/>
    <n v="371"/>
    <x v="10"/>
    <x v="10"/>
    <n v="271.74545454545455"/>
    <n v="0.44252642847584633"/>
    <n v="3112"/>
    <n v="-0.87403598971722363"/>
    <d v="2022-10-10T00:00:00"/>
    <n v="423"/>
    <d v="2025-08-20T00:00:00"/>
    <x v="54"/>
    <x v="3"/>
    <m/>
  </r>
  <r>
    <n v="64"/>
    <n v="144"/>
    <n v="473"/>
    <n v="5"/>
    <n v="2365"/>
    <d v="2023-12-20T00:00:00"/>
    <s v="Гиперглобус"/>
    <n v="328"/>
    <x v="3"/>
    <x v="29"/>
    <n v="265.47674418604652"/>
    <n v="0.78170031974070331"/>
    <n v="2120"/>
    <n v="-0.77688679245283021"/>
    <d v="2022-01-07T00:00:00"/>
    <n v="712"/>
    <d v="2025-08-20T00:00:00"/>
    <x v="55"/>
    <x v="2"/>
    <m/>
  </r>
  <r>
    <n v="65"/>
    <n v="375"/>
    <n v="231"/>
    <n v="2"/>
    <n v="462"/>
    <d v="2023-07-07T00:00:00"/>
    <s v="Лента"/>
    <n v="171"/>
    <x v="3"/>
    <x v="3"/>
    <n v="265.47674418604652"/>
    <n v="-0.12986728570802852"/>
    <n v="6852"/>
    <n v="-0.96628721541155871"/>
    <d v="2022-05-29T00:00:00"/>
    <n v="404"/>
    <d v="2025-08-20T00:00:00"/>
    <x v="56"/>
    <x v="2"/>
    <m/>
  </r>
  <r>
    <n v="66"/>
    <n v="408"/>
    <n v="438"/>
    <n v="3"/>
    <n v="1314"/>
    <d v="2023-02-16T00:00:00"/>
    <s v="Метро"/>
    <n v="68"/>
    <x v="9"/>
    <x v="33"/>
    <n v="263.25423728813558"/>
    <n v="0.66379088333762559"/>
    <n v="4970"/>
    <n v="-0.91187122736418513"/>
    <d v="2022-11-17T00:00:00"/>
    <n v="91"/>
    <d v="2025-08-20T00:00:00"/>
    <x v="57"/>
    <x v="0"/>
    <m/>
  </r>
  <r>
    <n v="67"/>
    <n v="425"/>
    <n v="365"/>
    <n v="2"/>
    <n v="730"/>
    <d v="2023-03-04T00:00:00"/>
    <s v="Пятерочка"/>
    <n v="346"/>
    <x v="1"/>
    <x v="13"/>
    <n v="264.8679245283019"/>
    <n v="0.37804530559908822"/>
    <n v="4171"/>
    <n v="-0.91249100935027572"/>
    <d v="2022-03-16T00:00:00"/>
    <n v="353"/>
    <d v="2025-08-20T00:00:00"/>
    <x v="58"/>
    <x v="2"/>
    <m/>
  </r>
  <r>
    <n v="68"/>
    <n v="277"/>
    <n v="324"/>
    <n v="2"/>
    <n v="648"/>
    <d v="2023-12-27T00:00:00"/>
    <s v="Пятерочка"/>
    <n v="415"/>
    <x v="8"/>
    <x v="8"/>
    <n v="271.18181818181819"/>
    <n v="0.19477036540395565"/>
    <n v="6412"/>
    <n v="-0.94946974422956953"/>
    <d v="2022-04-10T00:00:00"/>
    <n v="626"/>
    <d v="2025-08-20T00:00:00"/>
    <x v="59"/>
    <x v="3"/>
    <m/>
  </r>
  <r>
    <n v="69"/>
    <n v="130"/>
    <n v="208"/>
    <n v="5"/>
    <n v="1040"/>
    <d v="2023-02-18T00:00:00"/>
    <s v="Мосмарт"/>
    <n v="115"/>
    <x v="1"/>
    <x v="1"/>
    <n v="264.8679245283019"/>
    <n v="-0.21470294913805388"/>
    <n v="4287"/>
    <n v="-0.95148122229997667"/>
    <d v="2022-09-28T00:00:00"/>
    <n v="143"/>
    <d v="2025-08-20T00:00:00"/>
    <x v="60"/>
    <x v="1"/>
    <m/>
  </r>
  <r>
    <n v="70"/>
    <n v="337"/>
    <n v="115"/>
    <n v="3"/>
    <n v="345"/>
    <d v="2023-04-30T00:00:00"/>
    <s v="Бристоль"/>
    <n v="42"/>
    <x v="3"/>
    <x v="16"/>
    <n v="265.47674418604652"/>
    <n v="-0.56681704699750335"/>
    <n v="10237"/>
    <n v="-0.98876624010940706"/>
    <d v="2022-08-10T00:00:00"/>
    <n v="263"/>
    <d v="2025-08-20T00:00:00"/>
    <x v="61"/>
    <x v="4"/>
    <m/>
  </r>
  <r>
    <n v="71"/>
    <n v="30"/>
    <n v="261"/>
    <n v="1"/>
    <n v="261"/>
    <d v="2023-03-15T00:00:00"/>
    <s v="О'кей"/>
    <n v="378"/>
    <x v="14"/>
    <x v="21"/>
    <n v="273.72549019607845"/>
    <n v="-4.6489971346704961E-2"/>
    <n v="5885"/>
    <n v="-0.95564995751911641"/>
    <d v="2022-05-29T00:00:00"/>
    <n v="290"/>
    <d v="2025-08-20T00:00:00"/>
    <x v="56"/>
    <x v="2"/>
    <m/>
  </r>
  <r>
    <n v="72"/>
    <n v="75"/>
    <n v="257"/>
    <n v="2"/>
    <n v="514"/>
    <d v="2024-01-15T00:00:00"/>
    <s v="Седьмой Континент"/>
    <n v="449"/>
    <x v="2"/>
    <x v="36"/>
    <n v="283.468085106383"/>
    <n v="-9.3372363581775919E-2"/>
    <n v="3493"/>
    <n v="-0.92642427712567987"/>
    <d v="2022-03-25T00:00:00"/>
    <n v="661"/>
    <d v="2025-08-20T00:00:00"/>
    <x v="62"/>
    <x v="4"/>
    <m/>
  </r>
  <r>
    <n v="73"/>
    <n v="118"/>
    <n v="459"/>
    <n v="2"/>
    <n v="918"/>
    <d v="2023-03-08T00:00:00"/>
    <s v="Гиперглобус"/>
    <n v="318"/>
    <x v="0"/>
    <x v="0"/>
    <n v="254.58333333333334"/>
    <n v="0.80294599018003265"/>
    <n v="5172"/>
    <n v="-0.91125290023201855"/>
    <d v="2022-11-27T00:00:00"/>
    <n v="101"/>
    <d v="2025-08-20T00:00:00"/>
    <x v="36"/>
    <x v="0"/>
    <m/>
  </r>
  <r>
    <n v="74"/>
    <n v="19"/>
    <n v="112"/>
    <n v="4"/>
    <n v="448"/>
    <d v="2024-03-09T00:00:00"/>
    <s v="Гиперглобус"/>
    <n v="317"/>
    <x v="10"/>
    <x v="37"/>
    <n v="271.74545454545455"/>
    <n v="-0.58784959186404384"/>
    <n v="4630"/>
    <n v="-0.97580993520518355"/>
    <d v="2022-07-28T00:00:00"/>
    <n v="590"/>
    <d v="2025-08-20T00:00:00"/>
    <x v="63"/>
    <x v="2"/>
    <m/>
  </r>
  <r>
    <n v="75"/>
    <n v="204"/>
    <n v="491"/>
    <n v="4"/>
    <n v="1964"/>
    <d v="2023-01-04T00:00:00"/>
    <s v="Лента"/>
    <n v="426"/>
    <x v="2"/>
    <x v="2"/>
    <n v="283.468085106383"/>
    <n v="0.73211739097800788"/>
    <n v="2092"/>
    <n v="-0.76529636711281068"/>
    <d v="2022-07-26T00:00:00"/>
    <n v="162"/>
    <d v="2025-08-20T00:00:00"/>
    <x v="64"/>
    <x v="4"/>
    <m/>
  </r>
  <r>
    <n v="76"/>
    <n v="304"/>
    <n v="162"/>
    <n v="1"/>
    <n v="162"/>
    <d v="2024-01-25T00:00:00"/>
    <s v="Мосмарт"/>
    <n v="25"/>
    <x v="17"/>
    <x v="27"/>
    <n v="267.85483870967744"/>
    <n v="-0.39519479737460106"/>
    <n v="6053"/>
    <n v="-0.97323641169667929"/>
    <d v="2022-01-21T00:00:00"/>
    <n v="734"/>
    <d v="2025-08-20T00:00:00"/>
    <x v="5"/>
    <x v="4"/>
    <m/>
  </r>
  <r>
    <n v="77"/>
    <n v="189"/>
    <n v="278"/>
    <n v="2"/>
    <n v="556"/>
    <d v="2023-07-02T00:00:00"/>
    <s v="Ароматный Мир"/>
    <n v="462"/>
    <x v="16"/>
    <x v="38"/>
    <n v="300.31818181818181"/>
    <n v="-7.4315120326925999E-2"/>
    <n v="1848"/>
    <n v="-0.84956709956709953"/>
    <d v="2022-07-09T00:00:00"/>
    <n v="358"/>
    <d v="2025-08-20T00:00:00"/>
    <x v="65"/>
    <x v="2"/>
    <m/>
  </r>
  <r>
    <n v="78"/>
    <n v="392"/>
    <n v="484"/>
    <n v="4"/>
    <n v="1936"/>
    <d v="2024-01-11T00:00:00"/>
    <s v="Городской Супермаркет"/>
    <n v="252"/>
    <x v="7"/>
    <x v="39"/>
    <n v="249.02380952380952"/>
    <n v="0.94358925327469167"/>
    <n v="2222"/>
    <n v="-0.78217821782178221"/>
    <d v="2022-03-23T00:00:00"/>
    <n v="659"/>
    <d v="2025-08-20T00:00:00"/>
    <x v="3"/>
    <x v="2"/>
    <m/>
  </r>
  <r>
    <n v="79"/>
    <n v="10"/>
    <n v="53"/>
    <n v="1"/>
    <n v="53"/>
    <d v="2023-08-26T00:00:00"/>
    <s v="Седьмой Континент"/>
    <n v="392"/>
    <x v="5"/>
    <x v="5"/>
    <n v="268.60344827586209"/>
    <n v="-0.80268309904358437"/>
    <n v="9023"/>
    <n v="-0.99412612213232854"/>
    <d v="2022-12-24T00:00:00"/>
    <n v="245"/>
    <d v="2025-08-20T00:00:00"/>
    <x v="66"/>
    <x v="2"/>
    <m/>
  </r>
  <r>
    <n v="80"/>
    <n v="64"/>
    <n v="131"/>
    <n v="5"/>
    <n v="655"/>
    <d v="2023-01-20T00:00:00"/>
    <s v="Мосмарт"/>
    <n v="487"/>
    <x v="19"/>
    <x v="40"/>
    <n v="286.92307692307691"/>
    <n v="-0.54343163538873984"/>
    <n v="3283"/>
    <n v="-0.96009747182455074"/>
    <d v="2022-09-11T00:00:00"/>
    <n v="131"/>
    <d v="2025-08-20T00:00:00"/>
    <x v="67"/>
    <x v="2"/>
    <m/>
  </r>
  <r>
    <n v="81"/>
    <n v="116"/>
    <n v="120"/>
    <n v="2"/>
    <n v="240"/>
    <d v="2024-02-04T00:00:00"/>
    <s v="Ашан"/>
    <n v="332"/>
    <x v="1"/>
    <x v="13"/>
    <n v="264.8679245283019"/>
    <n v="-0.54694400911810803"/>
    <n v="4171"/>
    <n v="-0.97122992088228244"/>
    <d v="2022-10-24T00:00:00"/>
    <n v="468"/>
    <d v="2025-08-20T00:00:00"/>
    <x v="12"/>
    <x v="0"/>
    <m/>
  </r>
  <r>
    <n v="150"/>
    <n v="232"/>
    <n v="109"/>
    <n v="4"/>
    <n v="436"/>
    <d v="2024-04-05T00:00:00"/>
    <s v="Билла"/>
    <n v="407"/>
    <x v="15"/>
    <x v="22"/>
    <n v="294.95238095238096"/>
    <n v="-0.14562479819179852"/>
    <n v="3507"/>
    <n v="-0.96891930424864559"/>
    <d v="2022-03-01T00:00:00"/>
    <n v="766"/>
    <d v="2025-08-20T00:00:00"/>
    <x v="47"/>
    <x v="1"/>
    <m/>
  </r>
  <r>
    <n v="83"/>
    <n v="345"/>
    <n v="267"/>
    <n v="5"/>
    <n v="1335"/>
    <d v="2023-03-19T00:00:00"/>
    <s v="Дикси"/>
    <n v="287"/>
    <x v="17"/>
    <x v="27"/>
    <n v="267.85483870967744"/>
    <n v="-3.1914253025833172E-3"/>
    <n v="6053"/>
    <n v="-0.9558896415000826"/>
    <d v="2022-02-16T00:00:00"/>
    <n v="396"/>
    <d v="2025-08-20T00:00:00"/>
    <x v="41"/>
    <x v="2"/>
    <m/>
  </r>
  <r>
    <n v="84"/>
    <n v="281"/>
    <n v="371"/>
    <n v="1"/>
    <n v="371"/>
    <d v="2023-03-08T00:00:00"/>
    <s v="О'кей"/>
    <n v="11"/>
    <x v="8"/>
    <x v="14"/>
    <n v="271.18181818181819"/>
    <n v="0.36808581964465303"/>
    <n v="4943"/>
    <n v="-0.92494436576977546"/>
    <d v="2022-05-09T00:00:00"/>
    <n v="303"/>
    <d v="2025-08-20T00:00:00"/>
    <x v="68"/>
    <x v="4"/>
    <m/>
  </r>
  <r>
    <n v="85"/>
    <n v="276"/>
    <n v="295"/>
    <n v="1"/>
    <n v="295"/>
    <d v="2023-12-12T00:00:00"/>
    <s v="Гиперглобус"/>
    <n v="458"/>
    <x v="19"/>
    <x v="41"/>
    <n v="286.92307692307691"/>
    <n v="2.8150134048257502E-2"/>
    <n v="2814"/>
    <n v="-0.89516702203269372"/>
    <d v="2022-05-13T00:00:00"/>
    <n v="578"/>
    <d v="2025-08-20T00:00:00"/>
    <x v="50"/>
    <x v="2"/>
    <m/>
  </r>
  <r>
    <n v="86"/>
    <n v="234"/>
    <n v="75"/>
    <n v="5"/>
    <n v="375"/>
    <d v="2023-01-13T00:00:00"/>
    <s v="Ароматный Мир"/>
    <n v="130"/>
    <x v="8"/>
    <x v="8"/>
    <n v="271.18181818181819"/>
    <n v="-0.72343278578612136"/>
    <n v="6412"/>
    <n v="-0.9883031815346226"/>
    <d v="2022-10-29T00:00:00"/>
    <n v="76"/>
    <d v="2025-08-20T00:00:00"/>
    <x v="69"/>
    <x v="4"/>
    <m/>
  </r>
  <r>
    <n v="87"/>
    <n v="319"/>
    <n v="247"/>
    <n v="2"/>
    <n v="494"/>
    <d v="2023-09-20T00:00:00"/>
    <s v="Бристоль"/>
    <n v="330"/>
    <x v="9"/>
    <x v="33"/>
    <n v="263.25423728813558"/>
    <n v="-6.1743497295905225E-2"/>
    <n v="4970"/>
    <n v="-0.95030181086519117"/>
    <d v="2022-09-11T00:00:00"/>
    <n v="374"/>
    <d v="2025-08-20T00:00:00"/>
    <x v="67"/>
    <x v="0"/>
    <m/>
  </r>
  <r>
    <n v="88"/>
    <n v="375"/>
    <n v="281"/>
    <n v="2"/>
    <n v="562"/>
    <d v="2023-06-02T00:00:00"/>
    <s v="Гиперглобус"/>
    <n v="167"/>
    <x v="3"/>
    <x v="3"/>
    <n v="265.47674418604652"/>
    <n v="5.8473128640883054E-2"/>
    <n v="6852"/>
    <n v="-0.95899007589025098"/>
    <d v="2022-01-02T00:00:00"/>
    <n v="516"/>
    <d v="2025-08-20T00:00:00"/>
    <x v="22"/>
    <x v="0"/>
    <m/>
  </r>
  <r>
    <n v="89"/>
    <n v="443"/>
    <n v="136"/>
    <n v="2"/>
    <n v="272"/>
    <d v="2023-01-01T00:00:00"/>
    <s v="Седьмой Континент"/>
    <n v="140"/>
    <x v="7"/>
    <x v="7"/>
    <n v="249.02380952380952"/>
    <n v="-0.45386748255091303"/>
    <n v="5248"/>
    <n v="-0.97408536585365857"/>
    <d v="2022-03-07T00:00:00"/>
    <n v="300"/>
    <d v="2025-08-20T00:00:00"/>
    <x v="70"/>
    <x v="2"/>
    <m/>
  </r>
  <r>
    <n v="90"/>
    <n v="30"/>
    <n v="142"/>
    <n v="5"/>
    <n v="710"/>
    <d v="2023-10-27T00:00:00"/>
    <s v="Ароматный Мир"/>
    <n v="423"/>
    <x v="14"/>
    <x v="21"/>
    <n v="273.72549019607845"/>
    <n v="-0.48123209169054448"/>
    <n v="5885"/>
    <n v="-0.97587085811384877"/>
    <d v="2022-10-07T00:00:00"/>
    <n v="385"/>
    <d v="2025-08-20T00:00:00"/>
    <x v="71"/>
    <x v="1"/>
    <m/>
  </r>
  <r>
    <n v="91"/>
    <n v="24"/>
    <n v="414"/>
    <n v="1"/>
    <n v="414"/>
    <d v="2024-04-06T00:00:00"/>
    <s v="Спар"/>
    <n v="365"/>
    <x v="9"/>
    <x v="42"/>
    <n v="263.25423728813558"/>
    <n v="0.57262425959309815"/>
    <n v="2871"/>
    <n v="-0.85579937304075238"/>
    <d v="2022-10-07T00:00:00"/>
    <n v="547"/>
    <d v="2025-08-20T00:00:00"/>
    <x v="71"/>
    <x v="1"/>
    <m/>
  </r>
  <r>
    <n v="92"/>
    <n v="357"/>
    <n v="206"/>
    <n v="2"/>
    <n v="412"/>
    <d v="2024-05-12T00:00:00"/>
    <s v="Ашан"/>
    <n v="452"/>
    <x v="10"/>
    <x v="37"/>
    <n v="271.74545454545455"/>
    <n v="-0.24193764217850933"/>
    <n v="4630"/>
    <n v="-0.95550755939524834"/>
    <d v="2022-07-27T00:00:00"/>
    <n v="655"/>
    <d v="2025-08-20T00:00:00"/>
    <x v="72"/>
    <x v="2"/>
    <m/>
  </r>
  <r>
    <n v="93"/>
    <n v="265"/>
    <n v="66"/>
    <n v="1"/>
    <n v="66"/>
    <d v="2023-09-14T00:00:00"/>
    <s v="Магнит"/>
    <n v="424"/>
    <x v="10"/>
    <x v="15"/>
    <n v="271.74545454545455"/>
    <n v="-0.75712565234845441"/>
    <n v="3799"/>
    <n v="-0.98262700710713347"/>
    <d v="2022-01-24T00:00:00"/>
    <n v="598"/>
    <d v="2025-08-20T00:00:00"/>
    <x v="73"/>
    <x v="2"/>
    <m/>
  </r>
  <r>
    <n v="94"/>
    <n v="102"/>
    <n v="452"/>
    <n v="1"/>
    <n v="452"/>
    <d v="2023-10-19T00:00:00"/>
    <s v="Пятерочка"/>
    <n v="75"/>
    <x v="2"/>
    <x v="36"/>
    <n v="283.468085106383"/>
    <n v="0.59453576521804385"/>
    <n v="3493"/>
    <n v="-0.87059833953621535"/>
    <d v="2022-08-23T00:00:00"/>
    <n v="422"/>
    <d v="2025-08-20T00:00:00"/>
    <x v="74"/>
    <x v="3"/>
    <m/>
  </r>
  <r>
    <n v="95"/>
    <n v="212"/>
    <n v="175"/>
    <n v="1"/>
    <n v="175"/>
    <d v="2023-12-30T00:00:00"/>
    <s v="Азбука Вкуса"/>
    <n v="385"/>
    <x v="14"/>
    <x v="43"/>
    <n v="273.72549019607845"/>
    <n v="-0.36067335243553011"/>
    <n v="2244"/>
    <n v="-0.92201426024955435"/>
    <d v="2022-07-11T00:00:00"/>
    <n v="537"/>
    <d v="2025-08-20T00:00:00"/>
    <x v="46"/>
    <x v="3"/>
    <m/>
  </r>
  <r>
    <n v="96"/>
    <n v="215"/>
    <n v="109"/>
    <n v="1"/>
    <n v="109"/>
    <d v="2023-11-05T00:00:00"/>
    <s v="Гиперглобус"/>
    <n v="71"/>
    <x v="5"/>
    <x v="5"/>
    <n v="268.60344827586209"/>
    <n v="-0.59419731690095645"/>
    <n v="9023"/>
    <n v="-0.98791976061176989"/>
    <d v="2022-07-20T00:00:00"/>
    <n v="473"/>
    <d v="2025-08-20T00:00:00"/>
    <x v="75"/>
    <x v="3"/>
    <m/>
  </r>
  <r>
    <n v="97"/>
    <n v="364"/>
    <n v="323"/>
    <n v="2"/>
    <n v="646"/>
    <d v="2023-09-28T00:00:00"/>
    <s v="Седьмой Континент"/>
    <n v="313"/>
    <x v="0"/>
    <x v="44"/>
    <n v="254.58333333333334"/>
    <n v="0.26873977086743039"/>
    <n v="4988"/>
    <n v="-0.93524458700882118"/>
    <d v="2022-12-01T00:00:00"/>
    <n v="301"/>
    <d v="2025-08-20T00:00:00"/>
    <x v="76"/>
    <x v="0"/>
    <m/>
  </r>
  <r>
    <n v="98"/>
    <n v="499"/>
    <n v="96"/>
    <n v="1"/>
    <n v="96"/>
    <d v="2023-01-16T00:00:00"/>
    <s v="Карусель"/>
    <n v="239"/>
    <x v="2"/>
    <x v="45"/>
    <n v="283.468085106383"/>
    <n v="-0.66133753659085792"/>
    <n v="3538"/>
    <n v="-0.97286602600339178"/>
    <d v="2022-07-25T00:00:00"/>
    <n v="175"/>
    <d v="2025-08-20T00:00:00"/>
    <x v="37"/>
    <x v="0"/>
    <m/>
  </r>
  <r>
    <n v="99"/>
    <n v="202"/>
    <n v="422"/>
    <n v="2"/>
    <n v="844"/>
    <d v="2023-05-31T00:00:00"/>
    <s v="Карусель"/>
    <n v="301"/>
    <x v="4"/>
    <x v="24"/>
    <n v="250.48780487804879"/>
    <n v="0.68471275559883149"/>
    <n v="5165"/>
    <n v="-0.91829622458857696"/>
    <d v="2022-06-02T00:00:00"/>
    <n v="363"/>
    <d v="2025-08-20T00:00:00"/>
    <x v="77"/>
    <x v="2"/>
    <m/>
  </r>
  <r>
    <n v="100"/>
    <n v="244"/>
    <n v="57"/>
    <n v="3"/>
    <n v="171"/>
    <d v="2024-02-09T00:00:00"/>
    <s v="Ашан"/>
    <n v="359"/>
    <x v="10"/>
    <x v="12"/>
    <n v="271.74545454545455"/>
    <n v="-0.79024488157366524"/>
    <n v="3405"/>
    <n v="-0.98325991189427309"/>
    <d v="2022-01-23T00:00:00"/>
    <n v="747"/>
    <d v="2025-08-20T00:00:00"/>
    <x v="78"/>
    <x v="2"/>
    <m/>
  </r>
  <r>
    <n v="101"/>
    <n v="363"/>
    <n v="414"/>
    <n v="4"/>
    <n v="1656"/>
    <d v="2023-10-11T00:00:00"/>
    <s v="Седьмой Континент"/>
    <n v="474"/>
    <x v="16"/>
    <x v="38"/>
    <n v="300.31818181818181"/>
    <n v="0.37853791433328299"/>
    <n v="1848"/>
    <n v="-0.77597402597402598"/>
    <d v="2022-02-13T00:00:00"/>
    <n v="605"/>
    <d v="2025-08-20T00:00:00"/>
    <x v="79"/>
    <x v="2"/>
    <m/>
  </r>
  <r>
    <n v="102"/>
    <n v="212"/>
    <n v="320"/>
    <n v="5"/>
    <n v="1600"/>
    <d v="2023-06-05T00:00:00"/>
    <s v="Городской Супермаркет"/>
    <n v="111"/>
    <x v="14"/>
    <x v="43"/>
    <n v="273.72549019607845"/>
    <n v="0.16905444126074487"/>
    <n v="2244"/>
    <n v="-0.85739750445632801"/>
    <d v="2022-08-31T00:00:00"/>
    <n v="278"/>
    <d v="2025-08-20T00:00:00"/>
    <x v="80"/>
    <x v="0"/>
    <m/>
  </r>
  <r>
    <n v="103"/>
    <n v="434"/>
    <n v="272"/>
    <n v="2"/>
    <n v="544"/>
    <d v="2023-09-05T00:00:00"/>
    <s v="Карусель"/>
    <n v="126"/>
    <x v="11"/>
    <x v="46"/>
    <n v="261.03225806451616"/>
    <n v="4.2016806722688926E-2"/>
    <n v="8943"/>
    <n v="-0.96958515039695847"/>
    <d v="2022-09-18T00:00:00"/>
    <n v="352"/>
    <d v="2025-08-20T00:00:00"/>
    <x v="81"/>
    <x v="0"/>
    <m/>
  </r>
  <r>
    <n v="104"/>
    <n v="305"/>
    <n v="419"/>
    <n v="4"/>
    <n v="1676"/>
    <d v="2023-09-02T00:00:00"/>
    <s v="Азбука Вкуса"/>
    <n v="356"/>
    <x v="2"/>
    <x v="45"/>
    <n v="283.468085106383"/>
    <n v="0.47812054342115129"/>
    <n v="3538"/>
    <n v="-0.88157150932730355"/>
    <d v="2022-01-09T00:00:00"/>
    <n v="601"/>
    <d v="2025-08-20T00:00:00"/>
    <x v="82"/>
    <x v="4"/>
    <m/>
  </r>
  <r>
    <n v="105"/>
    <n v="37"/>
    <n v="478"/>
    <n v="4"/>
    <n v="1912"/>
    <d v="2023-11-29T00:00:00"/>
    <s v="Спар"/>
    <n v="166"/>
    <x v="1"/>
    <x v="1"/>
    <n v="264.8679245283019"/>
    <n v="0.80467303034620308"/>
    <n v="4287"/>
    <n v="-0.88850011663167716"/>
    <d v="2022-08-23T00:00:00"/>
    <n v="463"/>
    <d v="2025-08-20T00:00:00"/>
    <x v="74"/>
    <x v="0"/>
    <m/>
  </r>
  <r>
    <n v="106"/>
    <n v="242"/>
    <n v="333"/>
    <n v="3"/>
    <n v="999"/>
    <d v="2023-12-27T00:00:00"/>
    <s v="Городской Супермаркет"/>
    <n v="162"/>
    <x v="4"/>
    <x v="24"/>
    <n v="250.48780487804879"/>
    <n v="0.32940603700097371"/>
    <n v="5165"/>
    <n v="-0.93552758954501458"/>
    <d v="2022-03-19T00:00:00"/>
    <n v="648"/>
    <d v="2025-08-20T00:00:00"/>
    <x v="83"/>
    <x v="4"/>
    <m/>
  </r>
  <r>
    <n v="107"/>
    <n v="332"/>
    <n v="327"/>
    <n v="2"/>
    <n v="654"/>
    <d v="2023-06-18T00:00:00"/>
    <s v="Метро"/>
    <n v="459"/>
    <x v="8"/>
    <x v="47"/>
    <n v="271.18181818181819"/>
    <n v="0.20583305397251084"/>
    <n v="1127"/>
    <n v="-0.70984915705412599"/>
    <d v="2022-07-01T00:00:00"/>
    <n v="352"/>
    <d v="2025-08-20T00:00:00"/>
    <x v="84"/>
    <x v="2"/>
    <m/>
  </r>
  <r>
    <n v="108"/>
    <n v="452"/>
    <n v="89"/>
    <n v="3"/>
    <n v="267"/>
    <d v="2023-04-17T00:00:00"/>
    <s v="О'кей"/>
    <n v="211"/>
    <x v="12"/>
    <x v="18"/>
    <n v="274.16279069767444"/>
    <n v="-0.67537534990245152"/>
    <n v="4059"/>
    <n v="-0.97807341709780737"/>
    <d v="2022-03-01T00:00:00"/>
    <n v="412"/>
    <d v="2025-08-20T00:00:00"/>
    <x v="47"/>
    <x v="3"/>
    <m/>
  </r>
  <r>
    <n v="109"/>
    <n v="452"/>
    <n v="78"/>
    <n v="3"/>
    <n v="234"/>
    <d v="2023-12-25T00:00:00"/>
    <s v="Городской Супермаркет"/>
    <n v="132"/>
    <x v="12"/>
    <x v="18"/>
    <n v="274.16279069767444"/>
    <n v="-0.71549749766731696"/>
    <n v="4059"/>
    <n v="-0.98078344419807839"/>
    <d v="2022-02-09T00:00:00"/>
    <n v="684"/>
    <d v="2025-08-20T00:00:00"/>
    <x v="85"/>
    <x v="3"/>
    <m/>
  </r>
  <r>
    <n v="110"/>
    <n v="132"/>
    <n v="278"/>
    <n v="3"/>
    <n v="834"/>
    <d v="2023-03-28T00:00:00"/>
    <s v="Верный"/>
    <n v="236"/>
    <x v="6"/>
    <x v="6"/>
    <n v="258.5128205128205"/>
    <n v="7.5381868676849928E-2"/>
    <n v="4431"/>
    <n v="-0.93726021214172872"/>
    <d v="2022-09-16T00:00:00"/>
    <n v="193"/>
    <d v="2025-08-20T00:00:00"/>
    <x v="14"/>
    <x v="0"/>
    <m/>
  </r>
  <r>
    <n v="111"/>
    <n v="457"/>
    <n v="211"/>
    <n v="4"/>
    <n v="844"/>
    <d v="2023-04-23T00:00:00"/>
    <s v="Гиперглобус"/>
    <n v="333"/>
    <x v="5"/>
    <x v="48"/>
    <n v="268.60344827586209"/>
    <n v="-0.21445535656974135"/>
    <n v="1089"/>
    <n v="-0.80624426078971534"/>
    <d v="2022-10-23T00:00:00"/>
    <n v="182"/>
    <d v="2025-08-20T00:00:00"/>
    <x v="31"/>
    <x v="2"/>
    <m/>
  </r>
  <r>
    <n v="112"/>
    <n v="250"/>
    <n v="97"/>
    <n v="5"/>
    <n v="485"/>
    <d v="2023-10-15T00:00:00"/>
    <s v="Азбука Вкуса"/>
    <n v="298"/>
    <x v="12"/>
    <x v="49"/>
    <n v="274.16279069767444"/>
    <n v="-0.64619560607345838"/>
    <n v="2526"/>
    <n v="-0.96159936658749012"/>
    <d v="2022-09-17T00:00:00"/>
    <n v="393"/>
    <d v="2025-08-20T00:00:00"/>
    <x v="86"/>
    <x v="3"/>
    <m/>
  </r>
  <r>
    <n v="113"/>
    <n v="195"/>
    <n v="240"/>
    <n v="2"/>
    <n v="480"/>
    <d v="2023-12-17T00:00:00"/>
    <s v="Мираторг"/>
    <n v="273"/>
    <x v="16"/>
    <x v="50"/>
    <n v="300.31818181818181"/>
    <n v="-0.20084758589374907"/>
    <n v="3974"/>
    <n v="-0.93960744841469557"/>
    <d v="2022-02-07T00:00:00"/>
    <n v="678"/>
    <d v="2025-08-20T00:00:00"/>
    <x v="87"/>
    <x v="0"/>
    <m/>
  </r>
  <r>
    <n v="114"/>
    <n v="186"/>
    <n v="244"/>
    <n v="1"/>
    <n v="244"/>
    <d v="2023-09-07T00:00:00"/>
    <s v="Гиперглобус"/>
    <n v="321"/>
    <x v="11"/>
    <x v="26"/>
    <n v="261.03225806451616"/>
    <n v="-6.5249629263470221E-2"/>
    <n v="3935"/>
    <n v="-0.93799237611181707"/>
    <d v="2022-07-14T00:00:00"/>
    <n v="420"/>
    <d v="2025-08-20T00:00:00"/>
    <x v="19"/>
    <x v="4"/>
    <m/>
  </r>
  <r>
    <n v="115"/>
    <n v="490"/>
    <n v="219"/>
    <n v="1"/>
    <n v="219"/>
    <d v="2023-01-22T00:00:00"/>
    <s v="Билла"/>
    <n v="119"/>
    <x v="11"/>
    <x v="46"/>
    <n v="261.03225806451616"/>
    <n v="-0.16102323282254083"/>
    <n v="8943"/>
    <n v="-0.97551157329755112"/>
    <d v="2022-05-09T00:00:00"/>
    <n v="258"/>
    <d v="2025-08-20T00:00:00"/>
    <x v="68"/>
    <x v="2"/>
    <m/>
  </r>
  <r>
    <n v="116"/>
    <n v="72"/>
    <n v="162"/>
    <n v="1"/>
    <n v="162"/>
    <d v="2023-02-02T00:00:00"/>
    <s v="Гиперглобус"/>
    <n v="472"/>
    <x v="17"/>
    <x v="35"/>
    <n v="267.85483870967744"/>
    <n v="-0.39519479737460106"/>
    <n v="6757"/>
    <n v="-0.9760248631049282"/>
    <d v="2022-12-06T00:00:00"/>
    <n v="58"/>
    <d v="2025-08-20T00:00:00"/>
    <x v="88"/>
    <x v="3"/>
    <m/>
  </r>
  <r>
    <n v="117"/>
    <n v="430"/>
    <n v="119"/>
    <n v="3"/>
    <n v="357"/>
    <d v="2023-11-11T00:00:00"/>
    <s v="Магнит"/>
    <n v="396"/>
    <x v="8"/>
    <x v="51"/>
    <n v="271.18181818181819"/>
    <n v="-0.56118002011397916"/>
    <n v="2433"/>
    <n v="-0.95108919030004113"/>
    <d v="2022-11-06T00:00:00"/>
    <n v="370"/>
    <d v="2025-08-20T00:00:00"/>
    <x v="89"/>
    <x v="3"/>
    <m/>
  </r>
  <r>
    <n v="118"/>
    <n v="223"/>
    <n v="174"/>
    <n v="2"/>
    <n v="348"/>
    <d v="2024-02-16T00:00:00"/>
    <s v="Мираторг"/>
    <n v="269"/>
    <x v="8"/>
    <x v="8"/>
    <n v="271.18181818181819"/>
    <n v="-0.35836406302380153"/>
    <n v="6412"/>
    <n v="-0.97286338116032445"/>
    <d v="2022-06-08T00:00:00"/>
    <n v="618"/>
    <d v="2025-08-20T00:00:00"/>
    <x v="90"/>
    <x v="2"/>
    <m/>
  </r>
  <r>
    <n v="569"/>
    <n v="474"/>
    <n v="261"/>
    <n v="2"/>
    <n v="522"/>
    <d v="2024-03-31T00:00:00"/>
    <s v="Азбука Вкуса"/>
    <n v="88"/>
    <x v="15"/>
    <x v="22"/>
    <n v="294.95238095238096"/>
    <n v="0.19002260251856629"/>
    <n v="3507"/>
    <n v="-0.92557741659538062"/>
    <d v="2022-03-10T00:00:00"/>
    <n v="752"/>
    <d v="2025-08-20T00:00:00"/>
    <x v="91"/>
    <x v="3"/>
    <m/>
  </r>
  <r>
    <n v="120"/>
    <n v="223"/>
    <n v="411"/>
    <n v="5"/>
    <n v="2055"/>
    <d v="2023-11-14T00:00:00"/>
    <s v="Ароматный Мир"/>
    <n v="281"/>
    <x v="8"/>
    <x v="8"/>
    <n v="271.18181818181819"/>
    <n v="0.51558833389205505"/>
    <n v="6412"/>
    <n v="-0.93590143480973176"/>
    <d v="2022-05-30T00:00:00"/>
    <n v="533"/>
    <d v="2025-08-20T00:00:00"/>
    <x v="92"/>
    <x v="0"/>
    <m/>
  </r>
  <r>
    <n v="121"/>
    <n v="244"/>
    <n v="245"/>
    <n v="4"/>
    <n v="980"/>
    <d v="2023-02-03T00:00:00"/>
    <s v="Седьмой Континент"/>
    <n v="149"/>
    <x v="10"/>
    <x v="12"/>
    <n v="271.74545454545455"/>
    <n v="-9.8420982202595986E-2"/>
    <n v="3405"/>
    <n v="-0.92804698972099853"/>
    <d v="2022-11-17T00:00:00"/>
    <n v="78"/>
    <d v="2025-08-20T00:00:00"/>
    <x v="57"/>
    <x v="4"/>
    <m/>
  </r>
  <r>
    <n v="122"/>
    <n v="393"/>
    <n v="113"/>
    <n v="5"/>
    <n v="565"/>
    <d v="2024-05-21T00:00:00"/>
    <s v="Метро"/>
    <n v="71"/>
    <x v="6"/>
    <x v="52"/>
    <n v="258.5128205128205"/>
    <n v="-0.56288434834358259"/>
    <n v="878"/>
    <n v="-0.87129840546697035"/>
    <d v="2022-07-20T00:00:00"/>
    <n v="671"/>
    <d v="2025-08-20T00:00:00"/>
    <x v="75"/>
    <x v="3"/>
    <m/>
  </r>
  <r>
    <n v="123"/>
    <n v="166"/>
    <n v="73"/>
    <n v="4"/>
    <n v="292"/>
    <d v="2024-01-25T00:00:00"/>
    <s v="Магнит"/>
    <n v="126"/>
    <x v="5"/>
    <x v="28"/>
    <n v="268.60344827586209"/>
    <n v="-0.72822389113550301"/>
    <n v="2671"/>
    <n v="-0.97266941220516656"/>
    <d v="2022-09-18T00:00:00"/>
    <n v="494"/>
    <d v="2025-08-20T00:00:00"/>
    <x v="81"/>
    <x v="0"/>
    <m/>
  </r>
  <r>
    <n v="124"/>
    <n v="249"/>
    <n v="368"/>
    <n v="2"/>
    <n v="736"/>
    <d v="2024-01-22T00:00:00"/>
    <s v="О'кей"/>
    <n v="380"/>
    <x v="8"/>
    <x v="14"/>
    <n v="271.18181818181819"/>
    <n v="0.35702313107609784"/>
    <n v="4943"/>
    <n v="-0.92555128464495251"/>
    <d v="2022-01-02T00:00:00"/>
    <n v="750"/>
    <d v="2025-08-20T00:00:00"/>
    <x v="22"/>
    <x v="2"/>
    <m/>
  </r>
  <r>
    <n v="125"/>
    <n v="83"/>
    <n v="351"/>
    <n v="1"/>
    <n v="351"/>
    <d v="2024-03-10T00:00:00"/>
    <s v="Мосмарт"/>
    <n v="11"/>
    <x v="5"/>
    <x v="32"/>
    <n v="268.60344827586209"/>
    <n v="0.30675909878682828"/>
    <n v="2796"/>
    <n v="-0.87446351931330468"/>
    <d v="2022-05-09T00:00:00"/>
    <n v="671"/>
    <d v="2025-08-20T00:00:00"/>
    <x v="68"/>
    <x v="4"/>
    <m/>
  </r>
  <r>
    <n v="126"/>
    <n v="242"/>
    <n v="221"/>
    <n v="5"/>
    <n v="1105"/>
    <d v="2023-04-09T00:00:00"/>
    <s v="Билла"/>
    <n v="114"/>
    <x v="4"/>
    <x v="24"/>
    <n v="250.48780487804879"/>
    <n v="-0.11772151898734184"/>
    <n v="5165"/>
    <n v="-0.95721200387221683"/>
    <d v="2022-11-24T00:00:00"/>
    <n v="136"/>
    <d v="2025-08-20T00:00:00"/>
    <x v="93"/>
    <x v="2"/>
    <m/>
  </r>
  <r>
    <n v="127"/>
    <n v="281"/>
    <n v="442"/>
    <n v="5"/>
    <n v="2210"/>
    <d v="2024-03-28T00:00:00"/>
    <s v="Городской Супермаркет"/>
    <n v="381"/>
    <x v="8"/>
    <x v="14"/>
    <n v="271.18181818181819"/>
    <n v="0.6299027824337915"/>
    <n v="4943"/>
    <n v="-0.91058061905725274"/>
    <d v="2022-06-02T00:00:00"/>
    <n v="665"/>
    <d v="2025-08-20T00:00:00"/>
    <x v="77"/>
    <x v="0"/>
    <m/>
  </r>
  <r>
    <n v="128"/>
    <n v="236"/>
    <n v="465"/>
    <n v="1"/>
    <n v="465"/>
    <d v="2023-09-07T00:00:00"/>
    <s v="Ашан"/>
    <n v="342"/>
    <x v="2"/>
    <x v="45"/>
    <n v="283.468085106383"/>
    <n v="0.64039630713803186"/>
    <n v="3538"/>
    <n v="-0.86856981345392881"/>
    <d v="2022-01-09T00:00:00"/>
    <n v="606"/>
    <d v="2025-08-20T00:00:00"/>
    <x v="82"/>
    <x v="4"/>
    <m/>
  </r>
  <r>
    <n v="129"/>
    <n v="379"/>
    <n v="380"/>
    <n v="1"/>
    <n v="380"/>
    <d v="2023-11-30T00:00:00"/>
    <s v="Ашан"/>
    <n v="276"/>
    <x v="9"/>
    <x v="53"/>
    <n v="263.25423728813558"/>
    <n v="0.44347154262168442"/>
    <n v="1762"/>
    <n v="-0.78433598183881958"/>
    <d v="2022-03-12T00:00:00"/>
    <n v="628"/>
    <d v="2025-08-20T00:00:00"/>
    <x v="94"/>
    <x v="4"/>
    <m/>
  </r>
  <r>
    <n v="130"/>
    <n v="37"/>
    <n v="313"/>
    <n v="1"/>
    <n v="313"/>
    <d v="2023-03-24T00:00:00"/>
    <s v="Перекресток"/>
    <n v="293"/>
    <x v="1"/>
    <x v="1"/>
    <n v="264.8679245283019"/>
    <n v="0.18172104288360158"/>
    <n v="4287"/>
    <n v="-0.92698857009563795"/>
    <d v="2022-01-12T00:00:00"/>
    <n v="436"/>
    <d v="2025-08-20T00:00:00"/>
    <x v="95"/>
    <x v="1"/>
    <m/>
  </r>
  <r>
    <n v="131"/>
    <n v="431"/>
    <n v="141"/>
    <n v="5"/>
    <n v="705"/>
    <d v="2023-04-13T00:00:00"/>
    <s v="Лента"/>
    <n v="386"/>
    <x v="4"/>
    <x v="54"/>
    <n v="250.48780487804879"/>
    <n v="-0.43709834469328146"/>
    <n v="2229"/>
    <n v="-0.93674293405114395"/>
    <d v="2022-06-22T00:00:00"/>
    <n v="295"/>
    <d v="2025-08-20T00:00:00"/>
    <x v="96"/>
    <x v="0"/>
    <m/>
  </r>
  <r>
    <n v="132"/>
    <n v="237"/>
    <n v="348"/>
    <n v="2"/>
    <n v="696"/>
    <d v="2024-04-02T00:00:00"/>
    <s v="Дикси"/>
    <n v="362"/>
    <x v="17"/>
    <x v="27"/>
    <n v="267.85483870967744"/>
    <n v="0.29921117601011615"/>
    <n v="6053"/>
    <n v="-0.9425078473484223"/>
    <d v="2022-12-21T00:00:00"/>
    <n v="468"/>
    <d v="2025-08-20T00:00:00"/>
    <x v="97"/>
    <x v="2"/>
    <m/>
  </r>
  <r>
    <n v="133"/>
    <n v="452"/>
    <n v="349"/>
    <n v="1"/>
    <n v="349"/>
    <d v="2023-03-15T00:00:00"/>
    <s v="Верный"/>
    <n v="283"/>
    <x v="12"/>
    <x v="18"/>
    <n v="274.16279069767444"/>
    <n v="0.27296632453982528"/>
    <n v="4059"/>
    <n v="-0.91401823109140179"/>
    <d v="2022-11-24T00:00:00"/>
    <n v="111"/>
    <d v="2025-08-20T00:00:00"/>
    <x v="93"/>
    <x v="4"/>
    <m/>
  </r>
  <r>
    <n v="134"/>
    <n v="382"/>
    <n v="379"/>
    <n v="5"/>
    <n v="1895"/>
    <d v="2024-01-23T00:00:00"/>
    <s v="Перекресток"/>
    <n v="388"/>
    <x v="4"/>
    <x v="24"/>
    <n v="250.48780487804879"/>
    <n v="0.51304771178188902"/>
    <n v="5165"/>
    <n v="-0.92662149080348499"/>
    <d v="2022-01-20T00:00:00"/>
    <n v="733"/>
    <d v="2025-08-20T00:00:00"/>
    <x v="98"/>
    <x v="2"/>
    <m/>
  </r>
  <r>
    <n v="135"/>
    <n v="452"/>
    <n v="448"/>
    <n v="4"/>
    <n v="1792"/>
    <d v="2024-05-22T00:00:00"/>
    <s v="Ашан"/>
    <n v="437"/>
    <x v="12"/>
    <x v="18"/>
    <n v="274.16279069767444"/>
    <n v="0.63406565442361518"/>
    <n v="4059"/>
    <n v="-0.88962798718896274"/>
    <d v="2022-01-15T00:00:00"/>
    <n v="858"/>
    <d v="2025-08-20T00:00:00"/>
    <x v="99"/>
    <x v="0"/>
    <m/>
  </r>
  <r>
    <n v="136"/>
    <n v="463"/>
    <n v="173"/>
    <n v="2"/>
    <n v="346"/>
    <d v="2023-04-22T00:00:00"/>
    <s v="О'кей"/>
    <n v="450"/>
    <x v="7"/>
    <x v="39"/>
    <n v="249.02380952380952"/>
    <n v="-0.30528731236255857"/>
    <n v="2222"/>
    <n v="-0.92214221422142217"/>
    <d v="2022-02-27T00:00:00"/>
    <n v="419"/>
    <d v="2025-08-20T00:00:00"/>
    <x v="7"/>
    <x v="2"/>
    <m/>
  </r>
  <r>
    <n v="137"/>
    <n v="494"/>
    <n v="304"/>
    <n v="3"/>
    <n v="912"/>
    <d v="2023-05-24T00:00:00"/>
    <s v="Мираторг"/>
    <n v="136"/>
    <x v="11"/>
    <x v="46"/>
    <n v="261.03225806451616"/>
    <n v="0.16460701927829935"/>
    <n v="8943"/>
    <n v="-0.96600693279660066"/>
    <d v="2022-10-26T00:00:00"/>
    <n v="210"/>
    <d v="2025-08-20T00:00:00"/>
    <x v="100"/>
    <x v="3"/>
    <m/>
  </r>
  <r>
    <n v="138"/>
    <n v="394"/>
    <n v="493"/>
    <n v="3"/>
    <n v="1479"/>
    <d v="2023-04-16T00:00:00"/>
    <s v="Спар"/>
    <n v="61"/>
    <x v="7"/>
    <x v="39"/>
    <n v="249.02380952380952"/>
    <n v="0.97973037575294009"/>
    <n v="2222"/>
    <n v="-0.77812781278127807"/>
    <d v="2022-07-27T00:00:00"/>
    <n v="263"/>
    <d v="2025-08-20T00:00:00"/>
    <x v="72"/>
    <x v="4"/>
    <m/>
  </r>
  <r>
    <n v="139"/>
    <n v="380"/>
    <n v="344"/>
    <n v="5"/>
    <n v="1720"/>
    <d v="2023-09-20T00:00:00"/>
    <s v="Спар"/>
    <n v="364"/>
    <x v="17"/>
    <x v="35"/>
    <n v="267.85483870967744"/>
    <n v="0.2842777142168964"/>
    <n v="6757"/>
    <n v="-0.94908983276602044"/>
    <d v="2022-11-18T00:00:00"/>
    <n v="306"/>
    <d v="2025-08-20T00:00:00"/>
    <x v="101"/>
    <x v="2"/>
    <m/>
  </r>
  <r>
    <n v="140"/>
    <n v="449"/>
    <n v="470"/>
    <n v="4"/>
    <n v="1880"/>
    <d v="2023-07-03T00:00:00"/>
    <s v="Лента"/>
    <n v="496"/>
    <x v="10"/>
    <x v="10"/>
    <n v="271.74545454545455"/>
    <n v="0.72955974842767302"/>
    <n v="3112"/>
    <n v="-0.84897172236503859"/>
    <d v="2022-11-02T00:00:00"/>
    <n v="243"/>
    <d v="2025-08-20T00:00:00"/>
    <x v="18"/>
    <x v="3"/>
    <m/>
  </r>
  <r>
    <n v="141"/>
    <n v="309"/>
    <n v="498"/>
    <n v="1"/>
    <n v="498"/>
    <d v="2024-03-21T00:00:00"/>
    <s v="Лента"/>
    <n v="464"/>
    <x v="17"/>
    <x v="27"/>
    <n v="267.85483870967744"/>
    <n v="0.85921599325585585"/>
    <n v="6053"/>
    <n v="-0.91772674706756985"/>
    <d v="2022-09-23T00:00:00"/>
    <n v="545"/>
    <d v="2025-08-20T00:00:00"/>
    <x v="42"/>
    <x v="2"/>
    <m/>
  </r>
  <r>
    <n v="564"/>
    <n v="274"/>
    <n v="472"/>
    <n v="3"/>
    <n v="1416"/>
    <d v="2024-04-26T00:00:00"/>
    <s v="Дикси"/>
    <n v="272"/>
    <x v="15"/>
    <x v="22"/>
    <n v="294.95238095238096"/>
    <n v="-0.19648046496609628"/>
    <n v="3507"/>
    <n v="-0.86541203307670367"/>
    <d v="2022-04-17T00:00:00"/>
    <n v="740"/>
    <d v="2025-08-20T00:00:00"/>
    <x v="102"/>
    <x v="4"/>
    <m/>
  </r>
  <r>
    <n v="143"/>
    <n v="81"/>
    <n v="116"/>
    <n v="1"/>
    <n v="116"/>
    <d v="2024-03-05T00:00:00"/>
    <s v="Азбука Вкуса"/>
    <n v="247"/>
    <x v="8"/>
    <x v="47"/>
    <n v="271.18181818181819"/>
    <n v="-0.57224270868253435"/>
    <n v="1127"/>
    <n v="-0.89707187222715179"/>
    <d v="2022-07-20T00:00:00"/>
    <n v="594"/>
    <d v="2025-08-20T00:00:00"/>
    <x v="75"/>
    <x v="0"/>
    <m/>
  </r>
  <r>
    <n v="144"/>
    <n v="4"/>
    <n v="314"/>
    <n v="4"/>
    <n v="1256"/>
    <d v="2024-02-14T00:00:00"/>
    <s v="Мираторг"/>
    <n v="380"/>
    <x v="13"/>
    <x v="20"/>
    <n v="258.375"/>
    <n v="0.21528785679729068"/>
    <n v="4585"/>
    <n v="-0.931515812431843"/>
    <d v="2022-01-02T00:00:00"/>
    <n v="773"/>
    <d v="2025-08-20T00:00:00"/>
    <x v="22"/>
    <x v="2"/>
    <m/>
  </r>
  <r>
    <n v="145"/>
    <n v="209"/>
    <n v="284"/>
    <n v="5"/>
    <n v="1420"/>
    <d v="2023-08-29T00:00:00"/>
    <s v="Спар"/>
    <n v="75"/>
    <x v="16"/>
    <x v="55"/>
    <n v="300.31818181818181"/>
    <n v="-5.4336309974269748E-2"/>
    <n v="3166"/>
    <n v="-0.91029690461149715"/>
    <d v="2022-08-23T00:00:00"/>
    <n v="371"/>
    <d v="2025-08-20T00:00:00"/>
    <x v="74"/>
    <x v="3"/>
    <m/>
  </r>
  <r>
    <n v="146"/>
    <n v="156"/>
    <n v="332"/>
    <n v="1"/>
    <n v="332"/>
    <d v="2023-05-23T00:00:00"/>
    <s v="Гиперглобус"/>
    <n v="356"/>
    <x v="12"/>
    <x v="49"/>
    <n v="274.16279069767444"/>
    <n v="0.21095936890321476"/>
    <n v="2526"/>
    <n v="-0.86856690419635785"/>
    <d v="2022-01-09T00:00:00"/>
    <n v="499"/>
    <d v="2025-08-20T00:00:00"/>
    <x v="82"/>
    <x v="4"/>
    <m/>
  </r>
  <r>
    <n v="147"/>
    <n v="441"/>
    <n v="239"/>
    <n v="2"/>
    <n v="478"/>
    <d v="2023-06-26T00:00:00"/>
    <s v="Магнит"/>
    <n v="487"/>
    <x v="8"/>
    <x v="14"/>
    <n v="271.18181818181819"/>
    <n v="-0.11867247737177344"/>
    <n v="4943"/>
    <n v="-0.95164879627756427"/>
    <d v="2022-09-11T00:00:00"/>
    <n v="288"/>
    <d v="2025-08-20T00:00:00"/>
    <x v="67"/>
    <x v="2"/>
    <m/>
  </r>
  <r>
    <n v="148"/>
    <n v="180"/>
    <n v="86"/>
    <n v="4"/>
    <n v="344"/>
    <d v="2024-02-04T00:00:00"/>
    <s v="Гиперглобус"/>
    <n v="73"/>
    <x v="14"/>
    <x v="56"/>
    <n v="273.72549019607845"/>
    <n v="-0.68581661891117474"/>
    <n v="2902"/>
    <n v="-0.97036526533425227"/>
    <d v="2022-04-14T00:00:00"/>
    <n v="661"/>
    <d v="2025-08-20T00:00:00"/>
    <x v="103"/>
    <x v="3"/>
    <m/>
  </r>
  <r>
    <n v="149"/>
    <n v="438"/>
    <n v="154"/>
    <n v="4"/>
    <n v="616"/>
    <d v="2023-12-04T00:00:00"/>
    <s v="Спар"/>
    <n v="139"/>
    <x v="7"/>
    <x v="57"/>
    <n v="249.02380952380952"/>
    <n v="-0.38158523759441632"/>
    <n v="2569"/>
    <n v="-0.94005449591280654"/>
    <d v="2022-03-28T00:00:00"/>
    <n v="616"/>
    <d v="2025-08-20T00:00:00"/>
    <x v="104"/>
    <x v="1"/>
    <m/>
  </r>
  <r>
    <n v="692"/>
    <n v="474"/>
    <n v="252"/>
    <n v="3"/>
    <n v="756"/>
    <d v="2024-05-13T00:00:00"/>
    <s v="Карусель"/>
    <n v="470"/>
    <x v="15"/>
    <x v="22"/>
    <n v="294.95238095238096"/>
    <n v="-0.75250242169841786"/>
    <n v="3507"/>
    <n v="-0.92814371257485029"/>
    <d v="2022-05-09T00:00:00"/>
    <n v="735"/>
    <d v="2025-08-20T00:00:00"/>
    <x v="68"/>
    <x v="4"/>
    <m/>
  </r>
  <r>
    <n v="119"/>
    <n v="164"/>
    <n v="229"/>
    <n v="3"/>
    <n v="687"/>
    <d v="2024-02-21T00:00:00"/>
    <s v="О'кей"/>
    <n v="16"/>
    <x v="15"/>
    <x v="58"/>
    <n v="294.95238095238096"/>
    <n v="-0.11511139812721993"/>
    <n v="3548"/>
    <n v="-0.93545659526493796"/>
    <d v="2022-06-01T00:00:00"/>
    <n v="630"/>
    <d v="2025-08-20T00:00:00"/>
    <x v="105"/>
    <x v="3"/>
    <m/>
  </r>
  <r>
    <n v="152"/>
    <n v="295"/>
    <n v="230"/>
    <n v="4"/>
    <n v="920"/>
    <d v="2023-03-05T00:00:00"/>
    <s v="Спар"/>
    <n v="258"/>
    <x v="2"/>
    <x v="36"/>
    <n v="283.468085106383"/>
    <n v="-0.18862118141559714"/>
    <n v="3493"/>
    <n v="-0.93415402233037503"/>
    <d v="2022-06-05T00:00:00"/>
    <n v="273"/>
    <d v="2025-08-20T00:00:00"/>
    <x v="106"/>
    <x v="3"/>
    <m/>
  </r>
  <r>
    <n v="153"/>
    <n v="204"/>
    <n v="88"/>
    <n v="4"/>
    <n v="352"/>
    <d v="2023-03-05T00:00:00"/>
    <s v="Магнит"/>
    <n v="349"/>
    <x v="2"/>
    <x v="2"/>
    <n v="283.468085106383"/>
    <n v="-0.68955940854161979"/>
    <n v="2092"/>
    <n v="-0.9579349904397706"/>
    <d v="2022-04-22T00:00:00"/>
    <n v="317"/>
    <d v="2025-08-20T00:00:00"/>
    <x v="107"/>
    <x v="2"/>
    <m/>
  </r>
  <r>
    <n v="154"/>
    <n v="399"/>
    <n v="231"/>
    <n v="2"/>
    <n v="462"/>
    <d v="2023-12-30T00:00:00"/>
    <s v="Ароматный Мир"/>
    <n v="325"/>
    <x v="16"/>
    <x v="23"/>
    <n v="300.31818181818181"/>
    <n v="-0.2308158014227335"/>
    <n v="4226"/>
    <n v="-0.94533838144817794"/>
    <d v="2022-11-10T00:00:00"/>
    <n v="415"/>
    <d v="2025-08-20T00:00:00"/>
    <x v="108"/>
    <x v="4"/>
    <m/>
  </r>
  <r>
    <n v="155"/>
    <n v="221"/>
    <n v="477"/>
    <n v="4"/>
    <n v="1908"/>
    <d v="2023-09-16T00:00:00"/>
    <s v="Мосмарт"/>
    <n v="276"/>
    <x v="14"/>
    <x v="21"/>
    <n v="273.72549019607845"/>
    <n v="0.74262177650429795"/>
    <n v="5885"/>
    <n v="-0.91894647408666097"/>
    <d v="2022-03-12T00:00:00"/>
    <n v="553"/>
    <d v="2025-08-20T00:00:00"/>
    <x v="94"/>
    <x v="4"/>
    <m/>
  </r>
  <r>
    <n v="156"/>
    <n v="333"/>
    <n v="74"/>
    <n v="2"/>
    <n v="148"/>
    <d v="2023-08-15T00:00:00"/>
    <s v="Перекресток"/>
    <n v="328"/>
    <x v="6"/>
    <x v="25"/>
    <n v="258.5128205128205"/>
    <n v="-0.71374727236659385"/>
    <n v="2164"/>
    <n v="-0.96580406654343809"/>
    <d v="2022-01-07T00:00:00"/>
    <n v="585"/>
    <d v="2025-08-20T00:00:00"/>
    <x v="55"/>
    <x v="2"/>
    <m/>
  </r>
  <r>
    <n v="926"/>
    <n v="222"/>
    <n v="168"/>
    <n v="3"/>
    <n v="504"/>
    <d v="2024-01-22T00:00:00"/>
    <s v="Пятерочка"/>
    <n v="79"/>
    <x v="15"/>
    <x v="22"/>
    <n v="294.95238095238096"/>
    <n v="0.4578624475298676"/>
    <n v="3507"/>
    <n v="-0.95209580838323349"/>
    <d v="2022-06-04T00:00:00"/>
    <n v="597"/>
    <d v="2025-08-20T00:00:00"/>
    <x v="109"/>
    <x v="4"/>
    <m/>
  </r>
  <r>
    <n v="158"/>
    <n v="476"/>
    <n v="286"/>
    <n v="2"/>
    <n v="572"/>
    <d v="2023-02-16T00:00:00"/>
    <s v="Метро"/>
    <n v="397"/>
    <x v="6"/>
    <x v="59"/>
    <n v="258.5128205128205"/>
    <n v="0.10632810950208293"/>
    <n v="2609"/>
    <n v="-0.89037945573016486"/>
    <d v="2022-06-16T00:00:00"/>
    <n v="245"/>
    <d v="2025-08-20T00:00:00"/>
    <x v="21"/>
    <x v="1"/>
    <m/>
  </r>
  <r>
    <n v="159"/>
    <n v="126"/>
    <n v="273"/>
    <n v="3"/>
    <n v="819"/>
    <d v="2023-05-05T00:00:00"/>
    <s v="Перекресток"/>
    <n v="153"/>
    <x v="0"/>
    <x v="44"/>
    <n v="254.58333333333334"/>
    <n v="7.2340425531914887E-2"/>
    <n v="4988"/>
    <n v="-0.94526864474739369"/>
    <d v="2022-08-29T00:00:00"/>
    <n v="249"/>
    <d v="2025-08-20T00:00:00"/>
    <x v="110"/>
    <x v="2"/>
    <m/>
  </r>
  <r>
    <n v="160"/>
    <n v="255"/>
    <n v="279"/>
    <n v="3"/>
    <n v="837"/>
    <d v="2023-06-04T00:00:00"/>
    <s v="Городской Супермаркет"/>
    <n v="286"/>
    <x v="7"/>
    <x v="57"/>
    <n v="249.02380952380952"/>
    <n v="0.12037479682570029"/>
    <n v="2569"/>
    <n v="-0.89139743090696766"/>
    <d v="2022-01-02T00:00:00"/>
    <n v="518"/>
    <d v="2025-08-20T00:00:00"/>
    <x v="22"/>
    <x v="4"/>
    <m/>
  </r>
  <r>
    <n v="161"/>
    <n v="138"/>
    <n v="210"/>
    <n v="2"/>
    <n v="420"/>
    <d v="2023-03-27T00:00:00"/>
    <s v="Карусель"/>
    <n v="14"/>
    <x v="11"/>
    <x v="46"/>
    <n v="261.03225806451616"/>
    <n v="-0.19550173010380634"/>
    <n v="8943"/>
    <n v="-0.97651794699765182"/>
    <d v="2022-08-02T00:00:00"/>
    <n v="237"/>
    <d v="2025-08-20T00:00:00"/>
    <x v="44"/>
    <x v="4"/>
    <m/>
  </r>
  <r>
    <n v="162"/>
    <n v="403"/>
    <n v="229"/>
    <n v="1"/>
    <n v="229"/>
    <d v="2023-03-06T00:00:00"/>
    <s v="Гиперглобус"/>
    <n v="32"/>
    <x v="8"/>
    <x v="51"/>
    <n v="271.18181818181819"/>
    <n v="-0.15554810593362389"/>
    <n v="2433"/>
    <n v="-0.90587751746814638"/>
    <d v="2022-12-27T00:00:00"/>
    <n v="69"/>
    <d v="2025-08-20T00:00:00"/>
    <x v="111"/>
    <x v="0"/>
    <m/>
  </r>
  <r>
    <n v="163"/>
    <n v="280"/>
    <n v="192"/>
    <n v="2"/>
    <n v="384"/>
    <d v="2023-12-23T00:00:00"/>
    <s v="Бристоль"/>
    <n v="49"/>
    <x v="11"/>
    <x v="26"/>
    <n v="261.03225806451616"/>
    <n v="-0.26445872466633724"/>
    <n v="3935"/>
    <n v="-0.95120711562897076"/>
    <d v="2022-04-21T00:00:00"/>
    <n v="611"/>
    <d v="2025-08-20T00:00:00"/>
    <x v="112"/>
    <x v="4"/>
    <m/>
  </r>
  <r>
    <n v="164"/>
    <n v="356"/>
    <n v="373"/>
    <n v="1"/>
    <n v="373"/>
    <d v="2023-12-31T00:00:00"/>
    <s v="Городской Супермаркет"/>
    <n v="115"/>
    <x v="2"/>
    <x v="45"/>
    <n v="283.468085106383"/>
    <n v="0.31584477970427072"/>
    <n v="3538"/>
    <n v="-0.89457320520067829"/>
    <d v="2022-09-28T00:00:00"/>
    <n v="459"/>
    <d v="2025-08-20T00:00:00"/>
    <x v="60"/>
    <x v="1"/>
    <m/>
  </r>
  <r>
    <n v="165"/>
    <n v="41"/>
    <n v="315"/>
    <n v="3"/>
    <n v="945"/>
    <d v="2023-10-03T00:00:00"/>
    <s v="Пятерочка"/>
    <n v="420"/>
    <x v="13"/>
    <x v="30"/>
    <n v="258.375"/>
    <n v="0.21915820029027566"/>
    <n v="2225"/>
    <n v="-0.85842696629213489"/>
    <d v="2022-05-17T00:00:00"/>
    <n v="504"/>
    <d v="2025-08-20T00:00:00"/>
    <x v="113"/>
    <x v="3"/>
    <m/>
  </r>
  <r>
    <n v="166"/>
    <n v="379"/>
    <n v="321"/>
    <n v="5"/>
    <n v="1605"/>
    <d v="2023-04-16T00:00:00"/>
    <s v="Гиперглобус"/>
    <n v="47"/>
    <x v="9"/>
    <x v="53"/>
    <n v="263.25423728813558"/>
    <n v="0.21935359258305431"/>
    <n v="1762"/>
    <n v="-0.81782065834279227"/>
    <d v="2022-05-12T00:00:00"/>
    <n v="339"/>
    <d v="2025-08-20T00:00:00"/>
    <x v="29"/>
    <x v="1"/>
    <m/>
  </r>
  <r>
    <n v="167"/>
    <n v="282"/>
    <n v="189"/>
    <n v="2"/>
    <n v="378"/>
    <d v="2023-08-20T00:00:00"/>
    <s v="Гиперглобус"/>
    <n v="202"/>
    <x v="13"/>
    <x v="30"/>
    <n v="258.375"/>
    <n v="-0.26850507982583449"/>
    <n v="2225"/>
    <n v="-0.91505617977528086"/>
    <d v="2022-07-24T00:00:00"/>
    <n v="392"/>
    <d v="2025-08-20T00:00:00"/>
    <x v="45"/>
    <x v="1"/>
    <m/>
  </r>
  <r>
    <n v="168"/>
    <n v="459"/>
    <n v="405"/>
    <n v="3"/>
    <n v="1215"/>
    <d v="2023-01-23T00:00:00"/>
    <s v="Городской Супермаркет"/>
    <n v="37"/>
    <x v="18"/>
    <x v="60"/>
    <n v="255.11627906976744"/>
    <n v="0.58751139471285319"/>
    <n v="1920"/>
    <n v="-0.7890625"/>
    <d v="2022-06-16T00:00:00"/>
    <n v="221"/>
    <d v="2025-08-20T00:00:00"/>
    <x v="21"/>
    <x v="3"/>
    <m/>
  </r>
  <r>
    <n v="169"/>
    <n v="402"/>
    <n v="426"/>
    <n v="2"/>
    <n v="852"/>
    <d v="2023-06-22T00:00:00"/>
    <s v="Седьмой Континент"/>
    <n v="366"/>
    <x v="16"/>
    <x v="50"/>
    <n v="300.31818181818181"/>
    <n v="0.41849553503859549"/>
    <n v="3974"/>
    <n v="-0.89280322093608455"/>
    <d v="2022-09-23T00:00:00"/>
    <n v="272"/>
    <d v="2025-08-20T00:00:00"/>
    <x v="42"/>
    <x v="0"/>
    <m/>
  </r>
  <r>
    <n v="170"/>
    <n v="320"/>
    <n v="271"/>
    <n v="1"/>
    <n v="271"/>
    <d v="2024-04-30T00:00:00"/>
    <s v="Азбука Вкуса"/>
    <n v="434"/>
    <x v="17"/>
    <x v="35"/>
    <n v="267.85483870967744"/>
    <n v="1.1742036490636432E-2"/>
    <n v="6757"/>
    <n v="-0.95989344383602193"/>
    <d v="2022-06-18T00:00:00"/>
    <n v="682"/>
    <d v="2025-08-20T00:00:00"/>
    <x v="114"/>
    <x v="3"/>
    <m/>
  </r>
  <r>
    <n v="171"/>
    <n v="19"/>
    <n v="96"/>
    <n v="4"/>
    <n v="384"/>
    <d v="2023-04-25T00:00:00"/>
    <s v="Дикси"/>
    <n v="172"/>
    <x v="10"/>
    <x v="37"/>
    <n v="271.74545454545455"/>
    <n v="-0.6467282215977519"/>
    <n v="4630"/>
    <n v="-0.97926565874730021"/>
    <d v="2022-06-25T00:00:00"/>
    <n v="304"/>
    <d v="2025-08-20T00:00:00"/>
    <x v="115"/>
    <x v="2"/>
    <m/>
  </r>
  <r>
    <n v="172"/>
    <n v="447"/>
    <n v="65"/>
    <n v="1"/>
    <n v="65"/>
    <d v="2024-02-19T00:00:00"/>
    <s v="Верный"/>
    <n v="52"/>
    <x v="9"/>
    <x v="33"/>
    <n v="263.25423728813558"/>
    <n v="-0.75309039402523825"/>
    <n v="4970"/>
    <n v="-0.98692152917505027"/>
    <d v="2022-12-22T00:00:00"/>
    <n v="424"/>
    <d v="2025-08-20T00:00:00"/>
    <x v="116"/>
    <x v="2"/>
    <m/>
  </r>
  <r>
    <n v="173"/>
    <n v="406"/>
    <n v="426"/>
    <n v="1"/>
    <n v="426"/>
    <d v="2023-12-29T00:00:00"/>
    <s v="Спар"/>
    <n v="395"/>
    <x v="5"/>
    <x v="5"/>
    <n v="268.60344827586209"/>
    <n v="0.58598112844213346"/>
    <n v="9023"/>
    <n v="-0.95278732129003663"/>
    <d v="2022-11-25T00:00:00"/>
    <n v="399"/>
    <d v="2025-08-20T00:00:00"/>
    <x v="117"/>
    <x v="0"/>
    <m/>
  </r>
  <r>
    <n v="174"/>
    <n v="391"/>
    <n v="356"/>
    <n v="2"/>
    <n v="712"/>
    <d v="2023-09-06T00:00:00"/>
    <s v="Спар"/>
    <n v="46"/>
    <x v="6"/>
    <x v="59"/>
    <n v="258.5128205128205"/>
    <n v="0.37710771672287247"/>
    <n v="2609"/>
    <n v="-0.86354925258719817"/>
    <d v="2022-03-16T00:00:00"/>
    <n v="539"/>
    <d v="2025-08-20T00:00:00"/>
    <x v="58"/>
    <x v="4"/>
    <m/>
  </r>
  <r>
    <n v="175"/>
    <n v="82"/>
    <n v="233"/>
    <n v="2"/>
    <n v="466"/>
    <d v="2024-03-18T00:00:00"/>
    <s v="Магнит"/>
    <n v="361"/>
    <x v="11"/>
    <x v="61"/>
    <n v="261.03225806451616"/>
    <n v="-0.10739001482946131"/>
    <n v="504"/>
    <n v="-0.53769841269841268"/>
    <d v="2022-09-27T00:00:00"/>
    <n v="538"/>
    <d v="2025-08-20T00:00:00"/>
    <x v="118"/>
    <x v="0"/>
    <m/>
  </r>
  <r>
    <n v="176"/>
    <n v="243"/>
    <n v="494"/>
    <n v="5"/>
    <n v="2470"/>
    <d v="2024-03-02T00:00:00"/>
    <s v="Азбука Вкуса"/>
    <n v="358"/>
    <x v="13"/>
    <x v="20"/>
    <n v="258.375"/>
    <n v="0.91194968553459121"/>
    <n v="4585"/>
    <n v="-0.89225736095965102"/>
    <d v="2022-07-29T00:00:00"/>
    <n v="582"/>
    <d v="2025-08-20T00:00:00"/>
    <x v="119"/>
    <x v="3"/>
    <m/>
  </r>
  <r>
    <n v="177"/>
    <n v="432"/>
    <n v="305"/>
    <n v="3"/>
    <n v="915"/>
    <d v="2024-05-01T00:00:00"/>
    <s v="О'кей"/>
    <n v="44"/>
    <x v="3"/>
    <x v="3"/>
    <n v="265.47674418604652"/>
    <n v="0.14887652752836056"/>
    <n v="6852"/>
    <n v="-0.95548744892002335"/>
    <d v="2022-05-20T00:00:00"/>
    <n v="712"/>
    <d v="2025-08-20T00:00:00"/>
    <x v="120"/>
    <x v="1"/>
    <m/>
  </r>
  <r>
    <n v="178"/>
    <n v="159"/>
    <n v="173"/>
    <n v="4"/>
    <n v="692"/>
    <d v="2023-09-06T00:00:00"/>
    <s v="Городской Супермаркет"/>
    <n v="416"/>
    <x v="18"/>
    <x v="60"/>
    <n v="255.11627906976744"/>
    <n v="-0.32187784867821334"/>
    <n v="1920"/>
    <n v="-0.90989583333333335"/>
    <d v="2022-05-22T00:00:00"/>
    <n v="472"/>
    <d v="2025-08-20T00:00:00"/>
    <x v="121"/>
    <x v="4"/>
    <m/>
  </r>
  <r>
    <n v="179"/>
    <n v="197"/>
    <n v="177"/>
    <n v="2"/>
    <n v="354"/>
    <d v="2023-08-27T00:00:00"/>
    <s v="Ароматный Мир"/>
    <n v="153"/>
    <x v="2"/>
    <x v="2"/>
    <n v="283.468085106383"/>
    <n v="-0.37559108308939437"/>
    <n v="2092"/>
    <n v="-0.91539196940726575"/>
    <d v="2022-08-29T00:00:00"/>
    <n v="363"/>
    <d v="2025-08-20T00:00:00"/>
    <x v="110"/>
    <x v="2"/>
    <m/>
  </r>
  <r>
    <n v="180"/>
    <n v="110"/>
    <n v="261"/>
    <n v="1"/>
    <n v="261"/>
    <d v="2024-02-03T00:00:00"/>
    <s v="Пятерочка"/>
    <n v="223"/>
    <x v="3"/>
    <x v="16"/>
    <n v="265.47674418604652"/>
    <n v="-1.6863037098681644E-2"/>
    <n v="10237"/>
    <n v="-0.9745042492917847"/>
    <d v="2022-11-28T00:00:00"/>
    <n v="432"/>
    <d v="2025-08-20T00:00:00"/>
    <x v="17"/>
    <x v="3"/>
    <m/>
  </r>
  <r>
    <n v="181"/>
    <n v="288"/>
    <n v="198"/>
    <n v="5"/>
    <n v="990"/>
    <d v="2023-10-13T00:00:00"/>
    <s v="Ашан"/>
    <n v="74"/>
    <x v="11"/>
    <x v="61"/>
    <n v="261.03225806451616"/>
    <n v="-0.24147305981216027"/>
    <n v="504"/>
    <n v="-0.60714285714285721"/>
    <d v="2022-10-23T00:00:00"/>
    <n v="355"/>
    <d v="2025-08-20T00:00:00"/>
    <x v="31"/>
    <x v="2"/>
    <m/>
  </r>
  <r>
    <n v="182"/>
    <n v="7"/>
    <n v="114"/>
    <n v="3"/>
    <n v="342"/>
    <d v="2023-11-14T00:00:00"/>
    <s v="О'кей"/>
    <n v="180"/>
    <x v="11"/>
    <x v="26"/>
    <n v="261.03225806451616"/>
    <n v="-0.56327236777063772"/>
    <n v="3935"/>
    <n v="-0.97102922490470145"/>
    <d v="2022-02-24T00:00:00"/>
    <n v="628"/>
    <d v="2025-08-20T00:00:00"/>
    <x v="122"/>
    <x v="1"/>
    <m/>
  </r>
  <r>
    <n v="183"/>
    <n v="385"/>
    <n v="427"/>
    <n v="3"/>
    <n v="1281"/>
    <d v="2023-01-16T00:00:00"/>
    <s v="Азбука Вкуса"/>
    <n v="359"/>
    <x v="3"/>
    <x v="19"/>
    <n v="265.47674418604652"/>
    <n v="0.60842713853970465"/>
    <n v="3622"/>
    <n v="-0.88210933186085039"/>
    <d v="2022-01-23T00:00:00"/>
    <n v="358"/>
    <d v="2025-08-20T00:00:00"/>
    <x v="78"/>
    <x v="2"/>
    <m/>
  </r>
  <r>
    <n v="184"/>
    <n v="493"/>
    <n v="376"/>
    <n v="1"/>
    <n v="376"/>
    <d v="2023-11-23T00:00:00"/>
    <s v="Бристоль"/>
    <n v="134"/>
    <x v="4"/>
    <x v="24"/>
    <n v="250.48780487804879"/>
    <n v="0.50107108081791618"/>
    <n v="5165"/>
    <n v="-0.92720232333010655"/>
    <d v="2022-07-11T00:00:00"/>
    <n v="500"/>
    <d v="2025-08-20T00:00:00"/>
    <x v="46"/>
    <x v="2"/>
    <m/>
  </r>
  <r>
    <n v="185"/>
    <n v="158"/>
    <n v="51"/>
    <n v="2"/>
    <n v="102"/>
    <d v="2024-02-03T00:00:00"/>
    <s v="Верный"/>
    <n v="159"/>
    <x v="0"/>
    <x v="11"/>
    <n v="254.58333333333334"/>
    <n v="-0.79967266775777412"/>
    <n v="3604"/>
    <n v="-0.98584905660377353"/>
    <d v="2022-05-05T00:00:00"/>
    <n v="639"/>
    <d v="2025-08-20T00:00:00"/>
    <x v="123"/>
    <x v="0"/>
    <m/>
  </r>
  <r>
    <n v="186"/>
    <n v="446"/>
    <n v="316"/>
    <n v="2"/>
    <n v="632"/>
    <d v="2023-04-13T00:00:00"/>
    <s v="Перекресток"/>
    <n v="328"/>
    <x v="14"/>
    <x v="43"/>
    <n v="273.72549019607845"/>
    <n v="0.15444126074498565"/>
    <n v="2244"/>
    <n v="-0.85918003565062384"/>
    <d v="2022-01-07T00:00:00"/>
    <n v="461"/>
    <d v="2025-08-20T00:00:00"/>
    <x v="55"/>
    <x v="2"/>
    <m/>
  </r>
  <r>
    <n v="187"/>
    <n v="428"/>
    <n v="156"/>
    <n v="1"/>
    <n v="156"/>
    <d v="2024-05-09T00:00:00"/>
    <s v="Перекресток"/>
    <n v="325"/>
    <x v="17"/>
    <x v="35"/>
    <n v="267.85483870967744"/>
    <n v="-0.41759499006443068"/>
    <n v="6757"/>
    <n v="-0.97691283113807903"/>
    <d v="2022-11-10T00:00:00"/>
    <n v="546"/>
    <d v="2025-08-20T00:00:00"/>
    <x v="108"/>
    <x v="4"/>
    <m/>
  </r>
  <r>
    <n v="188"/>
    <n v="192"/>
    <n v="215"/>
    <n v="1"/>
    <n v="215"/>
    <d v="2024-04-29T00:00:00"/>
    <s v="Ашан"/>
    <n v="106"/>
    <x v="10"/>
    <x v="37"/>
    <n v="271.74545454545455"/>
    <n v="-0.2088184129532985"/>
    <n v="4630"/>
    <n v="-0.95356371490280778"/>
    <d v="2022-10-24T00:00:00"/>
    <n v="553"/>
    <d v="2025-08-20T00:00:00"/>
    <x v="12"/>
    <x v="3"/>
    <m/>
  </r>
  <r>
    <n v="189"/>
    <n v="41"/>
    <n v="59"/>
    <n v="1"/>
    <n v="59"/>
    <d v="2023-03-15T00:00:00"/>
    <s v="Дикси"/>
    <n v="65"/>
    <x v="13"/>
    <x v="30"/>
    <n v="258.375"/>
    <n v="-0.77164973391388481"/>
    <n v="2225"/>
    <n v="-0.97348314606741571"/>
    <d v="2022-03-03T00:00:00"/>
    <n v="377"/>
    <d v="2025-08-20T00:00:00"/>
    <x v="124"/>
    <x v="3"/>
    <m/>
  </r>
  <r>
    <n v="190"/>
    <n v="69"/>
    <n v="88"/>
    <n v="4"/>
    <n v="352"/>
    <d v="2024-01-18T00:00:00"/>
    <s v="Спар"/>
    <n v="346"/>
    <x v="14"/>
    <x v="62"/>
    <n v="273.72549019607845"/>
    <n v="-0.67851002865329513"/>
    <n v="2929"/>
    <n v="-0.96995561625128035"/>
    <d v="2022-03-16T00:00:00"/>
    <n v="673"/>
    <d v="2025-08-20T00:00:00"/>
    <x v="58"/>
    <x v="2"/>
    <m/>
  </r>
  <r>
    <n v="191"/>
    <n v="270"/>
    <n v="484"/>
    <n v="4"/>
    <n v="1936"/>
    <d v="2023-06-07T00:00:00"/>
    <s v="Бристоль"/>
    <n v="457"/>
    <x v="1"/>
    <x v="63"/>
    <n v="264.8679245283019"/>
    <n v="0.82732582989029768"/>
    <n v="2843"/>
    <n v="-0.82975729862820957"/>
    <d v="2022-02-03T00:00:00"/>
    <n v="489"/>
    <d v="2025-08-20T00:00:00"/>
    <x v="125"/>
    <x v="4"/>
    <m/>
  </r>
  <r>
    <n v="192"/>
    <n v="345"/>
    <n v="257"/>
    <n v="1"/>
    <n v="257"/>
    <d v="2023-02-12T00:00:00"/>
    <s v="Дикси"/>
    <n v="255"/>
    <x v="17"/>
    <x v="27"/>
    <n v="267.85483870967744"/>
    <n v="-4.0525079785632578E-2"/>
    <n v="6053"/>
    <n v="-0.95754171485213946"/>
    <d v="2022-08-20T00:00:00"/>
    <n v="176"/>
    <d v="2025-08-20T00:00:00"/>
    <x v="126"/>
    <x v="3"/>
    <m/>
  </r>
  <r>
    <n v="193"/>
    <n v="348"/>
    <n v="497"/>
    <n v="3"/>
    <n v="1491"/>
    <d v="2023-12-16T00:00:00"/>
    <s v="Бристоль"/>
    <n v="42"/>
    <x v="14"/>
    <x v="62"/>
    <n v="273.72549019607845"/>
    <n v="0.81568767908309447"/>
    <n v="2929"/>
    <n v="-0.83031751451007163"/>
    <d v="2022-08-10T00:00:00"/>
    <n v="493"/>
    <d v="2025-08-20T00:00:00"/>
    <x v="61"/>
    <x v="4"/>
    <m/>
  </r>
  <r>
    <n v="194"/>
    <n v="102"/>
    <n v="115"/>
    <n v="2"/>
    <n v="230"/>
    <d v="2024-03-29T00:00:00"/>
    <s v="Перекресток"/>
    <n v="385"/>
    <x v="2"/>
    <x v="36"/>
    <n v="283.468085106383"/>
    <n v="-0.59431059070779857"/>
    <n v="3493"/>
    <n v="-0.96707701116518752"/>
    <d v="2022-07-11T00:00:00"/>
    <n v="627"/>
    <d v="2025-08-20T00:00:00"/>
    <x v="46"/>
    <x v="3"/>
    <m/>
  </r>
  <r>
    <n v="195"/>
    <n v="321"/>
    <n v="368"/>
    <n v="1"/>
    <n v="368"/>
    <d v="2023-09-24T00:00:00"/>
    <s v="Седьмой Континент"/>
    <n v="436"/>
    <x v="10"/>
    <x v="12"/>
    <n v="271.74545454545455"/>
    <n v="0.35420848387528436"/>
    <n v="3405"/>
    <n v="-0.89192364170337735"/>
    <d v="2022-05-02T00:00:00"/>
    <n v="510"/>
    <d v="2025-08-20T00:00:00"/>
    <x v="52"/>
    <x v="2"/>
    <m/>
  </r>
  <r>
    <n v="196"/>
    <n v="176"/>
    <n v="113"/>
    <n v="4"/>
    <n v="452"/>
    <d v="2024-02-13T00:00:00"/>
    <s v="О'кей"/>
    <n v="175"/>
    <x v="0"/>
    <x v="0"/>
    <n v="254.58333333333334"/>
    <n v="-0.55613747954173487"/>
    <n v="5172"/>
    <n v="-0.97815158546017011"/>
    <d v="2022-01-04T00:00:00"/>
    <n v="770"/>
    <d v="2025-08-20T00:00:00"/>
    <x v="127"/>
    <x v="2"/>
    <m/>
  </r>
  <r>
    <n v="197"/>
    <n v="341"/>
    <n v="194"/>
    <n v="3"/>
    <n v="582"/>
    <d v="2023-11-25T00:00:00"/>
    <s v="Мосмарт"/>
    <n v="274"/>
    <x v="3"/>
    <x v="19"/>
    <n v="265.47674418604652"/>
    <n v="-0.26923919232622318"/>
    <n v="3622"/>
    <n v="-0.94643843180563225"/>
    <d v="2022-02-15T00:00:00"/>
    <n v="648"/>
    <d v="2025-08-20T00:00:00"/>
    <x v="128"/>
    <x v="2"/>
    <m/>
  </r>
  <r>
    <n v="198"/>
    <n v="473"/>
    <n v="171"/>
    <n v="4"/>
    <n v="684"/>
    <d v="2023-05-12T00:00:00"/>
    <s v="Азбука Вкуса"/>
    <n v="266"/>
    <x v="16"/>
    <x v="23"/>
    <n v="300.31818181818181"/>
    <n v="-0.43060390494929623"/>
    <n v="4226"/>
    <n v="-0.95953620444865118"/>
    <d v="2022-08-22T00:00:00"/>
    <n v="263"/>
    <d v="2025-08-20T00:00:00"/>
    <x v="49"/>
    <x v="2"/>
    <m/>
  </r>
  <r>
    <n v="199"/>
    <n v="482"/>
    <n v="321"/>
    <n v="2"/>
    <n v="642"/>
    <d v="2023-01-16T00:00:00"/>
    <s v="Городской Супермаркет"/>
    <n v="481"/>
    <x v="18"/>
    <x v="34"/>
    <n v="255.11627906976744"/>
    <n v="0.25824977210574285"/>
    <n v="3254"/>
    <n v="-0.90135218192993238"/>
    <d v="2022-07-14T00:00:00"/>
    <n v="186"/>
    <d v="2025-08-20T00:00:00"/>
    <x v="19"/>
    <x v="1"/>
    <m/>
  </r>
  <r>
    <n v="200"/>
    <n v="169"/>
    <n v="386"/>
    <n v="5"/>
    <n v="1930"/>
    <d v="2023-02-10T00:00:00"/>
    <s v="Лента"/>
    <n v="59"/>
    <x v="12"/>
    <x v="64"/>
    <n v="274.16279069767444"/>
    <n v="0.4079226397489184"/>
    <n v="3358"/>
    <n v="-0.88505062537224544"/>
    <d v="2022-07-28T00:00:00"/>
    <n v="197"/>
    <d v="2025-08-20T00:00:00"/>
    <x v="63"/>
    <x v="2"/>
    <m/>
  </r>
  <r>
    <n v="201"/>
    <n v="397"/>
    <n v="148"/>
    <n v="1"/>
    <n v="148"/>
    <d v="2023-03-25T00:00:00"/>
    <s v="Пятерочка"/>
    <n v="47"/>
    <x v="9"/>
    <x v="9"/>
    <n v="263.25423728813558"/>
    <n v="-0.43780582024208081"/>
    <n v="5929"/>
    <n v="-0.97503794906392305"/>
    <d v="2022-05-12T00:00:00"/>
    <n v="317"/>
    <d v="2025-08-20T00:00:00"/>
    <x v="29"/>
    <x v="1"/>
    <m/>
  </r>
  <r>
    <n v="202"/>
    <n v="436"/>
    <n v="291"/>
    <n v="2"/>
    <n v="582"/>
    <d v="2023-06-18T00:00:00"/>
    <s v="Пятерочка"/>
    <n v="385"/>
    <x v="4"/>
    <x v="54"/>
    <n v="250.48780487804879"/>
    <n v="0.16173320350535536"/>
    <n v="2229"/>
    <n v="-0.86944818304172278"/>
    <d v="2022-07-11T00:00:00"/>
    <n v="342"/>
    <d v="2025-08-20T00:00:00"/>
    <x v="46"/>
    <x v="3"/>
    <m/>
  </r>
  <r>
    <n v="847"/>
    <n v="206"/>
    <n v="93"/>
    <n v="2"/>
    <n v="186"/>
    <d v="2023-08-16T00:00:00"/>
    <s v="Гиперглобус"/>
    <n v="155"/>
    <x v="15"/>
    <x v="65"/>
    <n v="294.95238095238096"/>
    <n v="-0.31514368743945753"/>
    <n v="4946"/>
    <n v="-0.98119692680954307"/>
    <d v="2022-01-03T00:00:00"/>
    <n v="590"/>
    <d v="2025-08-20T00:00:00"/>
    <x v="129"/>
    <x v="3"/>
    <m/>
  </r>
  <r>
    <n v="204"/>
    <n v="361"/>
    <n v="245"/>
    <n v="1"/>
    <n v="245"/>
    <d v="2023-09-09T00:00:00"/>
    <s v="Магнит"/>
    <n v="259"/>
    <x v="10"/>
    <x v="12"/>
    <n v="271.74545454545455"/>
    <n v="-9.8420982202595986E-2"/>
    <n v="3405"/>
    <n v="-0.92804698972099853"/>
    <d v="2022-05-26T00:00:00"/>
    <n v="471"/>
    <d v="2025-08-20T00:00:00"/>
    <x v="35"/>
    <x v="1"/>
    <m/>
  </r>
  <r>
    <n v="205"/>
    <n v="226"/>
    <n v="339"/>
    <n v="4"/>
    <n v="1356"/>
    <d v="2023-11-21T00:00:00"/>
    <s v="Мосмарт"/>
    <n v="337"/>
    <x v="11"/>
    <x v="17"/>
    <n v="261.03225806451616"/>
    <n v="0.29869006426099842"/>
    <n v="2802"/>
    <n v="-0.87901498929336186"/>
    <d v="2022-11-10T00:00:00"/>
    <n v="376"/>
    <d v="2025-08-20T00:00:00"/>
    <x v="108"/>
    <x v="2"/>
    <m/>
  </r>
  <r>
    <n v="206"/>
    <n v="87"/>
    <n v="487"/>
    <n v="1"/>
    <n v="487"/>
    <d v="2023-04-03T00:00:00"/>
    <s v="Гиперглобус"/>
    <n v="172"/>
    <x v="7"/>
    <x v="7"/>
    <n v="249.02380952380952"/>
    <n v="0.95563629410077455"/>
    <n v="5248"/>
    <n v="-0.90720274390243905"/>
    <d v="2022-06-25T00:00:00"/>
    <n v="282"/>
    <d v="2025-08-20T00:00:00"/>
    <x v="115"/>
    <x v="2"/>
    <m/>
  </r>
  <r>
    <n v="207"/>
    <n v="376"/>
    <n v="335"/>
    <n v="5"/>
    <n v="1675"/>
    <d v="2023-02-26T00:00:00"/>
    <s v="Гиперглобус"/>
    <n v="130"/>
    <x v="17"/>
    <x v="66"/>
    <n v="267.85483870967744"/>
    <n v="0.25067742518215197"/>
    <n v="2189"/>
    <n v="-0.8469620831429876"/>
    <d v="2022-10-29T00:00:00"/>
    <n v="120"/>
    <d v="2025-08-20T00:00:00"/>
    <x v="69"/>
    <x v="4"/>
    <m/>
  </r>
  <r>
    <n v="208"/>
    <n v="255"/>
    <n v="214"/>
    <n v="2"/>
    <n v="428"/>
    <d v="2023-04-15T00:00:00"/>
    <s v="Спар"/>
    <n v="354"/>
    <x v="7"/>
    <x v="57"/>
    <n v="249.02380952380952"/>
    <n v="-0.14064442107276032"/>
    <n v="2569"/>
    <n v="-0.91669910471000393"/>
    <d v="2022-09-07T00:00:00"/>
    <n v="220"/>
    <d v="2025-08-20T00:00:00"/>
    <x v="130"/>
    <x v="0"/>
    <m/>
  </r>
  <r>
    <n v="209"/>
    <n v="111"/>
    <n v="452"/>
    <n v="4"/>
    <n v="1808"/>
    <d v="2023-01-01T00:00:00"/>
    <s v="Мосмарт"/>
    <n v="329"/>
    <x v="0"/>
    <x v="11"/>
    <n v="254.58333333333334"/>
    <n v="0.77545008183306052"/>
    <n v="3604"/>
    <n v="-0.87458379578246392"/>
    <d v="2022-04-02T00:00:00"/>
    <n v="274"/>
    <d v="2025-08-20T00:00:00"/>
    <x v="23"/>
    <x v="1"/>
    <m/>
  </r>
  <r>
    <n v="210"/>
    <n v="344"/>
    <n v="172"/>
    <n v="5"/>
    <n v="860"/>
    <d v="2023-06-15T00:00:00"/>
    <s v="Лента"/>
    <n v="186"/>
    <x v="5"/>
    <x v="32"/>
    <n v="268.60344827586209"/>
    <n v="-0.35965081199050009"/>
    <n v="2796"/>
    <n v="-0.93848354792560795"/>
    <d v="2022-12-19T00:00:00"/>
    <n v="178"/>
    <d v="2025-08-20T00:00:00"/>
    <x v="131"/>
    <x v="1"/>
    <m/>
  </r>
  <r>
    <n v="211"/>
    <n v="462"/>
    <n v="104"/>
    <n v="4"/>
    <n v="416"/>
    <d v="2023-06-28T00:00:00"/>
    <s v="Билла"/>
    <n v="448"/>
    <x v="13"/>
    <x v="20"/>
    <n v="258.375"/>
    <n v="-0.59748427672955973"/>
    <n v="4585"/>
    <n v="-0.97731733914940022"/>
    <d v="2022-07-28T00:00:00"/>
    <n v="335"/>
    <d v="2025-08-20T00:00:00"/>
    <x v="63"/>
    <x v="2"/>
    <m/>
  </r>
  <r>
    <n v="212"/>
    <n v="279"/>
    <n v="433"/>
    <n v="4"/>
    <n v="1732"/>
    <d v="2023-12-05T00:00:00"/>
    <s v="Седьмой Континент"/>
    <n v="377"/>
    <x v="18"/>
    <x v="67"/>
    <n v="255.11627906976744"/>
    <n v="0.69726526891522322"/>
    <n v="3023"/>
    <n v="-0.85676480317565329"/>
    <d v="2022-08-21T00:00:00"/>
    <n v="471"/>
    <d v="2025-08-20T00:00:00"/>
    <x v="13"/>
    <x v="0"/>
    <m/>
  </r>
  <r>
    <n v="213"/>
    <n v="322"/>
    <n v="79"/>
    <n v="5"/>
    <n v="395"/>
    <d v="2023-07-01T00:00:00"/>
    <s v="Карусель"/>
    <n v="316"/>
    <x v="18"/>
    <x v="67"/>
    <n v="255.11627906976744"/>
    <n v="-0.69033728350045576"/>
    <n v="3023"/>
    <n v="-0.97386701951703603"/>
    <d v="2022-08-14T00:00:00"/>
    <n v="321"/>
    <d v="2025-08-20T00:00:00"/>
    <x v="132"/>
    <x v="4"/>
    <m/>
  </r>
  <r>
    <n v="214"/>
    <n v="494"/>
    <n v="181"/>
    <n v="1"/>
    <n v="181"/>
    <d v="2023-11-21T00:00:00"/>
    <s v="Магнит"/>
    <n v="356"/>
    <x v="11"/>
    <x v="46"/>
    <n v="261.03225806451616"/>
    <n v="-0.30659911023232833"/>
    <n v="8943"/>
    <n v="-0.9797607066979761"/>
    <d v="2022-01-09T00:00:00"/>
    <n v="681"/>
    <d v="2025-08-20T00:00:00"/>
    <x v="82"/>
    <x v="4"/>
    <m/>
  </r>
  <r>
    <n v="215"/>
    <n v="317"/>
    <n v="196"/>
    <n v="3"/>
    <n v="588"/>
    <d v="2024-03-20T00:00:00"/>
    <s v="Перекресток"/>
    <n v="159"/>
    <x v="5"/>
    <x v="5"/>
    <n v="268.60344827586209"/>
    <n v="-0.27029976250080245"/>
    <n v="9023"/>
    <n v="-0.97827773467804502"/>
    <d v="2022-05-05T00:00:00"/>
    <n v="685"/>
    <d v="2025-08-20T00:00:00"/>
    <x v="123"/>
    <x v="0"/>
    <m/>
  </r>
  <r>
    <n v="216"/>
    <n v="223"/>
    <n v="174"/>
    <n v="1"/>
    <n v="174"/>
    <d v="2023-04-06T00:00:00"/>
    <s v="Городской Супермаркет"/>
    <n v="287"/>
    <x v="8"/>
    <x v="8"/>
    <n v="271.18181818181819"/>
    <n v="-0.35836406302380153"/>
    <n v="6412"/>
    <n v="-0.97286338116032445"/>
    <d v="2022-02-16T00:00:00"/>
    <n v="414"/>
    <d v="2025-08-20T00:00:00"/>
    <x v="41"/>
    <x v="2"/>
    <m/>
  </r>
  <r>
    <n v="217"/>
    <n v="25"/>
    <n v="356"/>
    <n v="3"/>
    <n v="1068"/>
    <d v="2023-04-02T00:00:00"/>
    <s v="Мосмарт"/>
    <n v="322"/>
    <x v="14"/>
    <x v="56"/>
    <n v="273.72549019607845"/>
    <n v="0.30057306590257871"/>
    <n v="2902"/>
    <n v="-0.87732598208132329"/>
    <d v="2022-11-21T00:00:00"/>
    <n v="132"/>
    <d v="2025-08-20T00:00:00"/>
    <x v="133"/>
    <x v="3"/>
    <m/>
  </r>
  <r>
    <n v="218"/>
    <n v="392"/>
    <n v="125"/>
    <n v="5"/>
    <n v="625"/>
    <d v="2023-12-22T00:00:00"/>
    <s v="Дикси"/>
    <n v="62"/>
    <x v="7"/>
    <x v="39"/>
    <n v="249.02380952380952"/>
    <n v="-0.49803996557988339"/>
    <n v="2222"/>
    <n v="-0.94374437443744374"/>
    <d v="2022-04-20T00:00:00"/>
    <n v="611"/>
    <d v="2025-08-20T00:00:00"/>
    <x v="134"/>
    <x v="2"/>
    <m/>
  </r>
  <r>
    <n v="219"/>
    <n v="410"/>
    <n v="228"/>
    <n v="2"/>
    <n v="456"/>
    <d v="2023-10-25T00:00:00"/>
    <s v="О'кей"/>
    <n v="295"/>
    <x v="14"/>
    <x v="43"/>
    <n v="273.72549019607845"/>
    <n v="-0.16704871060171922"/>
    <n v="2244"/>
    <n v="-0.89839572192513373"/>
    <d v="2022-01-27T00:00:00"/>
    <n v="636"/>
    <d v="2025-08-20T00:00:00"/>
    <x v="135"/>
    <x v="2"/>
    <m/>
  </r>
  <r>
    <n v="936"/>
    <n v="302"/>
    <n v="229"/>
    <n v="5"/>
    <n v="1145"/>
    <d v="2024-03-21T00:00:00"/>
    <s v="Спар"/>
    <n v="42"/>
    <x v="15"/>
    <x v="65"/>
    <n v="294.95238095238096"/>
    <n v="-0.76267355505327739"/>
    <n v="4946"/>
    <n v="-0.95369995956328346"/>
    <d v="2022-08-10T00:00:00"/>
    <n v="589"/>
    <d v="2025-08-20T00:00:00"/>
    <x v="61"/>
    <x v="4"/>
    <m/>
  </r>
  <r>
    <n v="221"/>
    <n v="304"/>
    <n v="163"/>
    <n v="3"/>
    <n v="489"/>
    <d v="2023-08-01T00:00:00"/>
    <s v="Мираторг"/>
    <n v="392"/>
    <x v="17"/>
    <x v="27"/>
    <n v="267.85483870967744"/>
    <n v="-0.39146143192629623"/>
    <n v="6053"/>
    <n v="-0.97307120436147365"/>
    <d v="2022-12-24T00:00:00"/>
    <n v="220"/>
    <d v="2025-08-20T00:00:00"/>
    <x v="66"/>
    <x v="2"/>
    <m/>
  </r>
  <r>
    <n v="222"/>
    <n v="333"/>
    <n v="70"/>
    <n v="1"/>
    <n v="70"/>
    <d v="2023-05-30T00:00:00"/>
    <s v="Перекресток"/>
    <n v="229"/>
    <x v="6"/>
    <x v="25"/>
    <n v="258.5128205128205"/>
    <n v="-0.72922039277921047"/>
    <n v="2164"/>
    <n v="-0.96765249537892795"/>
    <d v="2022-07-24T00:00:00"/>
    <n v="310"/>
    <d v="2025-08-20T00:00:00"/>
    <x v="45"/>
    <x v="1"/>
    <m/>
  </r>
  <r>
    <n v="223"/>
    <n v="207"/>
    <n v="208"/>
    <n v="5"/>
    <n v="1040"/>
    <d v="2023-02-03T00:00:00"/>
    <s v="Бристоль"/>
    <n v="253"/>
    <x v="0"/>
    <x v="68"/>
    <n v="254.58333333333334"/>
    <n v="-0.18297872340425536"/>
    <n v="1511"/>
    <n v="-0.86234281932495038"/>
    <d v="2022-07-08T00:00:00"/>
    <n v="210"/>
    <d v="2025-08-20T00:00:00"/>
    <x v="1"/>
    <x v="1"/>
    <m/>
  </r>
  <r>
    <n v="224"/>
    <n v="348"/>
    <n v="417"/>
    <n v="4"/>
    <n v="1668"/>
    <d v="2023-03-20T00:00:00"/>
    <s v="Лента"/>
    <n v="235"/>
    <x v="14"/>
    <x v="62"/>
    <n v="273.72549019607845"/>
    <n v="0.52342406876790815"/>
    <n v="2929"/>
    <n v="-0.85763059064527147"/>
    <d v="2022-03-15T00:00:00"/>
    <n v="370"/>
    <d v="2025-08-20T00:00:00"/>
    <x v="136"/>
    <x v="0"/>
    <m/>
  </r>
  <r>
    <n v="225"/>
    <n v="4"/>
    <n v="198"/>
    <n v="5"/>
    <n v="990"/>
    <d v="2024-02-29T00:00:00"/>
    <s v="Бристоль"/>
    <n v="156"/>
    <x v="13"/>
    <x v="20"/>
    <n v="258.375"/>
    <n v="-0.23367198838896952"/>
    <n v="4585"/>
    <n v="-0.95681570338058886"/>
    <d v="2022-12-10T00:00:00"/>
    <n v="446"/>
    <d v="2025-08-20T00:00:00"/>
    <x v="137"/>
    <x v="3"/>
    <m/>
  </r>
  <r>
    <n v="226"/>
    <n v="317"/>
    <n v="196"/>
    <n v="2"/>
    <n v="392"/>
    <d v="2024-05-18T00:00:00"/>
    <s v="О'кей"/>
    <n v="327"/>
    <x v="5"/>
    <x v="5"/>
    <n v="268.60344827586209"/>
    <n v="-0.27029976250080245"/>
    <n v="9023"/>
    <n v="-0.97827773467804502"/>
    <d v="2022-01-04T00:00:00"/>
    <n v="865"/>
    <d v="2025-08-20T00:00:00"/>
    <x v="127"/>
    <x v="4"/>
    <m/>
  </r>
  <r>
    <n v="227"/>
    <n v="131"/>
    <n v="376"/>
    <n v="1"/>
    <n v="376"/>
    <d v="2024-05-15T00:00:00"/>
    <s v="Гиперглобус"/>
    <n v="275"/>
    <x v="5"/>
    <x v="32"/>
    <n v="268.60344827586209"/>
    <n v="0.39983310867193"/>
    <n v="2796"/>
    <n v="-0.86552217453505009"/>
    <d v="2022-03-31T00:00:00"/>
    <n v="776"/>
    <d v="2025-08-20T00:00:00"/>
    <x v="138"/>
    <x v="4"/>
    <m/>
  </r>
  <r>
    <n v="228"/>
    <n v="96"/>
    <n v="362"/>
    <n v="4"/>
    <n v="1448"/>
    <d v="2024-04-16T00:00:00"/>
    <s v="Дикси"/>
    <n v="330"/>
    <x v="1"/>
    <x v="69"/>
    <n v="264.8679245283019"/>
    <n v="0.36671890582704081"/>
    <n v="2737"/>
    <n v="-0.86773839970770916"/>
    <d v="2022-09-11T00:00:00"/>
    <n v="583"/>
    <d v="2025-08-20T00:00:00"/>
    <x v="67"/>
    <x v="0"/>
    <m/>
  </r>
  <r>
    <n v="229"/>
    <n v="311"/>
    <n v="345"/>
    <n v="5"/>
    <n v="1725"/>
    <d v="2024-05-09T00:00:00"/>
    <s v="Ароматный Мир"/>
    <n v="177"/>
    <x v="3"/>
    <x v="16"/>
    <n v="265.47674418604652"/>
    <n v="0.29954885900748973"/>
    <n v="10237"/>
    <n v="-0.96629872032822117"/>
    <d v="2022-10-23T00:00:00"/>
    <n v="564"/>
    <d v="2025-08-20T00:00:00"/>
    <x v="31"/>
    <x v="4"/>
    <m/>
  </r>
  <r>
    <n v="230"/>
    <n v="268"/>
    <n v="81"/>
    <n v="3"/>
    <n v="243"/>
    <d v="2023-06-29T00:00:00"/>
    <s v="Седьмой Континент"/>
    <n v="407"/>
    <x v="13"/>
    <x v="34"/>
    <n v="258.375"/>
    <n v="-0.68650217706821481"/>
    <n v="1271"/>
    <n v="-0.93627065302911094"/>
    <d v="2022-03-01T00:00:00"/>
    <n v="485"/>
    <d v="2025-08-20T00:00:00"/>
    <x v="47"/>
    <x v="1"/>
    <m/>
  </r>
  <r>
    <n v="231"/>
    <n v="495"/>
    <n v="97"/>
    <n v="4"/>
    <n v="388"/>
    <d v="2024-04-27T00:00:00"/>
    <s v="Спар"/>
    <n v="181"/>
    <x v="8"/>
    <x v="8"/>
    <n v="271.18181818181819"/>
    <n v="-0.64230640295005026"/>
    <n v="6412"/>
    <n v="-0.98487211478477854"/>
    <d v="2022-01-07T00:00:00"/>
    <n v="841"/>
    <d v="2025-08-20T00:00:00"/>
    <x v="55"/>
    <x v="3"/>
    <m/>
  </r>
  <r>
    <n v="232"/>
    <n v="436"/>
    <n v="184"/>
    <n v="4"/>
    <n v="736"/>
    <d v="2023-08-09T00:00:00"/>
    <s v="Городской Супермаркет"/>
    <n v="166"/>
    <x v="4"/>
    <x v="54"/>
    <n v="250.48780487804879"/>
    <n v="-0.26543330087633887"/>
    <n v="2229"/>
    <n v="-0.91745177209510986"/>
    <d v="2022-08-23T00:00:00"/>
    <n v="351"/>
    <d v="2025-08-20T00:00:00"/>
    <x v="74"/>
    <x v="0"/>
    <m/>
  </r>
  <r>
    <n v="233"/>
    <n v="358"/>
    <n v="172"/>
    <n v="1"/>
    <n v="172"/>
    <d v="2024-03-28T00:00:00"/>
    <s v="Ароматный Мир"/>
    <n v="478"/>
    <x v="17"/>
    <x v="70"/>
    <n v="267.85483870967744"/>
    <n v="-0.3578611428915518"/>
    <n v="1608"/>
    <n v="-0.89303482587064675"/>
    <d v="2022-06-14T00:00:00"/>
    <n v="653"/>
    <d v="2025-08-20T00:00:00"/>
    <x v="139"/>
    <x v="3"/>
    <m/>
  </r>
  <r>
    <n v="234"/>
    <n v="160"/>
    <n v="288"/>
    <n v="2"/>
    <n v="576"/>
    <d v="2023-03-11T00:00:00"/>
    <s v="Лента"/>
    <n v="429"/>
    <x v="18"/>
    <x v="34"/>
    <n v="255.11627906976744"/>
    <n v="0.12889699179580671"/>
    <n v="3254"/>
    <n v="-0.91149354640442537"/>
    <d v="2022-03-05T00:00:00"/>
    <n v="371"/>
    <d v="2025-08-20T00:00:00"/>
    <x v="140"/>
    <x v="4"/>
    <m/>
  </r>
  <r>
    <n v="235"/>
    <n v="23"/>
    <n v="174"/>
    <n v="3"/>
    <n v="522"/>
    <d v="2024-04-14T00:00:00"/>
    <s v="Пятерочка"/>
    <n v="181"/>
    <x v="6"/>
    <x v="25"/>
    <n v="258.5128205128205"/>
    <n v="-0.32691926205118027"/>
    <n v="2164"/>
    <n v="-0.91959334565619222"/>
    <d v="2022-01-07T00:00:00"/>
    <n v="828"/>
    <d v="2025-08-20T00:00:00"/>
    <x v="55"/>
    <x v="3"/>
    <m/>
  </r>
  <r>
    <n v="236"/>
    <n v="49"/>
    <n v="292"/>
    <n v="3"/>
    <n v="876"/>
    <d v="2023-05-13T00:00:00"/>
    <s v="Дикси"/>
    <n v="431"/>
    <x v="13"/>
    <x v="30"/>
    <n v="258.375"/>
    <n v="0.1301402999516208"/>
    <n v="2225"/>
    <n v="-0.8687640449438202"/>
    <d v="2022-03-03T00:00:00"/>
    <n v="436"/>
    <d v="2025-08-20T00:00:00"/>
    <x v="124"/>
    <x v="2"/>
    <m/>
  </r>
  <r>
    <n v="237"/>
    <n v="485"/>
    <n v="243"/>
    <n v="3"/>
    <n v="729"/>
    <d v="2023-03-02T00:00:00"/>
    <s v="Пятерочка"/>
    <n v="34"/>
    <x v="3"/>
    <x v="3"/>
    <n v="265.47674418604652"/>
    <n v="-8.4665586264289772E-2"/>
    <n v="6852"/>
    <n v="-0.96453590192644478"/>
    <d v="2022-04-03T00:00:00"/>
    <n v="333"/>
    <d v="2025-08-20T00:00:00"/>
    <x v="10"/>
    <x v="4"/>
    <m/>
  </r>
  <r>
    <n v="238"/>
    <n v="131"/>
    <n v="382"/>
    <n v="5"/>
    <n v="1910"/>
    <d v="2024-03-14T00:00:00"/>
    <s v="Карусель"/>
    <n v="147"/>
    <x v="5"/>
    <x v="32"/>
    <n v="268.60344827586209"/>
    <n v="0.42217087104435436"/>
    <n v="2796"/>
    <n v="-0.86337625178826893"/>
    <d v="2022-09-23T00:00:00"/>
    <n v="538"/>
    <d v="2025-08-20T00:00:00"/>
    <x v="42"/>
    <x v="2"/>
    <m/>
  </r>
  <r>
    <n v="239"/>
    <n v="270"/>
    <n v="308"/>
    <n v="1"/>
    <n v="308"/>
    <d v="2024-01-31T00:00:00"/>
    <s v="Дикси"/>
    <n v="496"/>
    <x v="1"/>
    <x v="63"/>
    <n v="264.8679245283019"/>
    <n v="0.16284370993018937"/>
    <n v="2843"/>
    <n v="-0.8916637354906789"/>
    <d v="2022-11-02T00:00:00"/>
    <n v="455"/>
    <d v="2025-08-20T00:00:00"/>
    <x v="18"/>
    <x v="3"/>
    <m/>
  </r>
  <r>
    <n v="240"/>
    <n v="345"/>
    <n v="357"/>
    <n v="4"/>
    <n v="1428"/>
    <d v="2023-05-11T00:00:00"/>
    <s v="О'кей"/>
    <n v="202"/>
    <x v="17"/>
    <x v="27"/>
    <n v="267.85483870967744"/>
    <n v="0.33281146504486059"/>
    <n v="6053"/>
    <n v="-0.94102098133157108"/>
    <d v="2022-07-24T00:00:00"/>
    <n v="291"/>
    <d v="2025-08-20T00:00:00"/>
    <x v="45"/>
    <x v="1"/>
    <m/>
  </r>
  <r>
    <n v="241"/>
    <n v="40"/>
    <n v="82"/>
    <n v="1"/>
    <n v="82"/>
    <d v="2023-03-26T00:00:00"/>
    <s v="Спар"/>
    <n v="312"/>
    <x v="19"/>
    <x v="71"/>
    <n v="286.92307692307691"/>
    <n v="-0.71420911528150133"/>
    <n v="82"/>
    <n v="0"/>
    <d v="2022-11-21T00:00:00"/>
    <n v="125"/>
    <d v="2025-08-20T00:00:00"/>
    <x v="133"/>
    <x v="2"/>
    <m/>
  </r>
  <r>
    <n v="242"/>
    <n v="275"/>
    <n v="219"/>
    <n v="1"/>
    <n v="219"/>
    <d v="2023-04-12T00:00:00"/>
    <s v="Магнит"/>
    <n v="41"/>
    <x v="11"/>
    <x v="46"/>
    <n v="261.03225806451616"/>
    <n v="-0.16102323282254083"/>
    <n v="8943"/>
    <n v="-0.97551157329755112"/>
    <d v="2022-10-08T00:00:00"/>
    <n v="186"/>
    <d v="2025-08-20T00:00:00"/>
    <x v="2"/>
    <x v="2"/>
    <m/>
  </r>
  <r>
    <n v="243"/>
    <n v="205"/>
    <n v="117"/>
    <n v="5"/>
    <n v="585"/>
    <d v="2023-03-21T00:00:00"/>
    <s v="Азбука Вкуса"/>
    <n v="389"/>
    <x v="3"/>
    <x v="3"/>
    <n v="265.47674418604652"/>
    <n v="-0.559283430423547"/>
    <n v="6852"/>
    <n v="-0.98292469352014011"/>
    <d v="2022-11-11T00:00:00"/>
    <n v="130"/>
    <d v="2025-08-20T00:00:00"/>
    <x v="141"/>
    <x v="2"/>
    <m/>
  </r>
  <r>
    <n v="244"/>
    <n v="219"/>
    <n v="474"/>
    <n v="5"/>
    <n v="2370"/>
    <d v="2024-01-09T00:00:00"/>
    <s v="Лента"/>
    <n v="24"/>
    <x v="9"/>
    <x v="42"/>
    <n v="263.25423728813558"/>
    <n v="0.80054081895441676"/>
    <n v="2871"/>
    <n v="-0.83490073145245558"/>
    <d v="2022-02-17T00:00:00"/>
    <n v="691"/>
    <d v="2025-08-20T00:00:00"/>
    <x v="26"/>
    <x v="0"/>
    <m/>
  </r>
  <r>
    <n v="245"/>
    <n v="425"/>
    <n v="334"/>
    <n v="2"/>
    <n v="668"/>
    <d v="2023-09-18T00:00:00"/>
    <s v="Мосмарт"/>
    <n v="25"/>
    <x v="1"/>
    <x v="13"/>
    <n v="264.8679245283019"/>
    <n v="0.2610058412879328"/>
    <n v="4171"/>
    <n v="-0.91992327978901944"/>
    <d v="2022-01-21T00:00:00"/>
    <n v="605"/>
    <d v="2025-08-20T00:00:00"/>
    <x v="5"/>
    <x v="4"/>
    <m/>
  </r>
  <r>
    <n v="246"/>
    <n v="452"/>
    <n v="220"/>
    <n v="5"/>
    <n v="1100"/>
    <d v="2023-01-25T00:00:00"/>
    <s v="Спар"/>
    <n v="411"/>
    <x v="12"/>
    <x v="18"/>
    <n v="274.16279069767444"/>
    <n v="-0.19755704470268898"/>
    <n v="4059"/>
    <n v="-0.94579945799457998"/>
    <d v="2022-04-22T00:00:00"/>
    <n v="278"/>
    <d v="2025-08-20T00:00:00"/>
    <x v="107"/>
    <x v="4"/>
    <m/>
  </r>
  <r>
    <n v="247"/>
    <n v="285"/>
    <n v="282"/>
    <n v="5"/>
    <n v="1410"/>
    <d v="2024-04-23T00:00:00"/>
    <s v="Магнит"/>
    <n v="106"/>
    <x v="3"/>
    <x v="16"/>
    <n v="265.47674418604652"/>
    <n v="6.2239936927861228E-2"/>
    <n v="10237"/>
    <n v="-0.97245286705089384"/>
    <d v="2022-10-24T00:00:00"/>
    <n v="547"/>
    <d v="2025-08-20T00:00:00"/>
    <x v="12"/>
    <x v="3"/>
    <m/>
  </r>
  <r>
    <n v="248"/>
    <n v="435"/>
    <n v="499"/>
    <n v="5"/>
    <n v="2495"/>
    <d v="2023-01-16T00:00:00"/>
    <s v="Спар"/>
    <n v="175"/>
    <x v="10"/>
    <x v="37"/>
    <n v="271.74545454545455"/>
    <n v="0.83627726482001874"/>
    <n v="4630"/>
    <n v="-0.89222462203023756"/>
    <d v="2022-01-04T00:00:00"/>
    <n v="377"/>
    <d v="2025-08-20T00:00:00"/>
    <x v="127"/>
    <x v="2"/>
    <m/>
  </r>
  <r>
    <n v="249"/>
    <n v="26"/>
    <n v="170"/>
    <n v="1"/>
    <n v="170"/>
    <d v="2023-08-01T00:00:00"/>
    <s v="Седьмой Континент"/>
    <n v="286"/>
    <x v="10"/>
    <x v="12"/>
    <n v="271.74545454545455"/>
    <n v="-0.37441455907935239"/>
    <n v="3405"/>
    <n v="-0.95007342143906026"/>
    <d v="2022-01-02T00:00:00"/>
    <n v="576"/>
    <d v="2025-08-20T00:00:00"/>
    <x v="22"/>
    <x v="4"/>
    <m/>
  </r>
  <r>
    <n v="250"/>
    <n v="157"/>
    <n v="52"/>
    <n v="1"/>
    <n v="52"/>
    <d v="2023-02-04T00:00:00"/>
    <s v="Бристоль"/>
    <n v="249"/>
    <x v="11"/>
    <x v="26"/>
    <n v="261.03225806451616"/>
    <n v="-0.80079090459713298"/>
    <n v="3935"/>
    <n v="-0.9867852604828462"/>
    <d v="2022-08-08T00:00:00"/>
    <n v="180"/>
    <d v="2025-08-20T00:00:00"/>
    <x v="142"/>
    <x v="2"/>
    <m/>
  </r>
  <r>
    <n v="251"/>
    <n v="273"/>
    <n v="156"/>
    <n v="5"/>
    <n v="780"/>
    <d v="2023-04-13T00:00:00"/>
    <s v="Ароматный Мир"/>
    <n v="168"/>
    <x v="17"/>
    <x v="66"/>
    <n v="267.85483870967744"/>
    <n v="-0.41759499006443068"/>
    <n v="2189"/>
    <n v="-0.92873458200091363"/>
    <d v="2022-05-25T00:00:00"/>
    <n v="323"/>
    <d v="2025-08-20T00:00:00"/>
    <x v="143"/>
    <x v="0"/>
    <m/>
  </r>
  <r>
    <n v="252"/>
    <n v="340"/>
    <n v="450"/>
    <n v="3"/>
    <n v="1350"/>
    <d v="2023-01-07T00:00:00"/>
    <s v="Мосмарт"/>
    <n v="121"/>
    <x v="11"/>
    <x v="17"/>
    <n v="261.03225806451616"/>
    <n v="0.72392486406327228"/>
    <n v="2802"/>
    <n v="-0.83940042826552463"/>
    <d v="2022-07-21T00:00:00"/>
    <n v="170"/>
    <d v="2025-08-20T00:00:00"/>
    <x v="144"/>
    <x v="2"/>
    <m/>
  </r>
  <r>
    <n v="253"/>
    <n v="34"/>
    <n v="366"/>
    <n v="4"/>
    <n v="1464"/>
    <d v="2023-12-04T00:00:00"/>
    <s v="Мираторг"/>
    <n v="259"/>
    <x v="18"/>
    <x v="72"/>
    <n v="255.11627906976744"/>
    <n v="0.4346399270738377"/>
    <n v="2773"/>
    <n v="-0.86801298232960689"/>
    <d v="2022-05-26T00:00:00"/>
    <n v="557"/>
    <d v="2025-08-20T00:00:00"/>
    <x v="35"/>
    <x v="1"/>
    <m/>
  </r>
  <r>
    <n v="254"/>
    <n v="296"/>
    <n v="210"/>
    <n v="1"/>
    <n v="210"/>
    <d v="2023-03-25T00:00:00"/>
    <s v="Дикси"/>
    <n v="255"/>
    <x v="18"/>
    <x v="34"/>
    <n v="255.11627906976744"/>
    <n v="-0.17684594348222427"/>
    <n v="3254"/>
    <n v="-0.93546404425322682"/>
    <d v="2022-08-20T00:00:00"/>
    <n v="217"/>
    <d v="2025-08-20T00:00:00"/>
    <x v="126"/>
    <x v="3"/>
    <m/>
  </r>
  <r>
    <n v="255"/>
    <n v="116"/>
    <n v="379"/>
    <n v="4"/>
    <n v="1516"/>
    <d v="2023-12-01T00:00:00"/>
    <s v="О'кей"/>
    <n v="405"/>
    <x v="1"/>
    <x v="13"/>
    <n v="264.8679245283019"/>
    <n v="0.43090183786864222"/>
    <n v="4171"/>
    <n v="-0.90913450011987529"/>
    <d v="2022-08-25T00:00:00"/>
    <n v="463"/>
    <d v="2025-08-20T00:00:00"/>
    <x v="145"/>
    <x v="3"/>
    <m/>
  </r>
  <r>
    <n v="256"/>
    <n v="117"/>
    <n v="102"/>
    <n v="4"/>
    <n v="408"/>
    <d v="2024-02-07T00:00:00"/>
    <s v="Магнит"/>
    <n v="376"/>
    <x v="3"/>
    <x v="29"/>
    <n v="265.47674418604652"/>
    <n v="-0.61578555472822039"/>
    <n v="2120"/>
    <n v="-0.95188679245283014"/>
    <d v="2022-06-18T00:00:00"/>
    <n v="599"/>
    <d v="2025-08-20T00:00:00"/>
    <x v="114"/>
    <x v="1"/>
    <m/>
  </r>
  <r>
    <n v="257"/>
    <n v="239"/>
    <n v="380"/>
    <n v="5"/>
    <n v="1900"/>
    <d v="2023-07-22T00:00:00"/>
    <s v="Бристоль"/>
    <n v="489"/>
    <x v="9"/>
    <x v="33"/>
    <n v="263.25423728813558"/>
    <n v="0.44347154262168442"/>
    <n v="4970"/>
    <n v="-0.9235412474849094"/>
    <d v="2022-01-26T00:00:00"/>
    <n v="542"/>
    <d v="2025-08-20T00:00:00"/>
    <x v="146"/>
    <x v="2"/>
    <m/>
  </r>
  <r>
    <n v="258"/>
    <n v="201"/>
    <n v="355"/>
    <n v="5"/>
    <n v="1775"/>
    <d v="2024-02-21T00:00:00"/>
    <s v="Метро"/>
    <n v="483"/>
    <x v="2"/>
    <x v="36"/>
    <n v="283.468085106383"/>
    <n v="0.25234556781505657"/>
    <n v="3493"/>
    <n v="-0.89836816490123106"/>
    <d v="2022-10-21T00:00:00"/>
    <n v="488"/>
    <d v="2025-08-20T00:00:00"/>
    <x v="48"/>
    <x v="2"/>
    <m/>
  </r>
  <r>
    <n v="259"/>
    <n v="377"/>
    <n v="403"/>
    <n v="4"/>
    <n v="1612"/>
    <d v="2024-02-15T00:00:00"/>
    <s v="Магнит"/>
    <n v="107"/>
    <x v="19"/>
    <x v="40"/>
    <n v="286.92307692307691"/>
    <n v="0.40455764075067036"/>
    <n v="3283"/>
    <n v="-0.87724642095644223"/>
    <d v="2022-07-02T00:00:00"/>
    <n v="593"/>
    <d v="2025-08-20T00:00:00"/>
    <x v="147"/>
    <x v="4"/>
    <m/>
  </r>
  <r>
    <n v="260"/>
    <n v="485"/>
    <n v="101"/>
    <n v="1"/>
    <n v="101"/>
    <d v="2024-02-09T00:00:00"/>
    <s v="Пятерочка"/>
    <n v="51"/>
    <x v="3"/>
    <x v="3"/>
    <n v="265.47674418604652"/>
    <n v="-0.61955236301519867"/>
    <n v="6852"/>
    <n v="-0.98525977816695853"/>
    <d v="2022-02-13T00:00:00"/>
    <n v="726"/>
    <d v="2025-08-20T00:00:00"/>
    <x v="79"/>
    <x v="0"/>
    <m/>
  </r>
  <r>
    <n v="261"/>
    <n v="251"/>
    <n v="294"/>
    <n v="1"/>
    <n v="294"/>
    <d v="2023-06-05T00:00:00"/>
    <s v="Спар"/>
    <n v="47"/>
    <x v="4"/>
    <x v="54"/>
    <n v="250.48780487804879"/>
    <n v="0.17370983446932819"/>
    <n v="2229"/>
    <n v="-0.86810228802153433"/>
    <d v="2022-05-12T00:00:00"/>
    <n v="389"/>
    <d v="2025-08-20T00:00:00"/>
    <x v="29"/>
    <x v="1"/>
    <m/>
  </r>
  <r>
    <n v="262"/>
    <n v="409"/>
    <n v="299"/>
    <n v="1"/>
    <n v="299"/>
    <d v="2024-03-10T00:00:00"/>
    <s v="Городской Супермаркет"/>
    <n v="411"/>
    <x v="12"/>
    <x v="64"/>
    <n v="274.16279069767444"/>
    <n v="9.0592925608618202E-2"/>
    <n v="3358"/>
    <n v="-0.91095890410958902"/>
    <d v="2022-04-22T00:00:00"/>
    <n v="688"/>
    <d v="2025-08-20T00:00:00"/>
    <x v="107"/>
    <x v="4"/>
    <m/>
  </r>
  <r>
    <n v="263"/>
    <n v="422"/>
    <n v="349"/>
    <n v="2"/>
    <n v="698"/>
    <d v="2023-04-29T00:00:00"/>
    <s v="Лента"/>
    <n v="160"/>
    <x v="7"/>
    <x v="57"/>
    <n v="249.02380952380952"/>
    <n v="0.40147241610096573"/>
    <n v="2569"/>
    <n v="-0.86414947450369795"/>
    <d v="2022-03-29T00:00:00"/>
    <n v="396"/>
    <d v="2025-08-20T00:00:00"/>
    <x v="30"/>
    <x v="0"/>
    <m/>
  </r>
  <r>
    <n v="548"/>
    <n v="334"/>
    <n v="459"/>
    <n v="5"/>
    <n v="2295"/>
    <d v="2023-08-08T00:00:00"/>
    <s v="Бристоль"/>
    <n v="167"/>
    <x v="15"/>
    <x v="65"/>
    <n v="294.95238095238096"/>
    <n v="0.65789473684210531"/>
    <n v="4946"/>
    <n v="-0.90719773554387384"/>
    <d v="2022-01-02T00:00:00"/>
    <n v="583"/>
    <d v="2025-08-20T00:00:00"/>
    <x v="22"/>
    <x v="0"/>
    <m/>
  </r>
  <r>
    <n v="265"/>
    <n v="497"/>
    <n v="387"/>
    <n v="2"/>
    <n v="774"/>
    <d v="2023-01-19T00:00:00"/>
    <s v="Мосмарт"/>
    <n v="456"/>
    <x v="17"/>
    <x v="35"/>
    <n v="267.85483870967744"/>
    <n v="0.44481242849400848"/>
    <n v="6757"/>
    <n v="-0.94272606186177299"/>
    <d v="2022-02-26T00:00:00"/>
    <n v="327"/>
    <d v="2025-08-20T00:00:00"/>
    <x v="148"/>
    <x v="2"/>
    <m/>
  </r>
  <r>
    <n v="266"/>
    <n v="217"/>
    <n v="412"/>
    <n v="2"/>
    <n v="824"/>
    <d v="2023-09-05T00:00:00"/>
    <s v="Метро"/>
    <n v="110"/>
    <x v="10"/>
    <x v="10"/>
    <n v="271.74545454545455"/>
    <n v="0.51612471564298135"/>
    <n v="3112"/>
    <n v="-0.86760925449871462"/>
    <d v="2022-01-19T00:00:00"/>
    <n v="594"/>
    <d v="2025-08-20T00:00:00"/>
    <x v="149"/>
    <x v="0"/>
    <m/>
  </r>
  <r>
    <n v="267"/>
    <n v="351"/>
    <n v="155"/>
    <n v="5"/>
    <n v="775"/>
    <d v="2023-09-20T00:00:00"/>
    <s v="Гиперглобус"/>
    <n v="216"/>
    <x v="14"/>
    <x v="56"/>
    <n v="273.72549019607845"/>
    <n v="-0.43373925501432664"/>
    <n v="2902"/>
    <n v="-0.9465885596140593"/>
    <d v="2022-04-04T00:00:00"/>
    <n v="534"/>
    <d v="2025-08-20T00:00:00"/>
    <x v="150"/>
    <x v="4"/>
    <m/>
  </r>
  <r>
    <n v="268"/>
    <n v="494"/>
    <n v="214"/>
    <n v="1"/>
    <n v="214"/>
    <d v="2023-04-13T00:00:00"/>
    <s v="Мираторг"/>
    <n v="424"/>
    <x v="11"/>
    <x v="46"/>
    <n v="261.03225806451616"/>
    <n v="-0.18017795353435495"/>
    <n v="8943"/>
    <n v="-0.97607066979760704"/>
    <d v="2022-01-24T00:00:00"/>
    <n v="444"/>
    <d v="2025-08-20T00:00:00"/>
    <x v="73"/>
    <x v="2"/>
    <m/>
  </r>
  <r>
    <n v="269"/>
    <n v="464"/>
    <n v="290"/>
    <n v="3"/>
    <n v="870"/>
    <d v="2023-09-16T00:00:00"/>
    <s v="О'кей"/>
    <n v="77"/>
    <x v="11"/>
    <x v="46"/>
    <n v="261.03225806451616"/>
    <n v="0.11097380128521994"/>
    <n v="8943"/>
    <n v="-0.96757240299675729"/>
    <d v="2022-03-24T00:00:00"/>
    <n v="541"/>
    <d v="2025-08-20T00:00:00"/>
    <x v="151"/>
    <x v="2"/>
    <m/>
  </r>
  <r>
    <n v="270"/>
    <n v="462"/>
    <n v="271"/>
    <n v="2"/>
    <n v="542"/>
    <d v="2023-02-19T00:00:00"/>
    <s v="Бристоль"/>
    <n v="192"/>
    <x v="13"/>
    <x v="20"/>
    <n v="258.375"/>
    <n v="4.8863086598935679E-2"/>
    <n v="4585"/>
    <n v="-0.94089422028353331"/>
    <d v="2022-01-11T00:00:00"/>
    <n v="404"/>
    <d v="2025-08-20T00:00:00"/>
    <x v="152"/>
    <x v="2"/>
    <m/>
  </r>
  <r>
    <n v="271"/>
    <n v="102"/>
    <n v="326"/>
    <n v="2"/>
    <n v="652"/>
    <d v="2023-08-04T00:00:00"/>
    <s v="Магнит"/>
    <n v="130"/>
    <x v="2"/>
    <x v="36"/>
    <n v="283.468085106383"/>
    <n v="0.15004128199354483"/>
    <n v="3493"/>
    <n v="-0.90667048382479243"/>
    <d v="2022-10-29T00:00:00"/>
    <n v="279"/>
    <d v="2025-08-20T00:00:00"/>
    <x v="69"/>
    <x v="4"/>
    <m/>
  </r>
  <r>
    <n v="272"/>
    <n v="345"/>
    <n v="420"/>
    <n v="2"/>
    <n v="840"/>
    <d v="2023-04-21T00:00:00"/>
    <s v="Метро"/>
    <n v="308"/>
    <x v="17"/>
    <x v="27"/>
    <n v="267.85483870967744"/>
    <n v="0.56801348828807119"/>
    <n v="6053"/>
    <n v="-0.93061291921361311"/>
    <d v="2022-01-01T00:00:00"/>
    <n v="475"/>
    <d v="2025-08-20T00:00:00"/>
    <x v="153"/>
    <x v="1"/>
    <m/>
  </r>
  <r>
    <n v="273"/>
    <n v="445"/>
    <n v="71"/>
    <n v="4"/>
    <n v="284"/>
    <d v="2023-11-20T00:00:00"/>
    <s v="Седьмой Континент"/>
    <n v="455"/>
    <x v="0"/>
    <x v="11"/>
    <n v="254.58333333333334"/>
    <n v="-0.72111292962356788"/>
    <n v="3604"/>
    <n v="-0.98029966703662597"/>
    <d v="2022-09-16T00:00:00"/>
    <n v="430"/>
    <d v="2025-08-20T00:00:00"/>
    <x v="14"/>
    <x v="3"/>
    <m/>
  </r>
  <r>
    <n v="274"/>
    <n v="241"/>
    <n v="400"/>
    <n v="3"/>
    <n v="1200"/>
    <d v="2024-03-20T00:00:00"/>
    <s v="Седьмой Континент"/>
    <n v="490"/>
    <x v="19"/>
    <x v="40"/>
    <n v="286.92307692307691"/>
    <n v="0.39410187667560326"/>
    <n v="3283"/>
    <n v="-0.87816021931160526"/>
    <d v="2022-02-11T00:00:00"/>
    <n v="768"/>
    <d v="2025-08-20T00:00:00"/>
    <x v="16"/>
    <x v="2"/>
    <m/>
  </r>
  <r>
    <n v="275"/>
    <n v="258"/>
    <n v="109"/>
    <n v="2"/>
    <n v="218"/>
    <d v="2024-05-04T00:00:00"/>
    <s v="Городской Супермаркет"/>
    <n v="480"/>
    <x v="6"/>
    <x v="25"/>
    <n v="258.5128205128205"/>
    <n v="-0.5783574687561992"/>
    <n v="2164"/>
    <n v="-0.94963031423290201"/>
    <d v="2022-01-07T00:00:00"/>
    <n v="848"/>
    <d v="2025-08-20T00:00:00"/>
    <x v="55"/>
    <x v="0"/>
    <m/>
  </r>
  <r>
    <n v="276"/>
    <n v="376"/>
    <n v="217"/>
    <n v="1"/>
    <n v="217"/>
    <d v="2023-09-30T00:00:00"/>
    <s v="Спар"/>
    <n v="321"/>
    <x v="17"/>
    <x v="66"/>
    <n v="267.85483870967744"/>
    <n v="-0.18985969771782985"/>
    <n v="2189"/>
    <n v="-0.9008679762448607"/>
    <d v="2022-07-14T00:00:00"/>
    <n v="443"/>
    <d v="2025-08-20T00:00:00"/>
    <x v="19"/>
    <x v="4"/>
    <m/>
  </r>
  <r>
    <n v="277"/>
    <n v="7"/>
    <n v="104"/>
    <n v="1"/>
    <n v="104"/>
    <d v="2023-03-04T00:00:00"/>
    <s v="Мосмарт"/>
    <n v="496"/>
    <x v="11"/>
    <x v="26"/>
    <n v="261.03225806451616"/>
    <n v="-0.60158180919426596"/>
    <n v="3935"/>
    <n v="-0.97357052096569252"/>
    <d v="2022-11-02T00:00:00"/>
    <n v="122"/>
    <d v="2025-08-20T00:00:00"/>
    <x v="18"/>
    <x v="3"/>
    <m/>
  </r>
  <r>
    <n v="278"/>
    <n v="428"/>
    <n v="428"/>
    <n v="4"/>
    <n v="1712"/>
    <d v="2023-07-16T00:00:00"/>
    <s v="Лента"/>
    <n v="203"/>
    <x v="17"/>
    <x v="35"/>
    <n v="267.85483870967744"/>
    <n v="0.59788041187451069"/>
    <n v="6757"/>
    <n v="-0.93665828030190912"/>
    <d v="2022-05-04T00:00:00"/>
    <n v="438"/>
    <d v="2025-08-20T00:00:00"/>
    <x v="154"/>
    <x v="2"/>
    <m/>
  </r>
  <r>
    <n v="279"/>
    <n v="216"/>
    <n v="83"/>
    <n v="3"/>
    <n v="249"/>
    <d v="2023-04-17T00:00:00"/>
    <s v="Гиперглобус"/>
    <n v="457"/>
    <x v="7"/>
    <x v="39"/>
    <n v="249.02380952380952"/>
    <n v="-0.66669853714504246"/>
    <n v="2222"/>
    <n v="-0.96264626462646263"/>
    <d v="2022-02-03T00:00:00"/>
    <n v="438"/>
    <d v="2025-08-20T00:00:00"/>
    <x v="125"/>
    <x v="4"/>
    <m/>
  </r>
  <r>
    <n v="280"/>
    <n v="272"/>
    <n v="113"/>
    <n v="3"/>
    <n v="339"/>
    <d v="2023-04-03T00:00:00"/>
    <s v="Ароматный Мир"/>
    <n v="21"/>
    <x v="18"/>
    <x v="72"/>
    <n v="255.11627906976744"/>
    <n v="-0.55706472196900636"/>
    <n v="2773"/>
    <n v="-0.9592499098449333"/>
    <d v="2022-11-16T00:00:00"/>
    <n v="138"/>
    <d v="2025-08-20T00:00:00"/>
    <x v="40"/>
    <x v="1"/>
    <m/>
  </r>
  <r>
    <n v="281"/>
    <n v="236"/>
    <n v="221"/>
    <n v="4"/>
    <n v="884"/>
    <d v="2023-08-28T00:00:00"/>
    <s v="Метро"/>
    <n v="333"/>
    <x v="2"/>
    <x v="45"/>
    <n v="283.468085106383"/>
    <n v="-0.22037078736020421"/>
    <n v="3538"/>
    <n v="-0.93753533069530803"/>
    <d v="2022-10-23T00:00:00"/>
    <n v="309"/>
    <d v="2025-08-20T00:00:00"/>
    <x v="31"/>
    <x v="2"/>
    <m/>
  </r>
  <r>
    <n v="282"/>
    <n v="225"/>
    <n v="114"/>
    <n v="3"/>
    <n v="342"/>
    <d v="2023-07-19T00:00:00"/>
    <s v="Мосмарт"/>
    <n v="405"/>
    <x v="1"/>
    <x v="1"/>
    <n v="264.8679245283019"/>
    <n v="-0.56959680866220264"/>
    <n v="4287"/>
    <n v="-0.97340797760671793"/>
    <d v="2022-08-25T00:00:00"/>
    <n v="328"/>
    <d v="2025-08-20T00:00:00"/>
    <x v="145"/>
    <x v="3"/>
    <m/>
  </r>
  <r>
    <n v="283"/>
    <n v="167"/>
    <n v="488"/>
    <n v="3"/>
    <n v="1464"/>
    <d v="2023-08-26T00:00:00"/>
    <s v="Бристоль"/>
    <n v="32"/>
    <x v="10"/>
    <x v="12"/>
    <n v="271.74545454545455"/>
    <n v="0.79579820687809444"/>
    <n v="3405"/>
    <n v="-0.85668135095447873"/>
    <d v="2022-12-27T00:00:00"/>
    <n v="242"/>
    <d v="2025-08-20T00:00:00"/>
    <x v="111"/>
    <x v="0"/>
    <m/>
  </r>
  <r>
    <n v="284"/>
    <n v="467"/>
    <n v="421"/>
    <n v="5"/>
    <n v="2105"/>
    <d v="2023-05-24T00:00:00"/>
    <s v="Мираторг"/>
    <n v="334"/>
    <x v="3"/>
    <x v="3"/>
    <n v="265.47674418604652"/>
    <n v="0.58582628881783538"/>
    <n v="6852"/>
    <n v="-0.93855808523058959"/>
    <d v="2022-11-16T00:00:00"/>
    <n v="189"/>
    <d v="2025-08-20T00:00:00"/>
    <x v="40"/>
    <x v="3"/>
    <m/>
  </r>
  <r>
    <n v="285"/>
    <n v="430"/>
    <n v="380"/>
    <n v="1"/>
    <n v="380"/>
    <d v="2024-04-09T00:00:00"/>
    <s v="Азбука Вкуса"/>
    <n v="449"/>
    <x v="8"/>
    <x v="51"/>
    <n v="271.18181818181819"/>
    <n v="0.40127388535031838"/>
    <n v="2433"/>
    <n v="-0.84381422112618165"/>
    <d v="2022-03-25T00:00:00"/>
    <n v="746"/>
    <d v="2025-08-20T00:00:00"/>
    <x v="62"/>
    <x v="4"/>
    <m/>
  </r>
  <r>
    <n v="286"/>
    <n v="139"/>
    <n v="232"/>
    <n v="3"/>
    <n v="696"/>
    <d v="2023-09-28T00:00:00"/>
    <s v="Ашан"/>
    <n v="302"/>
    <x v="9"/>
    <x v="9"/>
    <n v="263.25423728813558"/>
    <n v="-0.11872263713623488"/>
    <n v="5929"/>
    <n v="-0.96087029853263617"/>
    <d v="2022-10-25T00:00:00"/>
    <n v="338"/>
    <d v="2025-08-20T00:00:00"/>
    <x v="155"/>
    <x v="2"/>
    <m/>
  </r>
  <r>
    <n v="287"/>
    <n v="351"/>
    <n v="93"/>
    <n v="3"/>
    <n v="279"/>
    <d v="2024-04-10T00:00:00"/>
    <s v="Билла"/>
    <n v="341"/>
    <x v="14"/>
    <x v="56"/>
    <n v="273.72549019607845"/>
    <n v="-0.66024355300859594"/>
    <n v="2902"/>
    <n v="-0.96795313576843556"/>
    <d v="2022-06-12T00:00:00"/>
    <n v="668"/>
    <d v="2025-08-20T00:00:00"/>
    <x v="156"/>
    <x v="2"/>
    <m/>
  </r>
  <r>
    <n v="288"/>
    <n v="404"/>
    <n v="136"/>
    <n v="2"/>
    <n v="272"/>
    <d v="2023-12-27T00:00:00"/>
    <s v="Верный"/>
    <n v="62"/>
    <x v="9"/>
    <x v="9"/>
    <n v="263.25423728813558"/>
    <n v="-0.48338913211434453"/>
    <n v="5929"/>
    <n v="-0.97706189913982122"/>
    <d v="2022-04-20T00:00:00"/>
    <n v="616"/>
    <d v="2025-08-20T00:00:00"/>
    <x v="134"/>
    <x v="2"/>
    <m/>
  </r>
  <r>
    <n v="289"/>
    <n v="237"/>
    <n v="157"/>
    <n v="5"/>
    <n v="785"/>
    <d v="2023-01-20T00:00:00"/>
    <s v="Магнит"/>
    <n v="366"/>
    <x v="17"/>
    <x v="27"/>
    <n v="267.85483870967744"/>
    <n v="-0.41386162461612575"/>
    <n v="6053"/>
    <n v="-0.97406244837270772"/>
    <d v="2022-09-23T00:00:00"/>
    <n v="119"/>
    <d v="2025-08-20T00:00:00"/>
    <x v="42"/>
    <x v="0"/>
    <m/>
  </r>
  <r>
    <n v="290"/>
    <n v="323"/>
    <n v="363"/>
    <n v="4"/>
    <n v="1452"/>
    <d v="2024-03-11T00:00:00"/>
    <s v="Мосмарт"/>
    <n v="463"/>
    <x v="6"/>
    <x v="6"/>
    <n v="258.5128205128205"/>
    <n v="0.40418567744495149"/>
    <n v="4431"/>
    <n v="-0.91807718348002709"/>
    <d v="2022-11-04T00:00:00"/>
    <n v="493"/>
    <d v="2025-08-20T00:00:00"/>
    <x v="157"/>
    <x v="3"/>
    <m/>
  </r>
  <r>
    <n v="291"/>
    <n v="457"/>
    <n v="289"/>
    <n v="5"/>
    <n v="1445"/>
    <d v="2023-08-29T00:00:00"/>
    <s v="Магнит"/>
    <n v="421"/>
    <x v="5"/>
    <x v="48"/>
    <n v="268.60344827586209"/>
    <n v="7.5935554271776118E-2"/>
    <n v="1089"/>
    <n v="-0.7346189164370982"/>
    <d v="2022-02-28T00:00:00"/>
    <n v="547"/>
    <d v="2025-08-20T00:00:00"/>
    <x v="158"/>
    <x v="2"/>
    <m/>
  </r>
  <r>
    <n v="292"/>
    <n v="328"/>
    <n v="448"/>
    <n v="4"/>
    <n v="1792"/>
    <d v="2023-08-28T00:00:00"/>
    <s v="Лента"/>
    <n v="86"/>
    <x v="14"/>
    <x v="56"/>
    <n v="273.72549019607845"/>
    <n v="0.63667621776504291"/>
    <n v="2902"/>
    <n v="-0.84562370778773266"/>
    <d v="2022-05-11T00:00:00"/>
    <n v="474"/>
    <d v="2025-08-20T00:00:00"/>
    <x v="159"/>
    <x v="0"/>
    <m/>
  </r>
  <r>
    <n v="293"/>
    <n v="424"/>
    <n v="226"/>
    <n v="2"/>
    <n v="452"/>
    <d v="2023-07-01T00:00:00"/>
    <s v="Гиперглобус"/>
    <n v="397"/>
    <x v="2"/>
    <x v="31"/>
    <n v="283.468085106383"/>
    <n v="-0.20273211739097807"/>
    <n v="4200"/>
    <n v="-0.94619047619047625"/>
    <d v="2022-06-16T00:00:00"/>
    <n v="380"/>
    <d v="2025-08-20T00:00:00"/>
    <x v="21"/>
    <x v="1"/>
    <m/>
  </r>
  <r>
    <n v="294"/>
    <n v="86"/>
    <n v="261"/>
    <n v="5"/>
    <n v="1305"/>
    <d v="2023-03-16T00:00:00"/>
    <s v="Городской Супермаркет"/>
    <n v="319"/>
    <x v="0"/>
    <x v="44"/>
    <n v="254.58333333333334"/>
    <n v="2.5204582651391139E-2"/>
    <n v="4988"/>
    <n v="-0.94767441860465118"/>
    <d v="2022-04-23T00:00:00"/>
    <n v="327"/>
    <d v="2025-08-20T00:00:00"/>
    <x v="160"/>
    <x v="0"/>
    <m/>
  </r>
  <r>
    <n v="295"/>
    <n v="17"/>
    <n v="253"/>
    <n v="3"/>
    <n v="759"/>
    <d v="2024-03-18T00:00:00"/>
    <s v="Ароматный Мир"/>
    <n v="290"/>
    <x v="7"/>
    <x v="7"/>
    <n v="249.02380952380952"/>
    <n v="1.5967109666316093E-2"/>
    <n v="5248"/>
    <n v="-0.95179115853658536"/>
    <d v="2022-08-04T00:00:00"/>
    <n v="592"/>
    <d v="2025-08-20T00:00:00"/>
    <x v="161"/>
    <x v="2"/>
    <m/>
  </r>
  <r>
    <n v="296"/>
    <n v="43"/>
    <n v="457"/>
    <n v="3"/>
    <n v="1371"/>
    <d v="2023-01-17T00:00:00"/>
    <s v="Перекресток"/>
    <n v="13"/>
    <x v="2"/>
    <x v="31"/>
    <n v="283.468085106383"/>
    <n v="0.61217443518726999"/>
    <n v="4200"/>
    <n v="-0.8911904761904762"/>
    <d v="2022-06-12T00:00:00"/>
    <n v="219"/>
    <d v="2025-08-20T00:00:00"/>
    <x v="156"/>
    <x v="2"/>
    <m/>
  </r>
  <r>
    <n v="297"/>
    <n v="5"/>
    <n v="65"/>
    <n v="5"/>
    <n v="325"/>
    <d v="2023-11-21T00:00:00"/>
    <s v="О'кей"/>
    <n v="302"/>
    <x v="3"/>
    <x v="29"/>
    <n v="265.47674418604652"/>
    <n v="-0.75515746134641493"/>
    <n v="2120"/>
    <n v="-0.96933962264150941"/>
    <d v="2022-10-25T00:00:00"/>
    <n v="392"/>
    <d v="2025-08-20T00:00:00"/>
    <x v="155"/>
    <x v="2"/>
    <m/>
  </r>
  <r>
    <n v="298"/>
    <n v="298"/>
    <n v="65"/>
    <n v="1"/>
    <n v="65"/>
    <d v="2023-02-28T00:00:00"/>
    <s v="Азбука Вкуса"/>
    <n v="453"/>
    <x v="18"/>
    <x v="67"/>
    <n v="255.11627906976744"/>
    <n v="-0.74521422060164078"/>
    <n v="3023"/>
    <n v="-0.97849818061528282"/>
    <d v="2022-03-15T00:00:00"/>
    <n v="350"/>
    <d v="2025-08-20T00:00:00"/>
    <x v="136"/>
    <x v="2"/>
    <m/>
  </r>
  <r>
    <n v="299"/>
    <n v="436"/>
    <n v="320"/>
    <n v="3"/>
    <n v="960"/>
    <d v="2024-04-06T00:00:00"/>
    <s v="Пятерочка"/>
    <n v="16"/>
    <x v="4"/>
    <x v="54"/>
    <n v="250.48780487804879"/>
    <n v="0.27750730282375846"/>
    <n v="2229"/>
    <n v="-0.85643786451323467"/>
    <d v="2022-06-01T00:00:00"/>
    <n v="675"/>
    <d v="2025-08-20T00:00:00"/>
    <x v="105"/>
    <x v="3"/>
    <m/>
  </r>
  <r>
    <n v="300"/>
    <n v="421"/>
    <n v="145"/>
    <n v="4"/>
    <n v="580"/>
    <d v="2024-02-01T00:00:00"/>
    <s v="Пятерочка"/>
    <n v="120"/>
    <x v="8"/>
    <x v="8"/>
    <n v="271.18181818181819"/>
    <n v="-0.46530338585316799"/>
    <n v="6412"/>
    <n v="-0.97738615096693704"/>
    <d v="2022-05-10T00:00:00"/>
    <n v="632"/>
    <d v="2025-08-20T00:00:00"/>
    <x v="162"/>
    <x v="2"/>
    <m/>
  </r>
  <r>
    <n v="301"/>
    <n v="223"/>
    <n v="467"/>
    <n v="5"/>
    <n v="2335"/>
    <d v="2024-01-19T00:00:00"/>
    <s v="Спар"/>
    <n v="295"/>
    <x v="8"/>
    <x v="8"/>
    <n v="271.18181818181819"/>
    <n v="0.72209185383841756"/>
    <n v="6412"/>
    <n v="-0.92716781035558327"/>
    <d v="2022-01-27T00:00:00"/>
    <n v="722"/>
    <d v="2025-08-20T00:00:00"/>
    <x v="135"/>
    <x v="2"/>
    <m/>
  </r>
  <r>
    <n v="302"/>
    <n v="483"/>
    <n v="124"/>
    <n v="4"/>
    <n v="496"/>
    <d v="2024-01-08T00:00:00"/>
    <s v="Мираторг"/>
    <n v="381"/>
    <x v="19"/>
    <x v="41"/>
    <n v="286.92307692307691"/>
    <n v="-0.56782841823056296"/>
    <n v="2814"/>
    <n v="-0.95593461265103052"/>
    <d v="2022-06-02T00:00:00"/>
    <n v="585"/>
    <d v="2025-08-20T00:00:00"/>
    <x v="77"/>
    <x v="0"/>
    <m/>
  </r>
  <r>
    <n v="303"/>
    <n v="414"/>
    <n v="406"/>
    <n v="3"/>
    <n v="1218"/>
    <d v="2023-11-16T00:00:00"/>
    <s v="Верный"/>
    <n v="287"/>
    <x v="12"/>
    <x v="18"/>
    <n v="274.16279069767444"/>
    <n v="0.48087199932140123"/>
    <n v="4059"/>
    <n v="-0.89997536338999751"/>
    <d v="2022-02-16T00:00:00"/>
    <n v="638"/>
    <d v="2025-08-20T00:00:00"/>
    <x v="41"/>
    <x v="2"/>
    <m/>
  </r>
  <r>
    <n v="304"/>
    <n v="389"/>
    <n v="76"/>
    <n v="4"/>
    <n v="304"/>
    <d v="2023-05-21T00:00:00"/>
    <s v="Лента"/>
    <n v="415"/>
    <x v="8"/>
    <x v="51"/>
    <n v="271.18181818181819"/>
    <n v="-0.71974522292993637"/>
    <n v="2433"/>
    <n v="-0.96876284422523629"/>
    <d v="2022-04-10T00:00:00"/>
    <n v="406"/>
    <d v="2025-08-20T00:00:00"/>
    <x v="59"/>
    <x v="3"/>
    <m/>
  </r>
  <r>
    <n v="305"/>
    <n v="367"/>
    <n v="79"/>
    <n v="5"/>
    <n v="395"/>
    <d v="2023-06-30T00:00:00"/>
    <s v="Ашан"/>
    <n v="292"/>
    <x v="19"/>
    <x v="40"/>
    <n v="286.92307692307691"/>
    <n v="-0.72466487935656843"/>
    <n v="3283"/>
    <n v="-0.97593664331404206"/>
    <d v="2022-02-16T00:00:00"/>
    <n v="499"/>
    <d v="2025-08-20T00:00:00"/>
    <x v="41"/>
    <x v="2"/>
    <m/>
  </r>
  <r>
    <n v="306"/>
    <n v="128"/>
    <n v="466"/>
    <n v="1"/>
    <n v="466"/>
    <d v="2023-02-27T00:00:00"/>
    <s v="Азбука Вкуса"/>
    <n v="389"/>
    <x v="10"/>
    <x v="15"/>
    <n v="271.74545454545455"/>
    <n v="0.71484009099424584"/>
    <n v="3799"/>
    <n v="-0.87733614108976044"/>
    <d v="2022-11-11T00:00:00"/>
    <n v="108"/>
    <d v="2025-08-20T00:00:00"/>
    <x v="141"/>
    <x v="2"/>
    <m/>
  </r>
  <r>
    <n v="307"/>
    <n v="368"/>
    <n v="265"/>
    <n v="5"/>
    <n v="1325"/>
    <d v="2023-09-23T00:00:00"/>
    <s v="Мосмарт"/>
    <n v="106"/>
    <x v="11"/>
    <x v="46"/>
    <n v="261.03225806451616"/>
    <n v="1.5200197726149112E-2"/>
    <n v="8943"/>
    <n v="-0.97036788549703679"/>
    <d v="2022-10-24T00:00:00"/>
    <n v="334"/>
    <d v="2025-08-20T00:00:00"/>
    <x v="12"/>
    <x v="3"/>
    <m/>
  </r>
  <r>
    <n v="308"/>
    <n v="74"/>
    <n v="397"/>
    <n v="2"/>
    <n v="794"/>
    <d v="2023-09-09T00:00:00"/>
    <s v="Метро"/>
    <n v="458"/>
    <x v="19"/>
    <x v="73"/>
    <n v="286.92307692307691"/>
    <n v="0.38364611260053638"/>
    <n v="1281"/>
    <n v="-0.69008587041373926"/>
    <d v="2022-05-13T00:00:00"/>
    <n v="484"/>
    <d v="2025-08-20T00:00:00"/>
    <x v="50"/>
    <x v="2"/>
    <m/>
  </r>
  <r>
    <n v="309"/>
    <n v="276"/>
    <n v="359"/>
    <n v="2"/>
    <n v="718"/>
    <d v="2023-08-09T00:00:00"/>
    <s v="Карусель"/>
    <n v="203"/>
    <x v="19"/>
    <x v="41"/>
    <n v="286.92307692307691"/>
    <n v="0.25120643431635403"/>
    <n v="2814"/>
    <n v="-0.87242359630419331"/>
    <d v="2022-05-04T00:00:00"/>
    <n v="462"/>
    <d v="2025-08-20T00:00:00"/>
    <x v="154"/>
    <x v="2"/>
    <m/>
  </r>
  <r>
    <n v="310"/>
    <n v="149"/>
    <n v="168"/>
    <n v="4"/>
    <n v="672"/>
    <d v="2023-01-10T00:00:00"/>
    <s v="Дикси"/>
    <n v="1"/>
    <x v="17"/>
    <x v="35"/>
    <n v="267.85483870967744"/>
    <n v="-0.37279460468477155"/>
    <n v="6757"/>
    <n v="-0.97513689507177737"/>
    <d v="2022-01-24T00:00:00"/>
    <n v="351"/>
    <d v="2025-08-20T00:00:00"/>
    <x v="73"/>
    <x v="2"/>
    <m/>
  </r>
  <r>
    <n v="311"/>
    <n v="229"/>
    <n v="156"/>
    <n v="4"/>
    <n v="624"/>
    <d v="2023-08-30T00:00:00"/>
    <s v="О'кей"/>
    <n v="204"/>
    <x v="10"/>
    <x v="12"/>
    <n v="271.74545454545455"/>
    <n v="-0.42593336009634686"/>
    <n v="3405"/>
    <n v="-0.95418502202643174"/>
    <d v="2022-11-02T00:00:00"/>
    <n v="301"/>
    <d v="2025-08-20T00:00:00"/>
    <x v="18"/>
    <x v="2"/>
    <m/>
  </r>
  <r>
    <n v="312"/>
    <n v="28"/>
    <n v="78"/>
    <n v="4"/>
    <n v="312"/>
    <d v="2023-01-29T00:00:00"/>
    <s v="О'кей"/>
    <n v="490"/>
    <x v="18"/>
    <x v="60"/>
    <n v="255.11627906976744"/>
    <n v="-0.69425706472196902"/>
    <n v="1920"/>
    <n v="-0.95937499999999998"/>
    <d v="2022-02-11T00:00:00"/>
    <n v="352"/>
    <d v="2025-08-20T00:00:00"/>
    <x v="16"/>
    <x v="2"/>
    <m/>
  </r>
  <r>
    <n v="313"/>
    <n v="260"/>
    <n v="489"/>
    <n v="3"/>
    <n v="1467"/>
    <d v="2024-01-06T00:00:00"/>
    <s v="Седьмой Континент"/>
    <n v="98"/>
    <x v="1"/>
    <x v="13"/>
    <n v="264.8679245283019"/>
    <n v="0.84620316284370989"/>
    <n v="4171"/>
    <n v="-0.88276192759530092"/>
    <d v="2022-03-17T00:00:00"/>
    <n v="660"/>
    <d v="2025-08-20T00:00:00"/>
    <x v="163"/>
    <x v="2"/>
    <m/>
  </r>
  <r>
    <n v="314"/>
    <n v="140"/>
    <n v="106"/>
    <n v="3"/>
    <n v="318"/>
    <d v="2023-01-23T00:00:00"/>
    <s v="Верный"/>
    <n v="181"/>
    <x v="13"/>
    <x v="20"/>
    <n v="258.375"/>
    <n v="-0.58974358974358976"/>
    <n v="4585"/>
    <n v="-0.97688113413304256"/>
    <d v="2022-01-07T00:00:00"/>
    <n v="381"/>
    <d v="2025-08-20T00:00:00"/>
    <x v="55"/>
    <x v="3"/>
    <m/>
  </r>
  <r>
    <n v="315"/>
    <n v="270"/>
    <n v="204"/>
    <n v="3"/>
    <n v="612"/>
    <d v="2023-03-24T00:00:00"/>
    <s v="Пятерочка"/>
    <n v="226"/>
    <x v="1"/>
    <x v="63"/>
    <n v="264.8679245283019"/>
    <n v="-0.22980481550078358"/>
    <n v="2843"/>
    <n v="-0.9282448118185016"/>
    <d v="2022-05-21T00:00:00"/>
    <n v="307"/>
    <d v="2025-08-20T00:00:00"/>
    <x v="164"/>
    <x v="2"/>
    <m/>
  </r>
  <r>
    <n v="316"/>
    <n v="67"/>
    <n v="317"/>
    <n v="4"/>
    <n v="1268"/>
    <d v="2023-10-23T00:00:00"/>
    <s v="Спар"/>
    <n v="322"/>
    <x v="9"/>
    <x v="42"/>
    <n v="263.25423728813558"/>
    <n v="0.20415915529229989"/>
    <n v="2871"/>
    <n v="-0.88958551027516541"/>
    <d v="2022-11-21T00:00:00"/>
    <n v="336"/>
    <d v="2025-08-20T00:00:00"/>
    <x v="133"/>
    <x v="3"/>
    <m/>
  </r>
  <r>
    <n v="317"/>
    <n v="448"/>
    <n v="442"/>
    <n v="1"/>
    <n v="442"/>
    <d v="2023-04-24T00:00:00"/>
    <s v="Ароматный Мир"/>
    <n v="296"/>
    <x v="9"/>
    <x v="9"/>
    <n v="263.25423728813558"/>
    <n v="0.67898532062838024"/>
    <n v="5929"/>
    <n v="-0.92545117220441897"/>
    <d v="2022-07-16T00:00:00"/>
    <n v="282"/>
    <d v="2025-08-20T00:00:00"/>
    <x v="165"/>
    <x v="0"/>
    <m/>
  </r>
  <r>
    <n v="318"/>
    <n v="331"/>
    <n v="88"/>
    <n v="3"/>
    <n v="264"/>
    <d v="2023-10-12T00:00:00"/>
    <s v="Бристоль"/>
    <n v="458"/>
    <x v="1"/>
    <x v="69"/>
    <n v="264.8679245283019"/>
    <n v="-0.66775894001994596"/>
    <n v="2737"/>
    <n v="-0.9678480087687249"/>
    <d v="2022-05-13T00:00:00"/>
    <n v="517"/>
    <d v="2025-08-20T00:00:00"/>
    <x v="50"/>
    <x v="2"/>
    <m/>
  </r>
  <r>
    <n v="319"/>
    <n v="325"/>
    <n v="99"/>
    <n v="2"/>
    <n v="198"/>
    <d v="2023-09-15T00:00:00"/>
    <s v="Перекресток"/>
    <n v="11"/>
    <x v="5"/>
    <x v="28"/>
    <n v="268.60344827586209"/>
    <n v="-0.63142692085499719"/>
    <n v="2671"/>
    <n v="-0.96293523025084238"/>
    <d v="2022-05-09T00:00:00"/>
    <n v="494"/>
    <d v="2025-08-20T00:00:00"/>
    <x v="68"/>
    <x v="4"/>
    <m/>
  </r>
  <r>
    <n v="320"/>
    <n v="346"/>
    <n v="178"/>
    <n v="5"/>
    <n v="890"/>
    <d v="2024-01-06T00:00:00"/>
    <s v="О'кей"/>
    <n v="75"/>
    <x v="8"/>
    <x v="8"/>
    <n v="271.18181818181819"/>
    <n v="-0.34361381159906135"/>
    <n v="6412"/>
    <n v="-0.97223955084217095"/>
    <d v="2022-08-23T00:00:00"/>
    <n v="501"/>
    <d v="2025-08-20T00:00:00"/>
    <x v="74"/>
    <x v="3"/>
    <m/>
  </r>
  <r>
    <n v="321"/>
    <n v="397"/>
    <n v="299"/>
    <n v="3"/>
    <n v="897"/>
    <d v="2023-05-18T00:00:00"/>
    <s v="Мосмарт"/>
    <n v="29"/>
    <x v="9"/>
    <x v="9"/>
    <n v="263.25423728813558"/>
    <n v="0.13578418748390431"/>
    <n v="5929"/>
    <n v="-0.94956991060887164"/>
    <d v="2022-05-23T00:00:00"/>
    <n v="360"/>
    <d v="2025-08-20T00:00:00"/>
    <x v="166"/>
    <x v="2"/>
    <m/>
  </r>
  <r>
    <n v="322"/>
    <n v="115"/>
    <n v="479"/>
    <n v="1"/>
    <n v="479"/>
    <d v="2023-12-23T00:00:00"/>
    <s v="Билла"/>
    <n v="297"/>
    <x v="11"/>
    <x v="26"/>
    <n v="261.03225806451616"/>
    <n v="0.83502224419179427"/>
    <n v="3935"/>
    <n v="-0.87827191867852605"/>
    <d v="2022-04-15T00:00:00"/>
    <n v="617"/>
    <d v="2025-08-20T00:00:00"/>
    <x v="167"/>
    <x v="3"/>
    <m/>
  </r>
  <r>
    <n v="323"/>
    <n v="360"/>
    <n v="463"/>
    <n v="3"/>
    <n v="1389"/>
    <d v="2023-11-28T00:00:00"/>
    <s v="Азбука Вкуса"/>
    <n v="497"/>
    <x v="1"/>
    <x v="63"/>
    <n v="264.8679245283019"/>
    <n v="0.74804103148596668"/>
    <n v="2843"/>
    <n v="-0.8371438621174816"/>
    <d v="2022-09-22T00:00:00"/>
    <n v="432"/>
    <d v="2025-08-20T00:00:00"/>
    <x v="168"/>
    <x v="0"/>
    <m/>
  </r>
  <r>
    <n v="324"/>
    <n v="230"/>
    <n v="431"/>
    <n v="3"/>
    <n v="1293"/>
    <d v="2023-12-22T00:00:00"/>
    <s v="Ашан"/>
    <n v="191"/>
    <x v="5"/>
    <x v="5"/>
    <n v="268.60344827586209"/>
    <n v="0.60459593041915394"/>
    <n v="9023"/>
    <n v="-0.9522331818685581"/>
    <d v="2022-11-01T00:00:00"/>
    <n v="416"/>
    <d v="2025-08-20T00:00:00"/>
    <x v="169"/>
    <x v="3"/>
    <m/>
  </r>
  <r>
    <n v="325"/>
    <n v="229"/>
    <n v="173"/>
    <n v="4"/>
    <n v="692"/>
    <d v="2023-04-22T00:00:00"/>
    <s v="Магнит"/>
    <n v="327"/>
    <x v="10"/>
    <x v="12"/>
    <n v="271.74545454545455"/>
    <n v="-0.36337481600428212"/>
    <n v="3405"/>
    <n v="-0.9491923641703377"/>
    <d v="2022-01-04T00:00:00"/>
    <n v="473"/>
    <d v="2025-08-20T00:00:00"/>
    <x v="127"/>
    <x v="4"/>
    <m/>
  </r>
  <r>
    <n v="326"/>
    <n v="486"/>
    <n v="213"/>
    <n v="1"/>
    <n v="213"/>
    <d v="2023-12-19T00:00:00"/>
    <s v="Ашан"/>
    <n v="58"/>
    <x v="1"/>
    <x v="1"/>
    <n v="264.8679245283019"/>
    <n v="-0.19582561618464167"/>
    <n v="4287"/>
    <n v="-0.95031490552834152"/>
    <d v="2022-03-08T00:00:00"/>
    <n v="651"/>
    <d v="2025-08-20T00:00:00"/>
    <x v="170"/>
    <x v="1"/>
    <m/>
  </r>
  <r>
    <n v="327"/>
    <n v="353"/>
    <n v="115"/>
    <n v="2"/>
    <n v="230"/>
    <d v="2023-06-10T00:00:00"/>
    <s v="Пятерочка"/>
    <n v="446"/>
    <x v="3"/>
    <x v="16"/>
    <n v="265.47674418604652"/>
    <n v="-0.56681704699750335"/>
    <n v="10237"/>
    <n v="-0.98876624010940706"/>
    <d v="2022-04-20T00:00:00"/>
    <n v="416"/>
    <d v="2025-08-20T00:00:00"/>
    <x v="134"/>
    <x v="4"/>
    <m/>
  </r>
  <r>
    <n v="328"/>
    <n v="65"/>
    <n v="455"/>
    <n v="5"/>
    <n v="2275"/>
    <d v="2024-03-19T00:00:00"/>
    <s v="Гиперглобус"/>
    <n v="117"/>
    <x v="16"/>
    <x v="23"/>
    <n v="300.31818181818181"/>
    <n v="0.51505978507643402"/>
    <n v="4226"/>
    <n v="-0.89233317557974445"/>
    <d v="2022-05-25T00:00:00"/>
    <n v="664"/>
    <d v="2025-08-20T00:00:00"/>
    <x v="143"/>
    <x v="3"/>
    <m/>
  </r>
  <r>
    <n v="329"/>
    <n v="490"/>
    <n v="176"/>
    <n v="3"/>
    <n v="528"/>
    <d v="2023-09-14T00:00:00"/>
    <s v="Ароматный Мир"/>
    <n v="32"/>
    <x v="11"/>
    <x v="46"/>
    <n v="261.03225806451616"/>
    <n v="-0.32575383094414245"/>
    <n v="8943"/>
    <n v="-0.98031980319803202"/>
    <d v="2022-12-27T00:00:00"/>
    <n v="261"/>
    <d v="2025-08-20T00:00:00"/>
    <x v="111"/>
    <x v="0"/>
    <m/>
  </r>
  <r>
    <n v="839"/>
    <n v="334"/>
    <n v="223"/>
    <n v="2"/>
    <n v="446"/>
    <d v="2023-11-04T00:00:00"/>
    <s v="Спар"/>
    <n v="216"/>
    <x v="15"/>
    <x v="65"/>
    <n v="294.95238095238096"/>
    <n v="4.7626735550532651E-2"/>
    <n v="4946"/>
    <n v="-0.95491306105944196"/>
    <d v="2022-04-04T00:00:00"/>
    <n v="579"/>
    <d v="2025-08-20T00:00:00"/>
    <x v="150"/>
    <x v="4"/>
    <m/>
  </r>
  <r>
    <n v="331"/>
    <n v="17"/>
    <n v="212"/>
    <n v="3"/>
    <n v="636"/>
    <d v="2024-03-15T00:00:00"/>
    <s v="Магнит"/>
    <n v="111"/>
    <x v="7"/>
    <x v="7"/>
    <n v="249.02380952380952"/>
    <n v="-0.14867578162348216"/>
    <n v="5248"/>
    <n v="-0.95960365853658536"/>
    <d v="2022-08-31T00:00:00"/>
    <n v="562"/>
    <d v="2025-08-20T00:00:00"/>
    <x v="80"/>
    <x v="0"/>
    <m/>
  </r>
  <r>
    <n v="332"/>
    <n v="405"/>
    <n v="389"/>
    <n v="5"/>
    <n v="1945"/>
    <d v="2023-03-24T00:00:00"/>
    <s v="Мираторг"/>
    <n v="231"/>
    <x v="16"/>
    <x v="50"/>
    <n v="300.31818181818181"/>
    <n v="0.29529287119721515"/>
    <n v="3974"/>
    <n v="-0.90211373930548566"/>
    <d v="2022-07-10T00:00:00"/>
    <n v="257"/>
    <d v="2025-08-20T00:00:00"/>
    <x v="171"/>
    <x v="2"/>
    <m/>
  </r>
  <r>
    <n v="333"/>
    <n v="23"/>
    <n v="476"/>
    <n v="3"/>
    <n v="1428"/>
    <d v="2023-06-25T00:00:00"/>
    <s v="Городской Супермаркет"/>
    <n v="283"/>
    <x v="6"/>
    <x v="25"/>
    <n v="258.5128205128205"/>
    <n v="0.8413013291013689"/>
    <n v="2164"/>
    <n v="-0.78003696857670979"/>
    <d v="2022-11-24T00:00:00"/>
    <n v="213"/>
    <d v="2025-08-20T00:00:00"/>
    <x v="93"/>
    <x v="4"/>
    <m/>
  </r>
  <r>
    <n v="334"/>
    <n v="99"/>
    <n v="51"/>
    <n v="5"/>
    <n v="255"/>
    <d v="2024-05-11T00:00:00"/>
    <s v="Перекресток"/>
    <n v="265"/>
    <x v="4"/>
    <x v="74"/>
    <n v="250.48780487804879"/>
    <n v="-0.79639727361246349"/>
    <n v="2080"/>
    <n v="-0.97548076923076921"/>
    <d v="2022-07-14T00:00:00"/>
    <n v="667"/>
    <d v="2025-08-20T00:00:00"/>
    <x v="19"/>
    <x v="0"/>
    <m/>
  </r>
  <r>
    <n v="335"/>
    <n v="196"/>
    <n v="452"/>
    <n v="2"/>
    <n v="904"/>
    <d v="2024-02-15T00:00:00"/>
    <s v="Бристоль"/>
    <n v="136"/>
    <x v="17"/>
    <x v="27"/>
    <n v="267.85483870967744"/>
    <n v="0.68748118263382896"/>
    <n v="6053"/>
    <n v="-0.92532628448703125"/>
    <d v="2022-10-26T00:00:00"/>
    <n v="477"/>
    <d v="2025-08-20T00:00:00"/>
    <x v="100"/>
    <x v="3"/>
    <m/>
  </r>
  <r>
    <n v="336"/>
    <n v="415"/>
    <n v="222"/>
    <n v="3"/>
    <n v="666"/>
    <d v="2023-08-23T00:00:00"/>
    <s v="Седьмой Континент"/>
    <n v="395"/>
    <x v="14"/>
    <x v="21"/>
    <n v="273.72549019607845"/>
    <n v="-0.18896848137535827"/>
    <n v="5885"/>
    <n v="-0.96227697536108747"/>
    <d v="2022-11-25T00:00:00"/>
    <n v="271"/>
    <d v="2025-08-20T00:00:00"/>
    <x v="117"/>
    <x v="0"/>
    <m/>
  </r>
  <r>
    <n v="337"/>
    <n v="328"/>
    <n v="100"/>
    <n v="1"/>
    <n v="100"/>
    <d v="2023-05-31T00:00:00"/>
    <s v="Карусель"/>
    <n v="391"/>
    <x v="14"/>
    <x v="56"/>
    <n v="273.72549019607845"/>
    <n v="-0.63467048710601714"/>
    <n v="2902"/>
    <n v="-0.96554100620261885"/>
    <d v="2022-04-24T00:00:00"/>
    <n v="402"/>
    <d v="2025-08-20T00:00:00"/>
    <x v="20"/>
    <x v="4"/>
    <m/>
  </r>
  <r>
    <n v="338"/>
    <n v="271"/>
    <n v="382"/>
    <n v="1"/>
    <n v="382"/>
    <d v="2023-09-13T00:00:00"/>
    <s v="Дикси"/>
    <n v="355"/>
    <x v="11"/>
    <x v="46"/>
    <n v="261.03225806451616"/>
    <n v="0.46342066238260005"/>
    <n v="8943"/>
    <n v="-0.95728502739572852"/>
    <d v="2022-03-11T00:00:00"/>
    <n v="551"/>
    <d v="2025-08-20T00:00:00"/>
    <x v="172"/>
    <x v="2"/>
    <m/>
  </r>
  <r>
    <n v="339"/>
    <n v="204"/>
    <n v="279"/>
    <n v="4"/>
    <n v="1116"/>
    <d v="2023-10-28T00:00:00"/>
    <s v="Спар"/>
    <n v="277"/>
    <x v="2"/>
    <x v="2"/>
    <n v="283.468085106383"/>
    <n v="-1.5762215717180839E-2"/>
    <n v="2092"/>
    <n v="-0.86663479923518161"/>
    <d v="2022-07-08T00:00:00"/>
    <n v="477"/>
    <d v="2025-08-20T00:00:00"/>
    <x v="1"/>
    <x v="2"/>
    <m/>
  </r>
  <r>
    <n v="340"/>
    <n v="60"/>
    <n v="500"/>
    <n v="2"/>
    <n v="1000"/>
    <d v="2023-07-18T00:00:00"/>
    <s v="Азбука Вкуса"/>
    <n v="145"/>
    <x v="7"/>
    <x v="7"/>
    <n v="249.02380952380952"/>
    <n v="1.0078401376804664"/>
    <n v="5248"/>
    <n v="-0.90472560975609762"/>
    <d v="2022-04-02T00:00:00"/>
    <n v="472"/>
    <d v="2025-08-20T00:00:00"/>
    <x v="23"/>
    <x v="3"/>
    <m/>
  </r>
  <r>
    <n v="341"/>
    <n v="76"/>
    <n v="92"/>
    <n v="2"/>
    <n v="184"/>
    <d v="2023-11-02T00:00:00"/>
    <s v="Бристоль"/>
    <n v="104"/>
    <x v="2"/>
    <x v="2"/>
    <n v="283.468085106383"/>
    <n v="-0.67544847256623886"/>
    <n v="2092"/>
    <n v="-0.95602294455066916"/>
    <d v="2022-07-30T00:00:00"/>
    <n v="460"/>
    <d v="2025-08-20T00:00:00"/>
    <x v="173"/>
    <x v="0"/>
    <m/>
  </r>
  <r>
    <n v="342"/>
    <n v="201"/>
    <n v="179"/>
    <n v="5"/>
    <n v="895"/>
    <d v="2023-06-14T00:00:00"/>
    <s v="Мираторг"/>
    <n v="109"/>
    <x v="2"/>
    <x v="36"/>
    <n v="283.468085106383"/>
    <n v="-0.36853561510170385"/>
    <n v="3493"/>
    <n v="-0.94875465216146582"/>
    <d v="2022-06-20T00:00:00"/>
    <n v="359"/>
    <d v="2025-08-20T00:00:00"/>
    <x v="174"/>
    <x v="3"/>
    <m/>
  </r>
  <r>
    <n v="343"/>
    <n v="462"/>
    <n v="209"/>
    <n v="4"/>
    <n v="836"/>
    <d v="2023-07-09T00:00:00"/>
    <s v="О'кей"/>
    <n v="369"/>
    <x v="13"/>
    <x v="20"/>
    <n v="258.375"/>
    <n v="-0.19109820996613447"/>
    <n v="4585"/>
    <n v="-0.95441657579062156"/>
    <d v="2022-04-27T00:00:00"/>
    <n v="438"/>
    <d v="2025-08-20T00:00:00"/>
    <x v="15"/>
    <x v="2"/>
    <m/>
  </r>
  <r>
    <n v="344"/>
    <n v="210"/>
    <n v="486"/>
    <n v="5"/>
    <n v="2430"/>
    <d v="2024-02-28T00:00:00"/>
    <s v="Верный"/>
    <n v="78"/>
    <x v="19"/>
    <x v="40"/>
    <n v="286.92307692307691"/>
    <n v="0.69383378016085806"/>
    <n v="3283"/>
    <n v="-0.85196466646360036"/>
    <d v="2022-04-07T00:00:00"/>
    <n v="692"/>
    <d v="2025-08-20T00:00:00"/>
    <x v="175"/>
    <x v="3"/>
    <m/>
  </r>
  <r>
    <n v="345"/>
    <n v="404"/>
    <n v="123"/>
    <n v="1"/>
    <n v="123"/>
    <d v="2024-02-24T00:00:00"/>
    <s v="Билла"/>
    <n v="298"/>
    <x v="9"/>
    <x v="9"/>
    <n v="263.25423728813558"/>
    <n v="-0.53277105330929686"/>
    <n v="5929"/>
    <n v="-0.97925451172204414"/>
    <d v="2022-09-17T00:00:00"/>
    <n v="525"/>
    <d v="2025-08-20T00:00:00"/>
    <x v="86"/>
    <x v="3"/>
    <m/>
  </r>
  <r>
    <n v="346"/>
    <n v="178"/>
    <n v="179"/>
    <n v="1"/>
    <n v="179"/>
    <d v="2023-01-12T00:00:00"/>
    <s v="Пятерочка"/>
    <n v="130"/>
    <x v="9"/>
    <x v="9"/>
    <n v="263.25423728813558"/>
    <n v="-0.3200489312387329"/>
    <n v="5929"/>
    <n v="-0.96980941136785292"/>
    <d v="2022-10-29T00:00:00"/>
    <n v="75"/>
    <d v="2025-08-20T00:00:00"/>
    <x v="69"/>
    <x v="4"/>
    <m/>
  </r>
  <r>
    <n v="347"/>
    <n v="423"/>
    <n v="218"/>
    <n v="3"/>
    <n v="654"/>
    <d v="2023-04-20T00:00:00"/>
    <s v="Перекресток"/>
    <n v="66"/>
    <x v="14"/>
    <x v="21"/>
    <n v="273.72549019607845"/>
    <n v="-0.20358166189111759"/>
    <n v="5885"/>
    <n v="-0.9629566694987256"/>
    <d v="2022-08-04T00:00:00"/>
    <n v="259"/>
    <d v="2025-08-20T00:00:00"/>
    <x v="161"/>
    <x v="2"/>
    <m/>
  </r>
  <r>
    <n v="348"/>
    <n v="70"/>
    <n v="51"/>
    <n v="1"/>
    <n v="51"/>
    <d v="2024-01-23T00:00:00"/>
    <s v="Дикси"/>
    <n v="261"/>
    <x v="13"/>
    <x v="34"/>
    <n v="258.375"/>
    <n v="-0.8026124818577649"/>
    <n v="1271"/>
    <n v="-0.95987411487018093"/>
    <d v="2022-10-14T00:00:00"/>
    <n v="466"/>
    <d v="2025-08-20T00:00:00"/>
    <x v="176"/>
    <x v="2"/>
    <m/>
  </r>
  <r>
    <n v="349"/>
    <n v="335"/>
    <n v="392"/>
    <n v="5"/>
    <n v="1960"/>
    <d v="2023-10-18T00:00:00"/>
    <s v="Перекресток"/>
    <n v="307"/>
    <x v="16"/>
    <x v="50"/>
    <n v="300.31818181818181"/>
    <n v="0.30528227637354322"/>
    <n v="3974"/>
    <n v="-0.90135883241066939"/>
    <d v="2022-07-22T00:00:00"/>
    <n v="453"/>
    <d v="2025-08-20T00:00:00"/>
    <x v="177"/>
    <x v="1"/>
    <m/>
  </r>
  <r>
    <n v="350"/>
    <n v="427"/>
    <n v="273"/>
    <n v="5"/>
    <n v="1365"/>
    <d v="2024-04-16T00:00:00"/>
    <s v="О'кей"/>
    <n v="190"/>
    <x v="16"/>
    <x v="55"/>
    <n v="300.31818181818181"/>
    <n v="-9.0964128954139523E-2"/>
    <n v="3166"/>
    <n v="-0.91377132027795327"/>
    <d v="2022-05-08T00:00:00"/>
    <n v="709"/>
    <d v="2025-08-20T00:00:00"/>
    <x v="24"/>
    <x v="1"/>
    <m/>
  </r>
  <r>
    <n v="351"/>
    <n v="137"/>
    <n v="154"/>
    <n v="1"/>
    <n v="154"/>
    <d v="2023-09-24T00:00:00"/>
    <s v="Магнит"/>
    <n v="144"/>
    <x v="12"/>
    <x v="18"/>
    <n v="274.16279069767444"/>
    <n v="-0.43828993129188232"/>
    <n v="4059"/>
    <n v="-0.96205962059620598"/>
    <d v="2022-05-24T00:00:00"/>
    <n v="488"/>
    <d v="2025-08-20T00:00:00"/>
    <x v="178"/>
    <x v="3"/>
    <m/>
  </r>
  <r>
    <n v="352"/>
    <n v="303"/>
    <n v="68"/>
    <n v="4"/>
    <n v="272"/>
    <d v="2023-01-21T00:00:00"/>
    <s v="Магнит"/>
    <n v="76"/>
    <x v="12"/>
    <x v="64"/>
    <n v="274.16279069767444"/>
    <n v="-0.75197217745355838"/>
    <n v="3358"/>
    <n v="-0.97974985110184631"/>
    <d v="2022-01-14T00:00:00"/>
    <n v="372"/>
    <d v="2025-08-20T00:00:00"/>
    <x v="179"/>
    <x v="1"/>
    <m/>
  </r>
  <r>
    <n v="353"/>
    <n v="23"/>
    <n v="380"/>
    <n v="1"/>
    <n v="380"/>
    <d v="2023-09-30T00:00:00"/>
    <s v="Перекресток"/>
    <n v="84"/>
    <x v="6"/>
    <x v="25"/>
    <n v="258.5128205128205"/>
    <n v="0.46994643919857171"/>
    <n v="2164"/>
    <n v="-0.8243992606284658"/>
    <d v="2022-09-01T00:00:00"/>
    <n v="394"/>
    <d v="2025-08-20T00:00:00"/>
    <x v="180"/>
    <x v="4"/>
    <m/>
  </r>
  <r>
    <n v="354"/>
    <n v="398"/>
    <n v="417"/>
    <n v="4"/>
    <n v="1668"/>
    <d v="2023-08-29T00:00:00"/>
    <s v="Ароматный Мир"/>
    <n v="81"/>
    <x v="5"/>
    <x v="5"/>
    <n v="268.60344827586209"/>
    <n v="0.55247448488349682"/>
    <n v="9023"/>
    <n v="-0.95378477224869773"/>
    <d v="2022-09-21T00:00:00"/>
    <n v="342"/>
    <d v="2025-08-20T00:00:00"/>
    <x v="181"/>
    <x v="2"/>
    <m/>
  </r>
  <r>
    <n v="355"/>
    <n v="8"/>
    <n v="404"/>
    <n v="1"/>
    <n v="404"/>
    <d v="2023-05-31T00:00:00"/>
    <s v="О'кей"/>
    <n v="157"/>
    <x v="3"/>
    <x v="16"/>
    <n v="265.47674418604652"/>
    <n v="0.52179054793920554"/>
    <n v="10237"/>
    <n v="-0.96053531308000395"/>
    <d v="2022-08-10T00:00:00"/>
    <n v="294"/>
    <d v="2025-08-20T00:00:00"/>
    <x v="61"/>
    <x v="2"/>
    <m/>
  </r>
  <r>
    <n v="356"/>
    <n v="485"/>
    <n v="193"/>
    <n v="1"/>
    <n v="193"/>
    <d v="2023-06-28T00:00:00"/>
    <s v="Билла"/>
    <n v="57"/>
    <x v="3"/>
    <x v="3"/>
    <n v="265.47674418604652"/>
    <n v="-0.27300600061320135"/>
    <n v="6852"/>
    <n v="-0.97183304144775251"/>
    <d v="2022-04-18T00:00:00"/>
    <n v="436"/>
    <d v="2025-08-20T00:00:00"/>
    <x v="182"/>
    <x v="2"/>
    <m/>
  </r>
  <r>
    <n v="357"/>
    <n v="60"/>
    <n v="320"/>
    <n v="4"/>
    <n v="1280"/>
    <d v="2024-01-01T00:00:00"/>
    <s v="Лента"/>
    <n v="273"/>
    <x v="7"/>
    <x v="7"/>
    <n v="249.02380952380952"/>
    <n v="0.28501768811549866"/>
    <n v="5248"/>
    <n v="-0.93902439024390238"/>
    <d v="2022-02-07T00:00:00"/>
    <n v="693"/>
    <d v="2025-08-20T00:00:00"/>
    <x v="87"/>
    <x v="0"/>
    <m/>
  </r>
  <r>
    <n v="358"/>
    <n v="290"/>
    <n v="470"/>
    <n v="5"/>
    <n v="2350"/>
    <d v="2023-04-23T00:00:00"/>
    <s v="Билла"/>
    <n v="479"/>
    <x v="0"/>
    <x v="0"/>
    <n v="254.58333333333334"/>
    <n v="0.84615384615384603"/>
    <n v="5172"/>
    <n v="-0.90912606341840685"/>
    <d v="2022-08-20T00:00:00"/>
    <n v="246"/>
    <d v="2025-08-20T00:00:00"/>
    <x v="126"/>
    <x v="2"/>
    <m/>
  </r>
  <r>
    <n v="359"/>
    <n v="386"/>
    <n v="424"/>
    <n v="3"/>
    <n v="1272"/>
    <d v="2023-08-28T00:00:00"/>
    <s v="Азбука Вкуса"/>
    <n v="406"/>
    <x v="18"/>
    <x v="67"/>
    <n v="255.11627906976744"/>
    <n v="0.6619872379216043"/>
    <n v="3023"/>
    <n v="-0.8597419781673834"/>
    <d v="2022-11-30T00:00:00"/>
    <n v="271"/>
    <d v="2025-08-20T00:00:00"/>
    <x v="183"/>
    <x v="3"/>
    <m/>
  </r>
  <r>
    <n v="360"/>
    <n v="348"/>
    <n v="147"/>
    <n v="4"/>
    <n v="588"/>
    <d v="2023-03-21T00:00:00"/>
    <s v="О'кей"/>
    <n v="157"/>
    <x v="14"/>
    <x v="62"/>
    <n v="273.72549019607845"/>
    <n v="-0.4629656160458453"/>
    <n v="2929"/>
    <n v="-0.9498122226015705"/>
    <d v="2022-08-10T00:00:00"/>
    <n v="223"/>
    <d v="2025-08-20T00:00:00"/>
    <x v="61"/>
    <x v="2"/>
    <m/>
  </r>
  <r>
    <n v="361"/>
    <n v="350"/>
    <n v="319"/>
    <n v="3"/>
    <n v="957"/>
    <d v="2024-04-03T00:00:00"/>
    <s v="Бристоль"/>
    <n v="56"/>
    <x v="12"/>
    <x v="49"/>
    <n v="274.16279069767444"/>
    <n v="0.16354228518110103"/>
    <n v="2526"/>
    <n v="-0.87371338083927164"/>
    <d v="2022-04-11T00:00:00"/>
    <n v="723"/>
    <d v="2025-08-20T00:00:00"/>
    <x v="184"/>
    <x v="4"/>
    <m/>
  </r>
  <r>
    <n v="362"/>
    <n v="126"/>
    <n v="479"/>
    <n v="2"/>
    <n v="958"/>
    <d v="2023-04-29T00:00:00"/>
    <s v="Магнит"/>
    <n v="10"/>
    <x v="0"/>
    <x v="44"/>
    <n v="254.58333333333334"/>
    <n v="0.8815057283142389"/>
    <n v="4988"/>
    <n v="-0.90396952686447474"/>
    <d v="2022-11-16T00:00:00"/>
    <n v="164"/>
    <d v="2025-08-20T00:00:00"/>
    <x v="40"/>
    <x v="3"/>
    <m/>
  </r>
  <r>
    <n v="363"/>
    <n v="258"/>
    <n v="181"/>
    <n v="5"/>
    <n v="905"/>
    <d v="2023-05-08T00:00:00"/>
    <s v="Азбука Вкуса"/>
    <n v="174"/>
    <x v="6"/>
    <x v="25"/>
    <n v="258.5128205128205"/>
    <n v="-0.29984130132910136"/>
    <n v="2164"/>
    <n v="-0.91635859519408502"/>
    <d v="2022-08-06T00:00:00"/>
    <n v="275"/>
    <d v="2025-08-20T00:00:00"/>
    <x v="185"/>
    <x v="4"/>
    <m/>
  </r>
  <r>
    <n v="364"/>
    <n v="325"/>
    <n v="361"/>
    <n v="5"/>
    <n v="1805"/>
    <d v="2023-11-13T00:00:00"/>
    <s v="Верный"/>
    <n v="110"/>
    <x v="5"/>
    <x v="28"/>
    <n v="268.60344827586209"/>
    <n v="0.34398870274086901"/>
    <n v="2671"/>
    <n v="-0.86484462748034441"/>
    <d v="2022-01-19T00:00:00"/>
    <n v="663"/>
    <d v="2025-08-20T00:00:00"/>
    <x v="149"/>
    <x v="0"/>
    <m/>
  </r>
  <r>
    <n v="365"/>
    <n v="320"/>
    <n v="254"/>
    <n v="1"/>
    <n v="254"/>
    <d v="2024-01-25T00:00:00"/>
    <s v="Метро"/>
    <n v="72"/>
    <x v="17"/>
    <x v="35"/>
    <n v="267.85483870967744"/>
    <n v="-5.172517613054739E-2"/>
    <n v="6757"/>
    <n v="-0.96240935326328247"/>
    <d v="2022-12-11T00:00:00"/>
    <n v="410"/>
    <d v="2025-08-20T00:00:00"/>
    <x v="186"/>
    <x v="4"/>
    <m/>
  </r>
  <r>
    <n v="366"/>
    <n v="329"/>
    <n v="187"/>
    <n v="4"/>
    <n v="748"/>
    <d v="2023-12-14T00:00:00"/>
    <s v="Билла"/>
    <n v="307"/>
    <x v="1"/>
    <x v="63"/>
    <n v="264.8679245283019"/>
    <n v="-0.29398774754238499"/>
    <n v="2843"/>
    <n v="-0.9342244108336264"/>
    <d v="2022-07-22T00:00:00"/>
    <n v="510"/>
    <d v="2025-08-20T00:00:00"/>
    <x v="177"/>
    <x v="1"/>
    <m/>
  </r>
  <r>
    <n v="367"/>
    <n v="226"/>
    <n v="155"/>
    <n v="4"/>
    <n v="620"/>
    <d v="2023-02-10T00:00:00"/>
    <s v="Пятерочка"/>
    <n v="202"/>
    <x v="11"/>
    <x v="17"/>
    <n v="261.03225806451616"/>
    <n v="-0.40620365793376179"/>
    <n v="2802"/>
    <n v="-0.94468236973590292"/>
    <d v="2022-07-24T00:00:00"/>
    <n v="201"/>
    <d v="2025-08-20T00:00:00"/>
    <x v="45"/>
    <x v="1"/>
    <m/>
  </r>
  <r>
    <n v="368"/>
    <n v="270"/>
    <n v="78"/>
    <n v="4"/>
    <n v="312"/>
    <d v="2023-01-06T00:00:00"/>
    <s v="Магнит"/>
    <n v="157"/>
    <x v="1"/>
    <x v="63"/>
    <n v="264.8679245283019"/>
    <n v="-0.70551360592677015"/>
    <n v="2843"/>
    <n v="-0.97256419275413297"/>
    <d v="2022-08-10T00:00:00"/>
    <n v="149"/>
    <d v="2025-08-20T00:00:00"/>
    <x v="61"/>
    <x v="2"/>
    <m/>
  </r>
  <r>
    <n v="369"/>
    <n v="233"/>
    <n v="478"/>
    <n v="2"/>
    <n v="956"/>
    <d v="2023-07-22T00:00:00"/>
    <s v="О'кей"/>
    <n v="270"/>
    <x v="9"/>
    <x v="9"/>
    <n v="263.25423728813558"/>
    <n v="0.8157352562451714"/>
    <n v="5929"/>
    <n v="-0.91937932197672456"/>
    <d v="2022-09-23T00:00:00"/>
    <n v="302"/>
    <d v="2025-08-20T00:00:00"/>
    <x v="42"/>
    <x v="4"/>
    <m/>
  </r>
  <r>
    <n v="370"/>
    <n v="178"/>
    <n v="176"/>
    <n v="5"/>
    <n v="880"/>
    <d v="2023-09-14T00:00:00"/>
    <s v="Гиперглобус"/>
    <n v="65"/>
    <x v="9"/>
    <x v="9"/>
    <n v="263.25423728813558"/>
    <n v="-0.33144475920679883"/>
    <n v="5929"/>
    <n v="-0.9703153988868275"/>
    <d v="2022-03-03T00:00:00"/>
    <n v="560"/>
    <d v="2025-08-20T00:00:00"/>
    <x v="124"/>
    <x v="3"/>
    <m/>
  </r>
  <r>
    <n v="371"/>
    <n v="293"/>
    <n v="179"/>
    <n v="4"/>
    <n v="716"/>
    <d v="2023-11-28T00:00:00"/>
    <s v="Верный"/>
    <n v="38"/>
    <x v="17"/>
    <x v="35"/>
    <n v="267.85483870967744"/>
    <n v="-0.33172758475341724"/>
    <n v="6757"/>
    <n v="-0.97350895367766765"/>
    <d v="2022-09-15T00:00:00"/>
    <n v="439"/>
    <d v="2025-08-20T00:00:00"/>
    <x v="187"/>
    <x v="4"/>
    <m/>
  </r>
  <r>
    <n v="372"/>
    <n v="286"/>
    <n v="122"/>
    <n v="5"/>
    <n v="610"/>
    <d v="2023-08-09T00:00:00"/>
    <s v="Карусель"/>
    <n v="356"/>
    <x v="9"/>
    <x v="9"/>
    <n v="263.25423728813558"/>
    <n v="-0.53656966263198558"/>
    <n v="5929"/>
    <n v="-0.979423174228369"/>
    <d v="2022-01-09T00:00:00"/>
    <n v="577"/>
    <d v="2025-08-20T00:00:00"/>
    <x v="82"/>
    <x v="4"/>
    <m/>
  </r>
  <r>
    <n v="373"/>
    <n v="11"/>
    <n v="199"/>
    <n v="4"/>
    <n v="796"/>
    <d v="2024-03-23T00:00:00"/>
    <s v="Гиперглобус"/>
    <n v="296"/>
    <x v="16"/>
    <x v="55"/>
    <n v="300.31818181818181"/>
    <n v="-0.33736945663690021"/>
    <n v="3166"/>
    <n v="-0.9371446620341124"/>
    <d v="2022-07-16T00:00:00"/>
    <n v="616"/>
    <d v="2025-08-20T00:00:00"/>
    <x v="165"/>
    <x v="0"/>
    <m/>
  </r>
  <r>
    <n v="374"/>
    <n v="441"/>
    <n v="173"/>
    <n v="3"/>
    <n v="519"/>
    <d v="2024-02-27T00:00:00"/>
    <s v="Мираторг"/>
    <n v="62"/>
    <x v="8"/>
    <x v="14"/>
    <n v="271.18181818181819"/>
    <n v="-0.36205162587998663"/>
    <n v="4943"/>
    <n v="-0.96500101153145867"/>
    <d v="2022-04-20T00:00:00"/>
    <n v="678"/>
    <d v="2025-08-20T00:00:00"/>
    <x v="134"/>
    <x v="2"/>
    <m/>
  </r>
  <r>
    <n v="375"/>
    <n v="19"/>
    <n v="142"/>
    <n v="3"/>
    <n v="426"/>
    <d v="2023-08-19T00:00:00"/>
    <s v="Городской Супермаркет"/>
    <n v="18"/>
    <x v="10"/>
    <x v="37"/>
    <n v="271.74545454545455"/>
    <n v="-0.47745216111334132"/>
    <n v="4630"/>
    <n v="-0.96933045356371494"/>
    <d v="2022-01-17T00:00:00"/>
    <n v="579"/>
    <d v="2025-08-20T00:00:00"/>
    <x v="28"/>
    <x v="3"/>
    <m/>
  </r>
  <r>
    <n v="376"/>
    <n v="340"/>
    <n v="157"/>
    <n v="2"/>
    <n v="314"/>
    <d v="2023-05-29T00:00:00"/>
    <s v="Лента"/>
    <n v="376"/>
    <x v="11"/>
    <x v="17"/>
    <n v="261.03225806451616"/>
    <n v="-0.3985417696490362"/>
    <n v="2802"/>
    <n v="-0.94396859386152743"/>
    <d v="2022-06-18T00:00:00"/>
    <n v="345"/>
    <d v="2025-08-20T00:00:00"/>
    <x v="114"/>
    <x v="1"/>
    <m/>
  </r>
  <r>
    <n v="377"/>
    <n v="142"/>
    <n v="160"/>
    <n v="4"/>
    <n v="640"/>
    <d v="2024-05-02T00:00:00"/>
    <s v="Городской Супермаркет"/>
    <n v="459"/>
    <x v="12"/>
    <x v="64"/>
    <n v="274.16279069767444"/>
    <n v="-0.41640512342013747"/>
    <n v="3358"/>
    <n v="-0.95235259082787371"/>
    <d v="2022-07-01T00:00:00"/>
    <n v="671"/>
    <d v="2025-08-20T00:00:00"/>
    <x v="84"/>
    <x v="2"/>
    <m/>
  </r>
  <r>
    <n v="378"/>
    <n v="452"/>
    <n v="325"/>
    <n v="2"/>
    <n v="650"/>
    <d v="2023-08-22T00:00:00"/>
    <s v="Мосмарт"/>
    <n v="88"/>
    <x v="12"/>
    <x v="18"/>
    <n v="274.16279069767444"/>
    <n v="0.18542709305284588"/>
    <n v="4059"/>
    <n v="-0.91993101749199313"/>
    <d v="2022-03-10T00:00:00"/>
    <n v="530"/>
    <d v="2025-08-20T00:00:00"/>
    <x v="91"/>
    <x v="3"/>
    <m/>
  </r>
  <r>
    <n v="379"/>
    <n v="340"/>
    <n v="457"/>
    <n v="1"/>
    <n v="457"/>
    <d v="2023-01-19T00:00:00"/>
    <s v="Карусель"/>
    <n v="325"/>
    <x v="11"/>
    <x v="17"/>
    <n v="261.03225806451616"/>
    <n v="0.75074147305981187"/>
    <n v="2802"/>
    <n v="-0.83690221270521059"/>
    <d v="2022-11-10T00:00:00"/>
    <n v="70"/>
    <d v="2025-08-20T00:00:00"/>
    <x v="108"/>
    <x v="4"/>
    <m/>
  </r>
  <r>
    <n v="380"/>
    <n v="466"/>
    <n v="425"/>
    <n v="5"/>
    <n v="2125"/>
    <d v="2023-07-25T00:00:00"/>
    <s v="Пятерочка"/>
    <n v="129"/>
    <x v="12"/>
    <x v="75"/>
    <n v="274.16279069767444"/>
    <n v="0.55017389091525981"/>
    <n v="1846"/>
    <n v="-0.76977248104008666"/>
    <d v="2022-11-03T00:00:00"/>
    <n v="264"/>
    <d v="2025-08-20T00:00:00"/>
    <x v="188"/>
    <x v="1"/>
    <m/>
  </r>
  <r>
    <n v="381"/>
    <n v="71"/>
    <n v="125"/>
    <n v="4"/>
    <n v="500"/>
    <d v="2023-09-13T00:00:00"/>
    <s v="Гиперглобус"/>
    <n v="19"/>
    <x v="2"/>
    <x v="36"/>
    <n v="283.468085106383"/>
    <n v="-0.55903325076934629"/>
    <n v="3493"/>
    <n v="-0.96421414257085603"/>
    <d v="2022-12-07T00:00:00"/>
    <n v="280"/>
    <d v="2025-08-20T00:00:00"/>
    <x v="189"/>
    <x v="2"/>
    <m/>
  </r>
  <r>
    <n v="382"/>
    <n v="451"/>
    <n v="227"/>
    <n v="3"/>
    <n v="681"/>
    <d v="2023-06-21T00:00:00"/>
    <s v="Лента"/>
    <n v="304"/>
    <x v="13"/>
    <x v="20"/>
    <n v="258.375"/>
    <n v="-0.12143202709240442"/>
    <n v="4585"/>
    <n v="-0.95049073064340239"/>
    <d v="2022-11-21T00:00:00"/>
    <n v="212"/>
    <d v="2025-08-20T00:00:00"/>
    <x v="133"/>
    <x v="2"/>
    <m/>
  </r>
  <r>
    <n v="383"/>
    <n v="116"/>
    <n v="426"/>
    <n v="5"/>
    <n v="2130"/>
    <d v="2023-03-08T00:00:00"/>
    <s v="Седьмой Континент"/>
    <n v="285"/>
    <x v="1"/>
    <x v="13"/>
    <n v="264.8679245283019"/>
    <n v="0.60834876763071666"/>
    <n v="4171"/>
    <n v="-0.89786621913210263"/>
    <d v="2022-12-27T00:00:00"/>
    <n v="71"/>
    <d v="2025-08-20T00:00:00"/>
    <x v="111"/>
    <x v="4"/>
    <m/>
  </r>
  <r>
    <n v="929"/>
    <n v="498"/>
    <n v="244"/>
    <n v="2"/>
    <n v="488"/>
    <d v="2023-11-08T00:00:00"/>
    <s v="Верный"/>
    <n v="49"/>
    <x v="15"/>
    <x v="65"/>
    <n v="294.95238095238096"/>
    <n v="0.21375524701323867"/>
    <n v="4946"/>
    <n v="-0.95066720582288722"/>
    <d v="2022-04-21T00:00:00"/>
    <n v="566"/>
    <d v="2025-08-20T00:00:00"/>
    <x v="112"/>
    <x v="4"/>
    <m/>
  </r>
  <r>
    <n v="385"/>
    <n v="409"/>
    <n v="386"/>
    <n v="1"/>
    <n v="386"/>
    <d v="2023-09-23T00:00:00"/>
    <s v="Карусель"/>
    <n v="461"/>
    <x v="12"/>
    <x v="64"/>
    <n v="274.16279069767444"/>
    <n v="0.4079226397489184"/>
    <n v="3358"/>
    <n v="-0.88505062537224544"/>
    <d v="2022-04-16T00:00:00"/>
    <n v="525"/>
    <d v="2025-08-20T00:00:00"/>
    <x v="190"/>
    <x v="0"/>
    <m/>
  </r>
  <r>
    <n v="386"/>
    <n v="129"/>
    <n v="235"/>
    <n v="2"/>
    <n v="470"/>
    <d v="2023-10-08T00:00:00"/>
    <s v="Городской Супермаркет"/>
    <n v="149"/>
    <x v="10"/>
    <x v="10"/>
    <n v="271.74545454545455"/>
    <n v="-0.13522012578616349"/>
    <n v="3112"/>
    <n v="-0.9244858611825193"/>
    <d v="2022-11-17T00:00:00"/>
    <n v="325"/>
    <d v="2025-08-20T00:00:00"/>
    <x v="57"/>
    <x v="4"/>
    <m/>
  </r>
  <r>
    <n v="387"/>
    <n v="283"/>
    <n v="107"/>
    <n v="3"/>
    <n v="321"/>
    <d v="2024-05-01T00:00:00"/>
    <s v="Лента"/>
    <n v="222"/>
    <x v="17"/>
    <x v="27"/>
    <n v="267.85483870967744"/>
    <n v="-0.60052989703137238"/>
    <n v="6053"/>
    <n v="-0.98232281513299191"/>
    <d v="2022-05-13T00:00:00"/>
    <n v="719"/>
    <d v="2025-08-20T00:00:00"/>
    <x v="50"/>
    <x v="3"/>
    <m/>
  </r>
  <r>
    <n v="388"/>
    <n v="36"/>
    <n v="83"/>
    <n v="4"/>
    <n v="332"/>
    <d v="2023-12-05T00:00:00"/>
    <s v="Карусель"/>
    <n v="333"/>
    <x v="3"/>
    <x v="29"/>
    <n v="265.47674418604652"/>
    <n v="-0.6873549121808068"/>
    <n v="2120"/>
    <n v="-0.96084905660377362"/>
    <d v="2022-10-23T00:00:00"/>
    <n v="408"/>
    <d v="2025-08-20T00:00:00"/>
    <x v="31"/>
    <x v="2"/>
    <m/>
  </r>
  <r>
    <n v="389"/>
    <n v="290"/>
    <n v="50"/>
    <n v="5"/>
    <n v="250"/>
    <d v="2023-05-06T00:00:00"/>
    <s v="Гиперглобус"/>
    <n v="495"/>
    <x v="0"/>
    <x v="0"/>
    <n v="254.58333333333334"/>
    <n v="-0.80360065466448449"/>
    <n v="5172"/>
    <n v="-0.99033255993812841"/>
    <d v="2022-04-03T00:00:00"/>
    <n v="398"/>
    <d v="2025-08-20T00:00:00"/>
    <x v="10"/>
    <x v="0"/>
    <m/>
  </r>
  <r>
    <n v="390"/>
    <n v="229"/>
    <n v="269"/>
    <n v="5"/>
    <n v="1345"/>
    <d v="2023-03-26T00:00:00"/>
    <s v="Мираторг"/>
    <n v="278"/>
    <x v="10"/>
    <x v="12"/>
    <n v="271.74545454545455"/>
    <n v="-1.0103037602034015E-2"/>
    <n v="3405"/>
    <n v="-0.9209985315712188"/>
    <d v="2022-12-25T00:00:00"/>
    <n v="91"/>
    <d v="2025-08-20T00:00:00"/>
    <x v="191"/>
    <x v="0"/>
    <m/>
  </r>
  <r>
    <n v="391"/>
    <n v="313"/>
    <n v="385"/>
    <n v="4"/>
    <n v="1540"/>
    <d v="2023-02-25T00:00:00"/>
    <s v="Лента"/>
    <n v="246"/>
    <x v="17"/>
    <x v="35"/>
    <n v="267.85483870967744"/>
    <n v="0.43734569759739861"/>
    <n v="6757"/>
    <n v="-0.94302205120615656"/>
    <d v="2022-09-01T00:00:00"/>
    <n v="177"/>
    <d v="2025-08-20T00:00:00"/>
    <x v="180"/>
    <x v="0"/>
    <m/>
  </r>
  <r>
    <n v="392"/>
    <n v="368"/>
    <n v="64"/>
    <n v="5"/>
    <n v="320"/>
    <d v="2024-02-18T00:00:00"/>
    <s v="Спар"/>
    <n v="480"/>
    <x v="11"/>
    <x v="46"/>
    <n v="261.03225806451616"/>
    <n v="-0.75481957488877904"/>
    <n v="8943"/>
    <n v="-0.99284356479928437"/>
    <d v="2022-01-07T00:00:00"/>
    <n v="772"/>
    <d v="2025-08-20T00:00:00"/>
    <x v="55"/>
    <x v="0"/>
    <m/>
  </r>
  <r>
    <n v="393"/>
    <n v="322"/>
    <n v="223"/>
    <n v="2"/>
    <n v="446"/>
    <d v="2023-11-24T00:00:00"/>
    <s v="Мосмарт"/>
    <n v="205"/>
    <x v="18"/>
    <x v="67"/>
    <n v="255.11627906976744"/>
    <n v="-0.1258887876025524"/>
    <n v="3023"/>
    <n v="-0.92623221964935498"/>
    <d v="2022-12-23T00:00:00"/>
    <n v="336"/>
    <d v="2025-08-20T00:00:00"/>
    <x v="192"/>
    <x v="2"/>
    <m/>
  </r>
  <r>
    <n v="673"/>
    <n v="400"/>
    <n v="345"/>
    <n v="2"/>
    <n v="690"/>
    <d v="2023-08-05T00:00:00"/>
    <s v="О'кей"/>
    <n v="18"/>
    <x v="15"/>
    <x v="58"/>
    <n v="294.95238095238096"/>
    <n v="0.60025831449790124"/>
    <n v="3548"/>
    <n v="-0.90276211950394591"/>
    <d v="2022-01-17T00:00:00"/>
    <n v="565"/>
    <d v="2025-08-20T00:00:00"/>
    <x v="28"/>
    <x v="3"/>
    <m/>
  </r>
  <r>
    <n v="395"/>
    <n v="18"/>
    <n v="459"/>
    <n v="3"/>
    <n v="1377"/>
    <d v="2024-02-20T00:00:00"/>
    <s v="Перекресток"/>
    <n v="152"/>
    <x v="6"/>
    <x v="6"/>
    <n v="258.5128205128205"/>
    <n v="0.77554056734774868"/>
    <n v="4431"/>
    <n v="-0.89641164522681116"/>
    <d v="2022-08-18T00:00:00"/>
    <n v="551"/>
    <d v="2025-08-20T00:00:00"/>
    <x v="193"/>
    <x v="1"/>
    <m/>
  </r>
  <r>
    <n v="396"/>
    <n v="145"/>
    <n v="455"/>
    <n v="3"/>
    <n v="1365"/>
    <d v="2024-03-22T00:00:00"/>
    <s v="О'кей"/>
    <n v="323"/>
    <x v="4"/>
    <x v="74"/>
    <n v="250.48780487804879"/>
    <n v="0.81645569620253156"/>
    <n v="2080"/>
    <n v="-0.78125"/>
    <d v="2022-09-17T00:00:00"/>
    <n v="552"/>
    <d v="2025-08-20T00:00:00"/>
    <x v="86"/>
    <x v="4"/>
    <m/>
  </r>
  <r>
    <n v="397"/>
    <n v="491"/>
    <n v="193"/>
    <n v="1"/>
    <n v="193"/>
    <d v="2024-02-10T00:00:00"/>
    <s v="Мираторг"/>
    <n v="185"/>
    <x v="4"/>
    <x v="4"/>
    <n v="250.48780487804879"/>
    <n v="-0.2295034079844207"/>
    <n v="796"/>
    <n v="-0.75753768844221103"/>
    <d v="2022-05-02T00:00:00"/>
    <n v="649"/>
    <d v="2025-08-20T00:00:00"/>
    <x v="52"/>
    <x v="0"/>
    <m/>
  </r>
  <r>
    <n v="398"/>
    <n v="258"/>
    <n v="113"/>
    <n v="1"/>
    <n v="113"/>
    <d v="2023-12-29T00:00:00"/>
    <s v="Магнит"/>
    <n v="314"/>
    <x v="6"/>
    <x v="25"/>
    <n v="258.5128205128205"/>
    <n v="-0.56288434834358259"/>
    <n v="2164"/>
    <n v="-0.94778188539741215"/>
    <d v="2022-12-04T00:00:00"/>
    <n v="390"/>
    <d v="2025-08-20T00:00:00"/>
    <x v="194"/>
    <x v="2"/>
    <m/>
  </r>
  <r>
    <n v="399"/>
    <n v="29"/>
    <n v="91"/>
    <n v="5"/>
    <n v="455"/>
    <d v="2024-03-24T00:00:00"/>
    <s v="Бристоль"/>
    <n v="476"/>
    <x v="1"/>
    <x v="1"/>
    <n v="264.8679245283019"/>
    <n v="-0.65643254024789854"/>
    <n v="4287"/>
    <n v="-0.97877303475623978"/>
    <d v="2022-05-22T00:00:00"/>
    <n v="672"/>
    <d v="2025-08-20T00:00:00"/>
    <x v="121"/>
    <x v="3"/>
    <m/>
  </r>
  <r>
    <n v="400"/>
    <n v="321"/>
    <n v="61"/>
    <n v="5"/>
    <n v="305"/>
    <d v="2023-06-27T00:00:00"/>
    <s v="Билла"/>
    <n v="375"/>
    <x v="10"/>
    <x v="12"/>
    <n v="271.74545454545455"/>
    <n v="-0.77552522414023817"/>
    <n v="3405"/>
    <n v="-0.98208516886930985"/>
    <d v="2022-04-23T00:00:00"/>
    <n v="430"/>
    <d v="2025-08-20T00:00:00"/>
    <x v="160"/>
    <x v="2"/>
    <m/>
  </r>
  <r>
    <n v="401"/>
    <n v="50"/>
    <n v="95"/>
    <n v="4"/>
    <n v="380"/>
    <d v="2023-05-23T00:00:00"/>
    <s v="Билла"/>
    <n v="376"/>
    <x v="5"/>
    <x v="28"/>
    <n v="268.60344827586209"/>
    <n v="-0.64631876243661335"/>
    <n v="2671"/>
    <n v="-0.96443279670535376"/>
    <d v="2022-06-18T00:00:00"/>
    <n v="339"/>
    <d v="2025-08-20T00:00:00"/>
    <x v="114"/>
    <x v="1"/>
    <m/>
  </r>
  <r>
    <n v="402"/>
    <n v="495"/>
    <n v="469"/>
    <n v="2"/>
    <n v="938"/>
    <d v="2024-03-17T00:00:00"/>
    <s v="Магнит"/>
    <n v="233"/>
    <x v="8"/>
    <x v="8"/>
    <n v="271.18181818181819"/>
    <n v="0.72946697955078776"/>
    <n v="6412"/>
    <n v="-0.92685589519650657"/>
    <d v="2022-02-24T00:00:00"/>
    <n v="752"/>
    <d v="2025-08-20T00:00:00"/>
    <x v="122"/>
    <x v="4"/>
    <m/>
  </r>
  <r>
    <n v="403"/>
    <n v="207"/>
    <n v="237"/>
    <n v="2"/>
    <n v="474"/>
    <d v="2023-06-04T00:00:00"/>
    <s v="Верный"/>
    <n v="69"/>
    <x v="0"/>
    <x v="68"/>
    <n v="254.58333333333334"/>
    <n v="-6.9067103109656358E-2"/>
    <n v="1511"/>
    <n v="-0.84315023163467906"/>
    <d v="2022-01-26T00:00:00"/>
    <n v="494"/>
    <d v="2025-08-20T00:00:00"/>
    <x v="146"/>
    <x v="4"/>
    <m/>
  </r>
  <r>
    <n v="404"/>
    <n v="145"/>
    <n v="356"/>
    <n v="3"/>
    <n v="1068"/>
    <d v="2023-01-02T00:00:00"/>
    <s v="Бристоль"/>
    <n v="254"/>
    <x v="4"/>
    <x v="74"/>
    <n v="250.48780487804879"/>
    <n v="0.42122687439143136"/>
    <n v="2080"/>
    <n v="-0.82884615384615379"/>
    <d v="2022-10-28T00:00:00"/>
    <n v="66"/>
    <d v="2025-08-20T00:00:00"/>
    <x v="195"/>
    <x v="1"/>
    <m/>
  </r>
  <r>
    <n v="405"/>
    <n v="249"/>
    <n v="275"/>
    <n v="3"/>
    <n v="825"/>
    <d v="2023-04-23T00:00:00"/>
    <s v="Ароматный Мир"/>
    <n v="219"/>
    <x v="8"/>
    <x v="14"/>
    <n v="271.18181818181819"/>
    <n v="1.4079785450888282E-2"/>
    <n v="4943"/>
    <n v="-0.94436576977544007"/>
    <d v="2022-01-24T00:00:00"/>
    <n v="454"/>
    <d v="2025-08-20T00:00:00"/>
    <x v="73"/>
    <x v="4"/>
    <m/>
  </r>
  <r>
    <n v="406"/>
    <n v="377"/>
    <n v="129"/>
    <n v="1"/>
    <n v="129"/>
    <d v="2023-11-01T00:00:00"/>
    <s v="Спар"/>
    <n v="456"/>
    <x v="19"/>
    <x v="40"/>
    <n v="286.92307692307691"/>
    <n v="-0.55040214477211791"/>
    <n v="3283"/>
    <n v="-0.96070667072799265"/>
    <d v="2022-02-26T00:00:00"/>
    <n v="613"/>
    <d v="2025-08-20T00:00:00"/>
    <x v="148"/>
    <x v="2"/>
    <m/>
  </r>
  <r>
    <n v="407"/>
    <n v="427"/>
    <n v="499"/>
    <n v="4"/>
    <n v="1996"/>
    <d v="2024-03-17T00:00:00"/>
    <s v="Ароматный Мир"/>
    <n v="283"/>
    <x v="16"/>
    <x v="55"/>
    <n v="300.31818181818181"/>
    <n v="0.66157106099591356"/>
    <n v="3166"/>
    <n v="-0.84238787113076441"/>
    <d v="2022-11-24T00:00:00"/>
    <n v="479"/>
    <d v="2025-08-20T00:00:00"/>
    <x v="93"/>
    <x v="4"/>
    <m/>
  </r>
  <r>
    <n v="408"/>
    <n v="445"/>
    <n v="164"/>
    <n v="2"/>
    <n v="328"/>
    <d v="2023-11-28T00:00:00"/>
    <s v="Мосмарт"/>
    <n v="232"/>
    <x v="0"/>
    <x v="11"/>
    <n v="254.58333333333334"/>
    <n v="-0.35581014729950899"/>
    <n v="3604"/>
    <n v="-0.9544950055493896"/>
    <d v="2022-12-28T00:00:00"/>
    <n v="335"/>
    <d v="2025-08-20T00:00:00"/>
    <x v="196"/>
    <x v="4"/>
    <m/>
  </r>
  <r>
    <n v="409"/>
    <n v="336"/>
    <n v="265"/>
    <n v="3"/>
    <n v="795"/>
    <d v="2023-07-17T00:00:00"/>
    <s v="Дикси"/>
    <n v="434"/>
    <x v="14"/>
    <x v="62"/>
    <n v="273.72549019607845"/>
    <n v="-3.1876790830945634E-2"/>
    <n v="2929"/>
    <n v="-0.90952543530215091"/>
    <d v="2022-06-18T00:00:00"/>
    <n v="394"/>
    <d v="2025-08-20T00:00:00"/>
    <x v="114"/>
    <x v="3"/>
    <m/>
  </r>
  <r>
    <n v="410"/>
    <n v="96"/>
    <n v="386"/>
    <n v="4"/>
    <n v="1544"/>
    <d v="2023-08-07T00:00:00"/>
    <s v="Гиперглобус"/>
    <n v="252"/>
    <x v="1"/>
    <x v="69"/>
    <n v="264.8679245283019"/>
    <n v="0.45733010400341922"/>
    <n v="2737"/>
    <n v="-0.85896967482645237"/>
    <d v="2022-03-23T00:00:00"/>
    <n v="502"/>
    <d v="2025-08-20T00:00:00"/>
    <x v="3"/>
    <x v="2"/>
    <m/>
  </r>
  <r>
    <n v="411"/>
    <n v="117"/>
    <n v="288"/>
    <n v="5"/>
    <n v="1440"/>
    <d v="2024-02-26T00:00:00"/>
    <s v="Метро"/>
    <n v="372"/>
    <x v="3"/>
    <x v="29"/>
    <n v="265.47674418604652"/>
    <n v="8.4840786649730715E-2"/>
    <n v="2120"/>
    <n v="-0.86415094339622645"/>
    <d v="2022-07-30T00:00:00"/>
    <n v="576"/>
    <d v="2025-08-20T00:00:00"/>
    <x v="173"/>
    <x v="4"/>
    <m/>
  </r>
  <r>
    <n v="412"/>
    <n v="440"/>
    <n v="201"/>
    <n v="5"/>
    <n v="1005"/>
    <d v="2023-11-03T00:00:00"/>
    <s v="О'кей"/>
    <n v="432"/>
    <x v="12"/>
    <x v="64"/>
    <n v="274.16279069767444"/>
    <n v="-0.26685893629654767"/>
    <n v="3358"/>
    <n v="-0.94014294222751638"/>
    <d v="2022-06-06T00:00:00"/>
    <n v="515"/>
    <d v="2025-08-20T00:00:00"/>
    <x v="197"/>
    <x v="4"/>
    <m/>
  </r>
  <r>
    <n v="413"/>
    <n v="51"/>
    <n v="271"/>
    <n v="4"/>
    <n v="1084"/>
    <d v="2023-10-06T00:00:00"/>
    <s v="Мосмарт"/>
    <n v="221"/>
    <x v="19"/>
    <x v="41"/>
    <n v="286.92307692307691"/>
    <n v="-5.5495978552278724E-2"/>
    <n v="2814"/>
    <n v="-0.90369580668088134"/>
    <d v="2022-09-16T00:00:00"/>
    <n v="385"/>
    <d v="2025-08-20T00:00:00"/>
    <x v="14"/>
    <x v="4"/>
    <m/>
  </r>
  <r>
    <n v="414"/>
    <n v="398"/>
    <n v="419"/>
    <n v="2"/>
    <n v="838"/>
    <d v="2024-02-13T00:00:00"/>
    <s v="Магнит"/>
    <n v="164"/>
    <x v="5"/>
    <x v="5"/>
    <n v="268.60344827586209"/>
    <n v="0.55992040567430501"/>
    <n v="9023"/>
    <n v="-0.95356311648010639"/>
    <d v="2022-04-27T00:00:00"/>
    <n v="657"/>
    <d v="2025-08-20T00:00:00"/>
    <x v="15"/>
    <x v="2"/>
    <m/>
  </r>
  <r>
    <n v="415"/>
    <n v="443"/>
    <n v="192"/>
    <n v="5"/>
    <n v="960"/>
    <d v="2023-11-11T00:00:00"/>
    <s v="О'кей"/>
    <n v="413"/>
    <x v="7"/>
    <x v="7"/>
    <n v="249.02380952380952"/>
    <n v="-0.22898938713070083"/>
    <n v="5248"/>
    <n v="-0.96341463414634143"/>
    <d v="2022-05-18T00:00:00"/>
    <n v="542"/>
    <d v="2025-08-20T00:00:00"/>
    <x v="9"/>
    <x v="2"/>
    <m/>
  </r>
  <r>
    <n v="416"/>
    <n v="118"/>
    <n v="193"/>
    <n v="2"/>
    <n v="386"/>
    <d v="2024-03-05T00:00:00"/>
    <s v="Верный"/>
    <n v="148"/>
    <x v="0"/>
    <x v="0"/>
    <n v="254.58333333333334"/>
    <n v="-0.24189852700490999"/>
    <n v="5172"/>
    <n v="-0.96268368136117555"/>
    <d v="2022-05-19T00:00:00"/>
    <n v="656"/>
    <d v="2025-08-20T00:00:00"/>
    <x v="198"/>
    <x v="2"/>
    <m/>
  </r>
  <r>
    <n v="417"/>
    <n v="371"/>
    <n v="245"/>
    <n v="1"/>
    <n v="245"/>
    <d v="2023-02-28T00:00:00"/>
    <s v="Азбука Вкуса"/>
    <n v="209"/>
    <x v="0"/>
    <x v="44"/>
    <n v="254.58333333333334"/>
    <n v="-3.7643207855973859E-2"/>
    <n v="4988"/>
    <n v="-0.95088211708099435"/>
    <d v="2022-03-08T00:00:00"/>
    <n v="357"/>
    <d v="2025-08-20T00:00:00"/>
    <x v="170"/>
    <x v="2"/>
    <m/>
  </r>
  <r>
    <n v="418"/>
    <n v="216"/>
    <n v="209"/>
    <n v="3"/>
    <n v="627"/>
    <d v="2024-03-06T00:00:00"/>
    <s v="Перекресток"/>
    <n v="263"/>
    <x v="7"/>
    <x v="39"/>
    <n v="249.02380952380952"/>
    <n v="-0.16072282244956493"/>
    <n v="2222"/>
    <n v="-0.90594059405940597"/>
    <d v="2022-02-20T00:00:00"/>
    <n v="745"/>
    <d v="2025-08-20T00:00:00"/>
    <x v="199"/>
    <x v="4"/>
    <m/>
  </r>
  <r>
    <n v="419"/>
    <n v="390"/>
    <n v="120"/>
    <n v="1"/>
    <n v="120"/>
    <d v="2023-09-07T00:00:00"/>
    <s v="Мираторг"/>
    <n v="449"/>
    <x v="5"/>
    <x v="32"/>
    <n v="268.60344827586209"/>
    <n v="-0.55324475255151162"/>
    <n v="2796"/>
    <n v="-0.9570815450643777"/>
    <d v="2022-03-25T00:00:00"/>
    <n v="531"/>
    <d v="2025-08-20T00:00:00"/>
    <x v="62"/>
    <x v="4"/>
    <m/>
  </r>
  <r>
    <n v="420"/>
    <n v="14"/>
    <n v="251"/>
    <n v="1"/>
    <n v="251"/>
    <d v="2023-12-12T00:00:00"/>
    <s v="Ароматный Мир"/>
    <n v="321"/>
    <x v="5"/>
    <x v="48"/>
    <n v="268.60344827586209"/>
    <n v="-6.5536940753578632E-2"/>
    <n v="1089"/>
    <n v="-0.76951331496786046"/>
    <d v="2022-07-14T00:00:00"/>
    <n v="516"/>
    <d v="2025-08-20T00:00:00"/>
    <x v="19"/>
    <x v="4"/>
    <m/>
  </r>
  <r>
    <n v="421"/>
    <n v="451"/>
    <n v="443"/>
    <n v="4"/>
    <n v="1772"/>
    <d v="2023-10-11T00:00:00"/>
    <s v="Ашан"/>
    <n v="101"/>
    <x v="13"/>
    <x v="20"/>
    <n v="258.375"/>
    <n v="0.71456216739235612"/>
    <n v="4585"/>
    <n v="-0.90338058887677208"/>
    <d v="2022-06-15T00:00:00"/>
    <n v="483"/>
    <d v="2025-08-20T00:00:00"/>
    <x v="200"/>
    <x v="2"/>
    <m/>
  </r>
  <r>
    <n v="422"/>
    <n v="312"/>
    <n v="234"/>
    <n v="1"/>
    <n v="234"/>
    <d v="2023-01-28T00:00:00"/>
    <s v="Гиперглобус"/>
    <n v="124"/>
    <x v="16"/>
    <x v="50"/>
    <n v="300.31818181818181"/>
    <n v="-0.22082639624640532"/>
    <n v="3974"/>
    <n v="-0.94111726220432812"/>
    <d v="2022-08-22T00:00:00"/>
    <n v="159"/>
    <d v="2025-08-20T00:00:00"/>
    <x v="49"/>
    <x v="2"/>
    <m/>
  </r>
  <r>
    <n v="423"/>
    <n v="217"/>
    <n v="260"/>
    <n v="5"/>
    <n v="1300"/>
    <d v="2023-04-02T00:00:00"/>
    <s v="Спар"/>
    <n v="257"/>
    <x v="10"/>
    <x v="10"/>
    <n v="271.74545454545455"/>
    <n v="-4.3222266827244726E-2"/>
    <n v="3112"/>
    <n v="-0.91645244215938304"/>
    <d v="2022-05-20T00:00:00"/>
    <n v="317"/>
    <d v="2025-08-20T00:00:00"/>
    <x v="120"/>
    <x v="2"/>
    <m/>
  </r>
  <r>
    <n v="424"/>
    <n v="10"/>
    <n v="203"/>
    <n v="4"/>
    <n v="812"/>
    <d v="2023-05-13T00:00:00"/>
    <s v="Спар"/>
    <n v="276"/>
    <x v="5"/>
    <x v="5"/>
    <n v="268.60344827586209"/>
    <n v="-0.24423903973297389"/>
    <n v="9023"/>
    <n v="-0.97750193948797515"/>
    <d v="2022-03-12T00:00:00"/>
    <n v="427"/>
    <d v="2025-08-20T00:00:00"/>
    <x v="94"/>
    <x v="4"/>
    <m/>
  </r>
  <r>
    <n v="425"/>
    <n v="60"/>
    <n v="251"/>
    <n v="2"/>
    <n v="502"/>
    <d v="2023-10-03T00:00:00"/>
    <s v="Седьмой Континент"/>
    <n v="309"/>
    <x v="7"/>
    <x v="7"/>
    <n v="249.02380952380952"/>
    <n v="7.9357491155942483E-3"/>
    <n v="5248"/>
    <n v="-0.95217225609756095"/>
    <d v="2022-05-30T00:00:00"/>
    <n v="491"/>
    <d v="2025-08-20T00:00:00"/>
    <x v="92"/>
    <x v="2"/>
    <m/>
  </r>
  <r>
    <n v="426"/>
    <n v="74"/>
    <n v="210"/>
    <n v="3"/>
    <n v="630"/>
    <d v="2024-02-13T00:00:00"/>
    <s v="Гиперглобус"/>
    <n v="319"/>
    <x v="19"/>
    <x v="73"/>
    <n v="286.92307692307691"/>
    <n v="-0.26809651474530827"/>
    <n v="1281"/>
    <n v="-0.83606557377049184"/>
    <d v="2022-04-23T00:00:00"/>
    <n v="661"/>
    <d v="2025-08-20T00:00:00"/>
    <x v="160"/>
    <x v="0"/>
    <m/>
  </r>
  <r>
    <n v="427"/>
    <n v="116"/>
    <n v="295"/>
    <n v="1"/>
    <n v="295"/>
    <d v="2024-02-14T00:00:00"/>
    <s v="Городской Супермаркет"/>
    <n v="359"/>
    <x v="1"/>
    <x v="13"/>
    <n v="264.8679245283019"/>
    <n v="0.11376264425131777"/>
    <n v="4171"/>
    <n v="-0.92927355550227764"/>
    <d v="2022-01-23T00:00:00"/>
    <n v="752"/>
    <d v="2025-08-20T00:00:00"/>
    <x v="78"/>
    <x v="2"/>
    <m/>
  </r>
  <r>
    <n v="428"/>
    <n v="401"/>
    <n v="78"/>
    <n v="3"/>
    <n v="234"/>
    <d v="2023-03-01T00:00:00"/>
    <s v="Городской Супермаркет"/>
    <n v="395"/>
    <x v="8"/>
    <x v="8"/>
    <n v="271.18181818181819"/>
    <n v="-0.71237009721756617"/>
    <n v="6412"/>
    <n v="-0.98783530879600745"/>
    <d v="2022-11-25T00:00:00"/>
    <n v="96"/>
    <d v="2025-08-20T00:00:00"/>
    <x v="117"/>
    <x v="0"/>
    <m/>
  </r>
  <r>
    <n v="429"/>
    <n v="348"/>
    <n v="162"/>
    <n v="2"/>
    <n v="324"/>
    <d v="2023-01-05T00:00:00"/>
    <s v="Метро"/>
    <n v="107"/>
    <x v="14"/>
    <x v="62"/>
    <n v="273.72549019607845"/>
    <n v="-0.40816618911174785"/>
    <n v="2929"/>
    <n v="-0.94469102082622058"/>
    <d v="2022-07-02T00:00:00"/>
    <n v="187"/>
    <d v="2025-08-20T00:00:00"/>
    <x v="147"/>
    <x v="4"/>
    <m/>
  </r>
  <r>
    <n v="430"/>
    <n v="382"/>
    <n v="278"/>
    <n v="2"/>
    <n v="556"/>
    <d v="2023-09-29T00:00:00"/>
    <s v="Седьмой Континент"/>
    <n v="103"/>
    <x v="4"/>
    <x v="24"/>
    <n v="250.48780487804879"/>
    <n v="0.10983446932814012"/>
    <n v="5165"/>
    <n v="-0.9461761858664085"/>
    <d v="2022-08-14T00:00:00"/>
    <n v="411"/>
    <d v="2025-08-20T00:00:00"/>
    <x v="132"/>
    <x v="0"/>
    <m/>
  </r>
  <r>
    <n v="431"/>
    <n v="477"/>
    <n v="420"/>
    <n v="1"/>
    <n v="420"/>
    <d v="2023-11-02T00:00:00"/>
    <s v="Верный"/>
    <n v="221"/>
    <x v="3"/>
    <x v="3"/>
    <n v="265.47674418604652"/>
    <n v="0.58205948053085721"/>
    <n v="6852"/>
    <n v="-0.93870402802101571"/>
    <d v="2022-09-16T00:00:00"/>
    <n v="412"/>
    <d v="2025-08-20T00:00:00"/>
    <x v="14"/>
    <x v="4"/>
    <m/>
  </r>
  <r>
    <n v="432"/>
    <n v="91"/>
    <n v="413"/>
    <n v="2"/>
    <n v="826"/>
    <d v="2023-09-14T00:00:00"/>
    <s v="Метро"/>
    <n v="31"/>
    <x v="11"/>
    <x v="46"/>
    <n v="261.03225806451616"/>
    <n v="0.58217993079584751"/>
    <n v="8943"/>
    <n v="-0.95381862909538184"/>
    <d v="2022-01-19T00:00:00"/>
    <n v="603"/>
    <d v="2025-08-20T00:00:00"/>
    <x v="149"/>
    <x v="3"/>
    <m/>
  </r>
  <r>
    <n v="433"/>
    <n v="52"/>
    <n v="272"/>
    <n v="3"/>
    <n v="816"/>
    <d v="2024-03-26T00:00:00"/>
    <s v="Дикси"/>
    <n v="306"/>
    <x v="1"/>
    <x v="1"/>
    <n v="264.8679245283019"/>
    <n v="2.6926912665621749E-2"/>
    <n v="4287"/>
    <n v="-0.93655236762304639"/>
    <d v="2022-11-07T00:00:00"/>
    <n v="505"/>
    <d v="2025-08-20T00:00:00"/>
    <x v="201"/>
    <x v="3"/>
    <m/>
  </r>
  <r>
    <n v="434"/>
    <n v="438"/>
    <n v="435"/>
    <n v="1"/>
    <n v="435"/>
    <d v="2023-08-04T00:00:00"/>
    <s v="Азбука Вкуса"/>
    <n v="383"/>
    <x v="7"/>
    <x v="57"/>
    <n v="249.02380952380952"/>
    <n v="0.74682091978200593"/>
    <n v="2569"/>
    <n v="-0.83067341377968085"/>
    <d v="2022-11-11T00:00:00"/>
    <n v="266"/>
    <d v="2025-08-20T00:00:00"/>
    <x v="141"/>
    <x v="3"/>
    <m/>
  </r>
  <r>
    <n v="435"/>
    <n v="384"/>
    <n v="303"/>
    <n v="2"/>
    <n v="606"/>
    <d v="2023-08-13T00:00:00"/>
    <s v="Мираторг"/>
    <n v="235"/>
    <x v="0"/>
    <x v="11"/>
    <n v="254.58333333333334"/>
    <n v="0.19018003273322415"/>
    <n v="3604"/>
    <n v="-0.91592674805771368"/>
    <d v="2022-03-15T00:00:00"/>
    <n v="516"/>
    <d v="2025-08-20T00:00:00"/>
    <x v="136"/>
    <x v="0"/>
    <m/>
  </r>
  <r>
    <n v="436"/>
    <n v="473"/>
    <n v="231"/>
    <n v="3"/>
    <n v="693"/>
    <d v="2023-05-28T00:00:00"/>
    <s v="Верный"/>
    <n v="448"/>
    <x v="16"/>
    <x v="23"/>
    <n v="300.31818181818181"/>
    <n v="-0.2308158014227335"/>
    <n v="4226"/>
    <n v="-0.94533838144817794"/>
    <d v="2022-07-28T00:00:00"/>
    <n v="304"/>
    <d v="2025-08-20T00:00:00"/>
    <x v="63"/>
    <x v="2"/>
    <m/>
  </r>
  <r>
    <n v="437"/>
    <n v="383"/>
    <n v="429"/>
    <n v="4"/>
    <n v="1716"/>
    <d v="2023-07-13T00:00:00"/>
    <s v="Билла"/>
    <n v="367"/>
    <x v="12"/>
    <x v="64"/>
    <n v="274.16279069767444"/>
    <n v="0.56476376282975638"/>
    <n v="3358"/>
    <n v="-0.8722453841572364"/>
    <d v="2022-11-02T00:00:00"/>
    <n v="253"/>
    <d v="2025-08-20T00:00:00"/>
    <x v="18"/>
    <x v="4"/>
    <m/>
  </r>
  <r>
    <n v="438"/>
    <n v="406"/>
    <n v="87"/>
    <n v="2"/>
    <n v="174"/>
    <d v="2023-05-20T00:00:00"/>
    <s v="Метро"/>
    <n v="255"/>
    <x v="5"/>
    <x v="5"/>
    <n v="268.60344827586209"/>
    <n v="-0.676102445599846"/>
    <n v="9023"/>
    <n v="-0.99035797406627513"/>
    <d v="2022-08-20T00:00:00"/>
    <n v="273"/>
    <d v="2025-08-20T00:00:00"/>
    <x v="126"/>
    <x v="3"/>
    <m/>
  </r>
  <r>
    <n v="439"/>
    <n v="252"/>
    <n v="50"/>
    <n v="1"/>
    <n v="50"/>
    <d v="2023-02-03T00:00:00"/>
    <s v="Мосмарт"/>
    <n v="138"/>
    <x v="8"/>
    <x v="14"/>
    <n v="271.18181818181819"/>
    <n v="-0.81562185719074753"/>
    <n v="4943"/>
    <n v="-0.98988468541371633"/>
    <d v="2022-06-11T00:00:00"/>
    <n v="237"/>
    <d v="2025-08-20T00:00:00"/>
    <x v="202"/>
    <x v="3"/>
    <m/>
  </r>
  <r>
    <n v="440"/>
    <n v="365"/>
    <n v="127"/>
    <n v="1"/>
    <n v="127"/>
    <d v="2024-02-29T00:00:00"/>
    <s v="Метро"/>
    <n v="158"/>
    <x v="10"/>
    <x v="10"/>
    <n v="271.74545454545455"/>
    <n v="-0.53265087648869258"/>
    <n v="3112"/>
    <n v="-0.95919023136246784"/>
    <d v="2022-07-10T00:00:00"/>
    <n v="599"/>
    <d v="2025-08-20T00:00:00"/>
    <x v="171"/>
    <x v="0"/>
    <m/>
  </r>
  <r>
    <n v="441"/>
    <n v="420"/>
    <n v="390"/>
    <n v="3"/>
    <n v="1170"/>
    <d v="2023-09-14T00:00:00"/>
    <s v="Дикси"/>
    <n v="217"/>
    <x v="16"/>
    <x v="23"/>
    <n v="300.31818181818181"/>
    <n v="0.29862267292265776"/>
    <n v="4226"/>
    <n v="-0.90771415049692383"/>
    <d v="2022-09-22T00:00:00"/>
    <n v="357"/>
    <d v="2025-08-20T00:00:00"/>
    <x v="168"/>
    <x v="2"/>
    <m/>
  </r>
  <r>
    <n v="442"/>
    <n v="97"/>
    <n v="298"/>
    <n v="2"/>
    <n v="596"/>
    <d v="2023-06-25T00:00:00"/>
    <s v="Гиперглобус"/>
    <n v="102"/>
    <x v="2"/>
    <x v="31"/>
    <n v="283.468085106383"/>
    <n v="5.1264730165878403E-2"/>
    <n v="4200"/>
    <n v="-0.92904761904761901"/>
    <d v="2022-06-11T00:00:00"/>
    <n v="379"/>
    <d v="2025-08-20T00:00:00"/>
    <x v="202"/>
    <x v="0"/>
    <m/>
  </r>
  <r>
    <n v="443"/>
    <n v="217"/>
    <n v="471"/>
    <n v="3"/>
    <n v="1413"/>
    <d v="2023-10-07T00:00:00"/>
    <s v="Мираторг"/>
    <n v="425"/>
    <x v="10"/>
    <x v="10"/>
    <n v="271.74545454545455"/>
    <n v="0.73323966278602959"/>
    <n v="3112"/>
    <n v="-0.8486503856041131"/>
    <d v="2022-08-09T00:00:00"/>
    <n v="424"/>
    <d v="2025-08-20T00:00:00"/>
    <x v="203"/>
    <x v="0"/>
    <m/>
  </r>
  <r>
    <n v="444"/>
    <n v="47"/>
    <n v="315"/>
    <n v="3"/>
    <n v="945"/>
    <d v="2024-03-11T00:00:00"/>
    <s v="О'кей"/>
    <n v="140"/>
    <x v="10"/>
    <x v="37"/>
    <n v="271.74545454545455"/>
    <n v="0.15917302288237645"/>
    <n v="4630"/>
    <n v="-0.93196544276457882"/>
    <d v="2022-03-07T00:00:00"/>
    <n v="735"/>
    <d v="2025-08-20T00:00:00"/>
    <x v="70"/>
    <x v="2"/>
    <m/>
  </r>
  <r>
    <n v="445"/>
    <n v="346"/>
    <n v="267"/>
    <n v="3"/>
    <n v="801"/>
    <d v="2024-04-24T00:00:00"/>
    <s v="Пятерочка"/>
    <n v="385"/>
    <x v="8"/>
    <x v="8"/>
    <n v="271.18181818181819"/>
    <n v="-1.5420717398592076E-2"/>
    <n v="6412"/>
    <n v="-0.95835932626325637"/>
    <d v="2022-07-11T00:00:00"/>
    <n v="653"/>
    <d v="2025-08-20T00:00:00"/>
    <x v="46"/>
    <x v="3"/>
    <m/>
  </r>
  <r>
    <n v="446"/>
    <n v="47"/>
    <n v="476"/>
    <n v="4"/>
    <n v="1904"/>
    <d v="2024-05-13T00:00:00"/>
    <s v="Карусель"/>
    <n v="43"/>
    <x v="10"/>
    <x v="37"/>
    <n v="271.74545454545455"/>
    <n v="0.75163923457781334"/>
    <n v="4630"/>
    <n v="-0.8971922246220303"/>
    <d v="2022-12-17T00:00:00"/>
    <n v="513"/>
    <d v="2025-08-20T00:00:00"/>
    <x v="204"/>
    <x v="2"/>
    <m/>
  </r>
  <r>
    <n v="447"/>
    <n v="290"/>
    <n v="97"/>
    <n v="4"/>
    <n v="388"/>
    <d v="2023-11-26T00:00:00"/>
    <s v="Метро"/>
    <n v="326"/>
    <x v="0"/>
    <x v="0"/>
    <n v="254.58333333333334"/>
    <n v="-0.61898527004909987"/>
    <n v="5172"/>
    <n v="-0.98124516627996905"/>
    <d v="2022-04-04T00:00:00"/>
    <n v="601"/>
    <d v="2025-08-20T00:00:00"/>
    <x v="150"/>
    <x v="2"/>
    <m/>
  </r>
  <r>
    <n v="448"/>
    <n v="484"/>
    <n v="114"/>
    <n v="1"/>
    <n v="114"/>
    <d v="2023-03-22T00:00:00"/>
    <s v="Азбука Вкуса"/>
    <n v="402"/>
    <x v="2"/>
    <x v="31"/>
    <n v="283.468085106383"/>
    <n v="-0.59783832470164389"/>
    <n v="4200"/>
    <n v="-0.97285714285714286"/>
    <d v="2022-06-30T00:00:00"/>
    <n v="265"/>
    <d v="2025-08-20T00:00:00"/>
    <x v="205"/>
    <x v="0"/>
    <m/>
  </r>
  <r>
    <n v="449"/>
    <n v="192"/>
    <n v="147"/>
    <n v="1"/>
    <n v="147"/>
    <d v="2023-01-09T00:00:00"/>
    <s v="Мосмарт"/>
    <n v="23"/>
    <x v="10"/>
    <x v="37"/>
    <n v="271.74545454545455"/>
    <n v="-0.45905258932155757"/>
    <n v="4630"/>
    <n v="-0.96825053995680344"/>
    <d v="2022-05-25T00:00:00"/>
    <n v="229"/>
    <d v="2025-08-20T00:00:00"/>
    <x v="143"/>
    <x v="2"/>
    <m/>
  </r>
  <r>
    <n v="450"/>
    <n v="187"/>
    <n v="185"/>
    <n v="2"/>
    <n v="370"/>
    <d v="2023-06-25T00:00:00"/>
    <s v="Перекресток"/>
    <n v="468"/>
    <x v="3"/>
    <x v="16"/>
    <n v="265.47674418604652"/>
    <n v="-0.30314046690902718"/>
    <n v="10237"/>
    <n v="-0.98192829930643744"/>
    <d v="2022-02-27T00:00:00"/>
    <n v="483"/>
    <d v="2025-08-20T00:00:00"/>
    <x v="7"/>
    <x v="0"/>
    <m/>
  </r>
  <r>
    <n v="451"/>
    <n v="429"/>
    <n v="368"/>
    <n v="2"/>
    <n v="736"/>
    <d v="2023-03-23T00:00:00"/>
    <s v="Мираторг"/>
    <n v="16"/>
    <x v="18"/>
    <x v="67"/>
    <n v="255.11627906976744"/>
    <n v="0.44247948951686422"/>
    <n v="3023"/>
    <n v="-0.87826662256037047"/>
    <d v="2022-06-01T00:00:00"/>
    <n v="295"/>
    <d v="2025-08-20T00:00:00"/>
    <x v="105"/>
    <x v="3"/>
    <m/>
  </r>
  <r>
    <n v="452"/>
    <n v="93"/>
    <n v="387"/>
    <n v="2"/>
    <n v="774"/>
    <d v="2023-10-20T00:00:00"/>
    <s v="Перекресток"/>
    <n v="156"/>
    <x v="8"/>
    <x v="8"/>
    <n v="271.18181818181819"/>
    <n v="0.42708682534361375"/>
    <n v="6412"/>
    <n v="-0.93964441671865251"/>
    <d v="2022-12-10T00:00:00"/>
    <n v="314"/>
    <d v="2025-08-20T00:00:00"/>
    <x v="137"/>
    <x v="3"/>
    <m/>
  </r>
  <r>
    <n v="453"/>
    <n v="57"/>
    <n v="174"/>
    <n v="2"/>
    <n v="348"/>
    <d v="2023-02-16T00:00:00"/>
    <s v="Мосмарт"/>
    <n v="141"/>
    <x v="2"/>
    <x v="2"/>
    <n v="283.468085106383"/>
    <n v="-0.38617428507092999"/>
    <n v="2092"/>
    <n v="-0.91682600382409174"/>
    <d v="2022-07-01T00:00:00"/>
    <n v="230"/>
    <d v="2025-08-20T00:00:00"/>
    <x v="84"/>
    <x v="2"/>
    <m/>
  </r>
  <r>
    <n v="454"/>
    <n v="198"/>
    <n v="438"/>
    <n v="4"/>
    <n v="1752"/>
    <d v="2024-01-21T00:00:00"/>
    <s v="Ароматный Мир"/>
    <n v="385"/>
    <x v="10"/>
    <x v="15"/>
    <n v="271.74545454545455"/>
    <n v="0.61180248896025691"/>
    <n v="3799"/>
    <n v="-0.88470650171097653"/>
    <d v="2022-07-11T00:00:00"/>
    <n v="559"/>
    <d v="2025-08-20T00:00:00"/>
    <x v="46"/>
    <x v="3"/>
    <m/>
  </r>
  <r>
    <n v="455"/>
    <n v="202"/>
    <n v="308"/>
    <n v="2"/>
    <n v="616"/>
    <d v="2024-04-28T00:00:00"/>
    <s v="Билла"/>
    <n v="182"/>
    <x v="4"/>
    <x v="24"/>
    <n v="250.48780487804879"/>
    <n v="0.22960077896786757"/>
    <n v="5165"/>
    <n v="-0.94036786060019362"/>
    <d v="2022-10-22T00:00:00"/>
    <n v="554"/>
    <d v="2025-08-20T00:00:00"/>
    <x v="206"/>
    <x v="0"/>
    <m/>
  </r>
  <r>
    <n v="456"/>
    <n v="427"/>
    <n v="240"/>
    <n v="1"/>
    <n v="240"/>
    <d v="2024-05-08T00:00:00"/>
    <s v="Городской Супермаркет"/>
    <n v="225"/>
    <x v="16"/>
    <x v="55"/>
    <n v="300.31818181818181"/>
    <n v="-0.20084758589374907"/>
    <n v="3166"/>
    <n v="-0.92419456727732152"/>
    <d v="2022-09-23T00:00:00"/>
    <n v="593"/>
    <d v="2025-08-20T00:00:00"/>
    <x v="42"/>
    <x v="1"/>
    <m/>
  </r>
  <r>
    <n v="457"/>
    <n v="272"/>
    <n v="67"/>
    <n v="3"/>
    <n v="201"/>
    <d v="2024-03-15T00:00:00"/>
    <s v="Карусель"/>
    <n v="151"/>
    <x v="18"/>
    <x v="72"/>
    <n v="255.11627906976744"/>
    <n v="-0.73737465815861447"/>
    <n v="2773"/>
    <n v="-0.97583844212044712"/>
    <d v="2022-12-28T00:00:00"/>
    <n v="443"/>
    <d v="2025-08-20T00:00:00"/>
    <x v="196"/>
    <x v="1"/>
    <m/>
  </r>
  <r>
    <n v="458"/>
    <n v="473"/>
    <n v="474"/>
    <n v="2"/>
    <n v="948"/>
    <d v="2023-02-19T00:00:00"/>
    <s v="Спар"/>
    <n v="428"/>
    <x v="16"/>
    <x v="23"/>
    <n v="300.31818181818181"/>
    <n v="0.57832601785984572"/>
    <n v="4226"/>
    <n v="-0.88783719829626129"/>
    <d v="2022-10-14T00:00:00"/>
    <n v="128"/>
    <d v="2025-08-20T00:00:00"/>
    <x v="176"/>
    <x v="1"/>
    <m/>
  </r>
  <r>
    <n v="459"/>
    <n v="189"/>
    <n v="275"/>
    <n v="4"/>
    <n v="1100"/>
    <d v="2023-09-07T00:00:00"/>
    <s v="О'кей"/>
    <n v="438"/>
    <x v="16"/>
    <x v="38"/>
    <n v="300.31818181818181"/>
    <n v="-8.4304525503254069E-2"/>
    <n v="1848"/>
    <n v="-0.85119047619047616"/>
    <d v="2022-05-12T00:00:00"/>
    <n v="483"/>
    <d v="2025-08-20T00:00:00"/>
    <x v="29"/>
    <x v="0"/>
    <m/>
  </r>
  <r>
    <n v="460"/>
    <n v="362"/>
    <n v="358"/>
    <n v="4"/>
    <n v="1432"/>
    <d v="2023-02-15T00:00:00"/>
    <s v="Верный"/>
    <n v="465"/>
    <x v="16"/>
    <x v="55"/>
    <n v="300.31818181818181"/>
    <n v="0.19206901770849094"/>
    <n v="3166"/>
    <n v="-0.88692356285533802"/>
    <d v="2022-04-20T00:00:00"/>
    <n v="301"/>
    <d v="2025-08-20T00:00:00"/>
    <x v="134"/>
    <x v="0"/>
    <m/>
  </r>
  <r>
    <n v="461"/>
    <n v="345"/>
    <n v="455"/>
    <n v="5"/>
    <n v="2275"/>
    <d v="2023-10-14T00:00:00"/>
    <s v="Верный"/>
    <n v="215"/>
    <x v="17"/>
    <x v="27"/>
    <n v="267.85483870967744"/>
    <n v="0.69868127897874377"/>
    <n v="6053"/>
    <n v="-0.92483066248141421"/>
    <d v="2022-08-26T00:00:00"/>
    <n v="414"/>
    <d v="2025-08-20T00:00:00"/>
    <x v="207"/>
    <x v="2"/>
    <m/>
  </r>
  <r>
    <n v="462"/>
    <n v="461"/>
    <n v="443"/>
    <n v="3"/>
    <n v="1329"/>
    <d v="2023-05-30T00:00:00"/>
    <s v="Азбука Вкуса"/>
    <n v="314"/>
    <x v="12"/>
    <x v="75"/>
    <n v="274.16279069767444"/>
    <n v="0.61582831453049436"/>
    <n v="1846"/>
    <n v="-0.76002166847237274"/>
    <d v="2022-12-04T00:00:00"/>
    <n v="177"/>
    <d v="2025-08-20T00:00:00"/>
    <x v="194"/>
    <x v="2"/>
    <m/>
  </r>
  <r>
    <n v="463"/>
    <n v="401"/>
    <n v="464"/>
    <n v="2"/>
    <n v="928"/>
    <d v="2023-07-19T00:00:00"/>
    <s v="Карусель"/>
    <n v="15"/>
    <x v="8"/>
    <x v="8"/>
    <n v="271.18181818181819"/>
    <n v="0.7110291652698626"/>
    <n v="6412"/>
    <n v="-0.92763568309419842"/>
    <d v="2022-05-30T00:00:00"/>
    <n v="415"/>
    <d v="2025-08-20T00:00:00"/>
    <x v="92"/>
    <x v="3"/>
    <m/>
  </r>
  <r>
    <n v="464"/>
    <n v="427"/>
    <n v="307"/>
    <n v="5"/>
    <n v="1535"/>
    <d v="2023-06-25T00:00:00"/>
    <s v="Магнит"/>
    <n v="191"/>
    <x v="16"/>
    <x v="55"/>
    <n v="300.31818181818181"/>
    <n v="2.2249129710912641E-2"/>
    <n v="3166"/>
    <n v="-0.90303221730890715"/>
    <d v="2022-11-01T00:00:00"/>
    <n v="236"/>
    <d v="2025-08-20T00:00:00"/>
    <x v="169"/>
    <x v="3"/>
    <m/>
  </r>
  <r>
    <n v="465"/>
    <n v="129"/>
    <n v="121"/>
    <n v="5"/>
    <n v="605"/>
    <d v="2023-08-18T00:00:00"/>
    <s v="Магнит"/>
    <n v="277"/>
    <x v="10"/>
    <x v="10"/>
    <n v="271.74545454545455"/>
    <n v="-0.55473036263883313"/>
    <n v="3112"/>
    <n v="-0.96111825192802058"/>
    <d v="2022-07-08T00:00:00"/>
    <n v="406"/>
    <d v="2025-08-20T00:00:00"/>
    <x v="1"/>
    <x v="2"/>
    <m/>
  </r>
  <r>
    <n v="466"/>
    <n v="84"/>
    <n v="265"/>
    <n v="2"/>
    <n v="530"/>
    <d v="2023-05-21T00:00:00"/>
    <s v="Бристоль"/>
    <n v="101"/>
    <x v="7"/>
    <x v="76"/>
    <n v="249.02380952380952"/>
    <n v="6.4155272970647381E-2"/>
    <n v="420"/>
    <n v="-0.36904761904761907"/>
    <d v="2022-06-15T00:00:00"/>
    <n v="340"/>
    <d v="2025-08-20T00:00:00"/>
    <x v="200"/>
    <x v="2"/>
    <m/>
  </r>
  <r>
    <n v="467"/>
    <n v="172"/>
    <n v="451"/>
    <n v="2"/>
    <n v="902"/>
    <d v="2023-10-18T00:00:00"/>
    <s v="Ашан"/>
    <n v="141"/>
    <x v="12"/>
    <x v="75"/>
    <n v="274.16279069767444"/>
    <n v="0.64500805835948749"/>
    <n v="1846"/>
    <n v="-0.75568797399783316"/>
    <d v="2022-07-01T00:00:00"/>
    <n v="474"/>
    <d v="2025-08-20T00:00:00"/>
    <x v="84"/>
    <x v="2"/>
    <m/>
  </r>
  <r>
    <n v="468"/>
    <n v="348"/>
    <n v="212"/>
    <n v="5"/>
    <n v="1060"/>
    <d v="2023-11-01T00:00:00"/>
    <s v="Верный"/>
    <n v="126"/>
    <x v="14"/>
    <x v="62"/>
    <n v="273.72549019607845"/>
    <n v="-0.22550143266475653"/>
    <n v="2929"/>
    <n v="-0.92762034824172068"/>
    <d v="2022-09-18T00:00:00"/>
    <n v="409"/>
    <d v="2025-08-20T00:00:00"/>
    <x v="81"/>
    <x v="0"/>
    <m/>
  </r>
  <r>
    <n v="469"/>
    <n v="171"/>
    <n v="336"/>
    <n v="4"/>
    <n v="1344"/>
    <d v="2023-04-05T00:00:00"/>
    <s v="Мосмарт"/>
    <n v="148"/>
    <x v="8"/>
    <x v="8"/>
    <n v="271.18181818181819"/>
    <n v="0.23902111967817641"/>
    <n v="6412"/>
    <n v="-0.94759825327510916"/>
    <d v="2022-05-19T00:00:00"/>
    <n v="321"/>
    <d v="2025-08-20T00:00:00"/>
    <x v="198"/>
    <x v="2"/>
    <m/>
  </r>
  <r>
    <n v="470"/>
    <n v="70"/>
    <n v="407"/>
    <n v="2"/>
    <n v="814"/>
    <d v="2023-09-28T00:00:00"/>
    <s v="Мираторг"/>
    <n v="334"/>
    <x v="13"/>
    <x v="34"/>
    <n v="258.375"/>
    <n v="0.57522980164489601"/>
    <n v="1271"/>
    <n v="-0.67977970102281671"/>
    <d v="2022-11-16T00:00:00"/>
    <n v="316"/>
    <d v="2025-08-20T00:00:00"/>
    <x v="40"/>
    <x v="3"/>
    <m/>
  </r>
  <r>
    <n v="471"/>
    <n v="476"/>
    <n v="109"/>
    <n v="4"/>
    <n v="436"/>
    <d v="2023-06-10T00:00:00"/>
    <s v="Мираторг"/>
    <n v="335"/>
    <x v="6"/>
    <x v="59"/>
    <n v="258.5128205128205"/>
    <n v="-0.5783574687561992"/>
    <n v="2609"/>
    <n v="-0.95822154082023769"/>
    <d v="2022-02-27T00:00:00"/>
    <n v="468"/>
    <d v="2025-08-20T00:00:00"/>
    <x v="7"/>
    <x v="0"/>
    <m/>
  </r>
  <r>
    <n v="472"/>
    <n v="49"/>
    <n v="412"/>
    <n v="3"/>
    <n v="1236"/>
    <d v="2023-08-27T00:00:00"/>
    <s v="Перекресток"/>
    <n v="370"/>
    <x v="13"/>
    <x v="30"/>
    <n v="258.375"/>
    <n v="0.59458151910982093"/>
    <n v="2225"/>
    <n v="-0.81483146067415735"/>
    <d v="2022-06-14T00:00:00"/>
    <n v="439"/>
    <d v="2025-08-20T00:00:00"/>
    <x v="139"/>
    <x v="4"/>
    <m/>
  </r>
  <r>
    <n v="473"/>
    <n v="7"/>
    <n v="254"/>
    <n v="2"/>
    <n v="508"/>
    <d v="2023-12-11T00:00:00"/>
    <s v="Карусель"/>
    <n v="76"/>
    <x v="11"/>
    <x v="26"/>
    <n v="261.03225806451616"/>
    <n v="-2.6940187839841867E-2"/>
    <n v="3935"/>
    <n v="-0.93545108005082589"/>
    <d v="2022-01-14T00:00:00"/>
    <n v="696"/>
    <d v="2025-08-20T00:00:00"/>
    <x v="179"/>
    <x v="1"/>
    <m/>
  </r>
  <r>
    <n v="474"/>
    <n v="180"/>
    <n v="338"/>
    <n v="3"/>
    <n v="1014"/>
    <d v="2023-08-20T00:00:00"/>
    <s v="Билла"/>
    <n v="25"/>
    <x v="14"/>
    <x v="56"/>
    <n v="273.72549019607845"/>
    <n v="0.2348137535816619"/>
    <n v="2902"/>
    <n v="-0.88352860096485186"/>
    <d v="2022-01-21T00:00:00"/>
    <n v="576"/>
    <d v="2025-08-20T00:00:00"/>
    <x v="5"/>
    <x v="4"/>
    <m/>
  </r>
  <r>
    <n v="475"/>
    <n v="194"/>
    <n v="268"/>
    <n v="5"/>
    <n v="1340"/>
    <d v="2024-04-26T00:00:00"/>
    <s v="Магнит"/>
    <n v="80"/>
    <x v="1"/>
    <x v="69"/>
    <n v="264.8679245283019"/>
    <n v="1.1825046302892162E-2"/>
    <n v="2737"/>
    <n v="-0.90208257215929855"/>
    <d v="2022-03-03T00:00:00"/>
    <n v="785"/>
    <d v="2025-08-20T00:00:00"/>
    <x v="124"/>
    <x v="1"/>
    <m/>
  </r>
  <r>
    <n v="476"/>
    <n v="312"/>
    <n v="223"/>
    <n v="2"/>
    <n v="446"/>
    <d v="2023-03-06T00:00:00"/>
    <s v="Спар"/>
    <n v="276"/>
    <x v="16"/>
    <x v="50"/>
    <n v="300.31818181818181"/>
    <n v="-0.2574542152262751"/>
    <n v="3974"/>
    <n v="-0.94388525415198787"/>
    <d v="2022-03-12T00:00:00"/>
    <n v="359"/>
    <d v="2025-08-20T00:00:00"/>
    <x v="94"/>
    <x v="4"/>
    <m/>
  </r>
  <r>
    <n v="477"/>
    <n v="235"/>
    <n v="455"/>
    <n v="5"/>
    <n v="2275"/>
    <d v="2023-04-22T00:00:00"/>
    <s v="Седьмой Континент"/>
    <n v="71"/>
    <x v="16"/>
    <x v="55"/>
    <n v="300.31818181818181"/>
    <n v="0.51505978507643402"/>
    <n v="3166"/>
    <n v="-0.85628553379658878"/>
    <d v="2022-07-20T00:00:00"/>
    <n v="276"/>
    <d v="2025-08-20T00:00:00"/>
    <x v="75"/>
    <x v="3"/>
    <m/>
  </r>
  <r>
    <n v="478"/>
    <n v="399"/>
    <n v="379"/>
    <n v="1"/>
    <n v="379"/>
    <d v="2023-09-19T00:00:00"/>
    <s v="Лента"/>
    <n v="12"/>
    <x v="16"/>
    <x v="23"/>
    <n v="300.31818181818181"/>
    <n v="0.26199485394278788"/>
    <n v="4226"/>
    <n v="-0.91031708471367723"/>
    <d v="2022-10-08T00:00:00"/>
    <n v="346"/>
    <d v="2025-08-20T00:00:00"/>
    <x v="2"/>
    <x v="1"/>
    <m/>
  </r>
  <r>
    <n v="479"/>
    <n v="494"/>
    <n v="216"/>
    <n v="3"/>
    <n v="648"/>
    <d v="2023-03-24T00:00:00"/>
    <s v="Седьмой Континент"/>
    <n v="9"/>
    <x v="11"/>
    <x v="46"/>
    <n v="261.03225806451616"/>
    <n v="-0.17251606524962937"/>
    <n v="8943"/>
    <n v="-0.97584703119758465"/>
    <d v="2022-12-05T00:00:00"/>
    <n v="109"/>
    <d v="2025-08-20T00:00:00"/>
    <x v="43"/>
    <x v="4"/>
    <m/>
  </r>
  <r>
    <n v="480"/>
    <n v="458"/>
    <n v="469"/>
    <n v="4"/>
    <n v="1876"/>
    <d v="2024-04-29T00:00:00"/>
    <s v="Билла"/>
    <n v="51"/>
    <x v="3"/>
    <x v="3"/>
    <n v="265.47674418604652"/>
    <n v="0.76663308659279039"/>
    <n v="6852"/>
    <n v="-0.93155283129013422"/>
    <d v="2022-02-13T00:00:00"/>
    <n v="806"/>
    <d v="2025-08-20T00:00:00"/>
    <x v="79"/>
    <x v="0"/>
    <m/>
  </r>
  <r>
    <n v="481"/>
    <n v="193"/>
    <n v="94"/>
    <n v="3"/>
    <n v="282"/>
    <d v="2023-06-29T00:00:00"/>
    <s v="Городской Супермаркет"/>
    <n v="370"/>
    <x v="1"/>
    <x v="69"/>
    <n v="264.8679245283019"/>
    <n v="-0.64510614047585135"/>
    <n v="2737"/>
    <n v="-0.96565582754841062"/>
    <d v="2022-06-14T00:00:00"/>
    <n v="380"/>
    <d v="2025-08-20T00:00:00"/>
    <x v="139"/>
    <x v="4"/>
    <m/>
  </r>
  <r>
    <n v="482"/>
    <n v="450"/>
    <n v="494"/>
    <n v="4"/>
    <n v="1976"/>
    <d v="2023-03-19T00:00:00"/>
    <s v="Ароматный Мир"/>
    <n v="17"/>
    <x v="16"/>
    <x v="23"/>
    <n v="300.31818181818181"/>
    <n v="0.64492205236869982"/>
    <n v="4226"/>
    <n v="-0.8831045906294368"/>
    <d v="2022-11-12T00:00:00"/>
    <n v="127"/>
    <d v="2025-08-20T00:00:00"/>
    <x v="208"/>
    <x v="4"/>
    <m/>
  </r>
  <r>
    <n v="590"/>
    <n v="474"/>
    <n v="204"/>
    <n v="2"/>
    <n v="408"/>
    <d v="2024-02-27T00:00:00"/>
    <s v="Ароматный Мир"/>
    <n v="153"/>
    <x v="15"/>
    <x v="22"/>
    <n v="294.95238095238096"/>
    <n v="0.68162738133677747"/>
    <n v="3507"/>
    <n v="-0.94183062446535504"/>
    <d v="2022-08-29T00:00:00"/>
    <n v="547"/>
    <d v="2025-08-20T00:00:00"/>
    <x v="110"/>
    <x v="2"/>
    <m/>
  </r>
  <r>
    <n v="484"/>
    <n v="115"/>
    <n v="118"/>
    <n v="1"/>
    <n v="118"/>
    <d v="2024-02-05T00:00:00"/>
    <s v="Дикси"/>
    <n v="481"/>
    <x v="11"/>
    <x v="26"/>
    <n v="261.03225806451616"/>
    <n v="-0.54794859120118633"/>
    <n v="3935"/>
    <n v="-0.97001270648030491"/>
    <d v="2022-07-14T00:00:00"/>
    <n v="571"/>
    <d v="2025-08-20T00:00:00"/>
    <x v="19"/>
    <x v="1"/>
    <m/>
  </r>
  <r>
    <n v="485"/>
    <n v="163"/>
    <n v="344"/>
    <n v="1"/>
    <n v="344"/>
    <d v="2023-09-19T00:00:00"/>
    <s v="Городской Супермаркет"/>
    <n v="363"/>
    <x v="1"/>
    <x v="13"/>
    <n v="264.8679245283019"/>
    <n v="0.298760507194757"/>
    <n v="4171"/>
    <n v="-0.91752577319587625"/>
    <d v="2022-04-24T00:00:00"/>
    <n v="513"/>
    <d v="2025-08-20T00:00:00"/>
    <x v="20"/>
    <x v="0"/>
    <m/>
  </r>
  <r>
    <n v="486"/>
    <n v="321"/>
    <n v="322"/>
    <n v="3"/>
    <n v="966"/>
    <d v="2023-06-17T00:00:00"/>
    <s v="Мираторг"/>
    <n v="328"/>
    <x v="10"/>
    <x v="12"/>
    <n v="271.74545454545455"/>
    <n v="0.18493242339087379"/>
    <n v="3405"/>
    <n v="-0.90543318649045523"/>
    <d v="2022-01-07T00:00:00"/>
    <n v="526"/>
    <d v="2025-08-20T00:00:00"/>
    <x v="55"/>
    <x v="2"/>
    <m/>
  </r>
  <r>
    <n v="487"/>
    <n v="129"/>
    <n v="328"/>
    <n v="4"/>
    <n v="1312"/>
    <d v="2024-01-13T00:00:00"/>
    <s v="Верный"/>
    <n v="127"/>
    <x v="10"/>
    <x v="10"/>
    <n v="271.74545454545455"/>
    <n v="0.20701190954101434"/>
    <n v="3112"/>
    <n v="-0.8946015424164524"/>
    <d v="2022-12-19T00:00:00"/>
    <n v="390"/>
    <d v="2025-08-20T00:00:00"/>
    <x v="131"/>
    <x v="3"/>
    <m/>
  </r>
  <r>
    <n v="488"/>
    <n v="12"/>
    <n v="357"/>
    <n v="1"/>
    <n v="357"/>
    <d v="2024-03-18T00:00:00"/>
    <s v="Городской Супермаркет"/>
    <n v="221"/>
    <x v="3"/>
    <x v="19"/>
    <n v="265.47674418604652"/>
    <n v="0.34475055845122848"/>
    <n v="3622"/>
    <n v="-0.90143567090005527"/>
    <d v="2022-09-16T00:00:00"/>
    <n v="549"/>
    <d v="2025-08-20T00:00:00"/>
    <x v="14"/>
    <x v="4"/>
    <m/>
  </r>
  <r>
    <n v="489"/>
    <n v="104"/>
    <n v="276"/>
    <n v="2"/>
    <n v="552"/>
    <d v="2024-03-21T00:00:00"/>
    <s v="Мираторг"/>
    <n v="134"/>
    <x v="9"/>
    <x v="9"/>
    <n v="263.25423728813558"/>
    <n v="4.841617306206536E-2"/>
    <n v="5929"/>
    <n v="-0.95344914825434302"/>
    <d v="2022-07-11T00:00:00"/>
    <n v="619"/>
    <d v="2025-08-20T00:00:00"/>
    <x v="46"/>
    <x v="2"/>
    <m/>
  </r>
  <r>
    <n v="490"/>
    <n v="61"/>
    <n v="170"/>
    <n v="2"/>
    <n v="340"/>
    <d v="2024-01-01T00:00:00"/>
    <s v="Верный"/>
    <n v="374"/>
    <x v="9"/>
    <x v="33"/>
    <n v="263.25423728813558"/>
    <n v="-0.35423641514293069"/>
    <n v="4970"/>
    <n v="-0.96579476861167002"/>
    <d v="2022-01-21T00:00:00"/>
    <n v="710"/>
    <d v="2025-08-20T00:00:00"/>
    <x v="5"/>
    <x v="3"/>
    <m/>
  </r>
  <r>
    <n v="491"/>
    <n v="202"/>
    <n v="89"/>
    <n v="1"/>
    <n v="89"/>
    <d v="2024-04-07T00:00:00"/>
    <s v="Бристоль"/>
    <n v="441"/>
    <x v="4"/>
    <x v="24"/>
    <n v="250.48780487804879"/>
    <n v="-0.64469328140214222"/>
    <n v="5165"/>
    <n v="-0.98276863504356249"/>
    <d v="2022-11-02T00:00:00"/>
    <n v="522"/>
    <d v="2025-08-20T00:00:00"/>
    <x v="18"/>
    <x v="0"/>
    <m/>
  </r>
  <r>
    <n v="492"/>
    <n v="464"/>
    <n v="134"/>
    <n v="1"/>
    <n v="134"/>
    <d v="2023-06-01T00:00:00"/>
    <s v="Бристоль"/>
    <n v="220"/>
    <x v="11"/>
    <x v="46"/>
    <n v="261.03225806451616"/>
    <n v="-0.48665348492338112"/>
    <n v="8943"/>
    <n v="-0.98501621379850157"/>
    <d v="2022-01-09T00:00:00"/>
    <n v="508"/>
    <d v="2025-08-20T00:00:00"/>
    <x v="82"/>
    <x v="3"/>
    <m/>
  </r>
  <r>
    <n v="493"/>
    <n v="335"/>
    <n v="436"/>
    <n v="1"/>
    <n v="436"/>
    <d v="2024-04-25T00:00:00"/>
    <s v="Мираторг"/>
    <n v="235"/>
    <x v="16"/>
    <x v="50"/>
    <n v="300.31818181818181"/>
    <n v="0.45179355229302254"/>
    <n v="3974"/>
    <n v="-0.89028686462003015"/>
    <d v="2022-03-15T00:00:00"/>
    <n v="772"/>
    <d v="2025-08-20T00:00:00"/>
    <x v="136"/>
    <x v="0"/>
    <m/>
  </r>
  <r>
    <n v="494"/>
    <n v="15"/>
    <n v="318"/>
    <n v="5"/>
    <n v="1590"/>
    <d v="2023-02-25T00:00:00"/>
    <s v="Ашан"/>
    <n v="323"/>
    <x v="0"/>
    <x v="68"/>
    <n v="254.58333333333334"/>
    <n v="0.24909983633387878"/>
    <n v="1511"/>
    <n v="-0.78954334877564525"/>
    <d v="2022-09-17T00:00:00"/>
    <n v="161"/>
    <d v="2025-08-20T00:00:00"/>
    <x v="86"/>
    <x v="4"/>
    <m/>
  </r>
  <r>
    <n v="495"/>
    <n v="441"/>
    <n v="183"/>
    <n v="1"/>
    <n v="183"/>
    <d v="2023-11-05T00:00:00"/>
    <s v="Мираторг"/>
    <n v="296"/>
    <x v="8"/>
    <x v="14"/>
    <n v="271.18181818181819"/>
    <n v="-0.32517599731813607"/>
    <n v="4943"/>
    <n v="-0.96297794861420194"/>
    <d v="2022-07-16T00:00:00"/>
    <n v="477"/>
    <d v="2025-08-20T00:00:00"/>
    <x v="165"/>
    <x v="0"/>
    <m/>
  </r>
  <r>
    <n v="496"/>
    <n v="149"/>
    <n v="448"/>
    <n v="2"/>
    <n v="896"/>
    <d v="2023-05-23T00:00:00"/>
    <s v="Перекресток"/>
    <n v="206"/>
    <x v="17"/>
    <x v="35"/>
    <n v="267.85483870967744"/>
    <n v="0.67254772084060921"/>
    <n v="6757"/>
    <n v="-0.93369838685807305"/>
    <d v="2022-01-07T00:00:00"/>
    <n v="501"/>
    <d v="2025-08-20T00:00:00"/>
    <x v="55"/>
    <x v="2"/>
    <m/>
  </r>
  <r>
    <n v="497"/>
    <n v="490"/>
    <n v="58"/>
    <n v="4"/>
    <n v="232"/>
    <d v="2023-10-17T00:00:00"/>
    <s v="Ашан"/>
    <n v="255"/>
    <x v="11"/>
    <x v="46"/>
    <n v="261.03225806451616"/>
    <n v="-0.77780523974295601"/>
    <n v="8943"/>
    <n v="-0.99351448059935143"/>
    <d v="2022-08-20T00:00:00"/>
    <n v="423"/>
    <d v="2025-08-20T00:00:00"/>
    <x v="126"/>
    <x v="3"/>
    <m/>
  </r>
  <r>
    <n v="498"/>
    <n v="90"/>
    <n v="162"/>
    <n v="3"/>
    <n v="486"/>
    <d v="2023-10-08T00:00:00"/>
    <s v="Мираторг"/>
    <n v="88"/>
    <x v="7"/>
    <x v="57"/>
    <n v="249.02380952380952"/>
    <n v="-0.34945979539152883"/>
    <n v="2569"/>
    <n v="-0.93694044375243291"/>
    <d v="2022-03-10T00:00:00"/>
    <n v="577"/>
    <d v="2025-08-20T00:00:00"/>
    <x v="91"/>
    <x v="3"/>
    <m/>
  </r>
  <r>
    <n v="932"/>
    <n v="188"/>
    <n v="233"/>
    <n v="2"/>
    <n v="466"/>
    <d v="2023-10-15T00:00:00"/>
    <s v="Лента"/>
    <n v="445"/>
    <x v="15"/>
    <x v="77"/>
    <n v="294.95238095238096"/>
    <n v="0.60703907006780744"/>
    <n v="387"/>
    <n v="-0.3979328165374677"/>
    <d v="2022-04-25T00:00:00"/>
    <n v="538"/>
    <d v="2025-08-20T00:00:00"/>
    <x v="209"/>
    <x v="2"/>
    <m/>
  </r>
  <r>
    <n v="500"/>
    <n v="323"/>
    <n v="64"/>
    <n v="4"/>
    <n v="256"/>
    <d v="2024-02-27T00:00:00"/>
    <s v="Дикси"/>
    <n v="265"/>
    <x v="6"/>
    <x v="6"/>
    <n v="258.5128205128205"/>
    <n v="-0.75243007339813528"/>
    <n v="4431"/>
    <n v="-0.9855563078311893"/>
    <d v="2022-07-14T00:00:00"/>
    <n v="593"/>
    <d v="2025-08-20T00:00:00"/>
    <x v="19"/>
    <x v="0"/>
    <m/>
  </r>
  <r>
    <n v="501"/>
    <n v="451"/>
    <n v="187"/>
    <n v="4"/>
    <n v="748"/>
    <d v="2023-08-22T00:00:00"/>
    <s v="Метро"/>
    <n v="164"/>
    <x v="13"/>
    <x v="20"/>
    <n v="258.375"/>
    <n v="-0.27624576681180457"/>
    <n v="4585"/>
    <n v="-0.95921483097055615"/>
    <d v="2022-04-27T00:00:00"/>
    <n v="482"/>
    <d v="2025-08-20T00:00:00"/>
    <x v="15"/>
    <x v="2"/>
    <m/>
  </r>
  <r>
    <n v="502"/>
    <n v="348"/>
    <n v="461"/>
    <n v="3"/>
    <n v="1383"/>
    <d v="2024-02-22T00:00:00"/>
    <s v="Лента"/>
    <n v="364"/>
    <x v="14"/>
    <x v="62"/>
    <n v="273.72549019607845"/>
    <n v="0.68416905444126064"/>
    <n v="2929"/>
    <n v="-0.84260839877091154"/>
    <d v="2022-11-18T00:00:00"/>
    <n v="461"/>
    <d v="2025-08-20T00:00:00"/>
    <x v="101"/>
    <x v="2"/>
    <m/>
  </r>
  <r>
    <n v="503"/>
    <n v="111"/>
    <n v="321"/>
    <n v="5"/>
    <n v="1605"/>
    <d v="2023-07-24T00:00:00"/>
    <s v="Гиперглобус"/>
    <n v="19"/>
    <x v="0"/>
    <x v="11"/>
    <n v="254.58333333333334"/>
    <n v="0.26088379705400988"/>
    <n v="3604"/>
    <n v="-0.91093229744728077"/>
    <d v="2022-12-07T00:00:00"/>
    <n v="229"/>
    <d v="2025-08-20T00:00:00"/>
    <x v="189"/>
    <x v="2"/>
    <m/>
  </r>
  <r>
    <n v="504"/>
    <n v="234"/>
    <n v="244"/>
    <n v="3"/>
    <n v="732"/>
    <d v="2023-06-04T00:00:00"/>
    <s v="Билла"/>
    <n v="453"/>
    <x v="8"/>
    <x v="8"/>
    <n v="271.18181818181819"/>
    <n v="-0.10023466309084816"/>
    <n v="6412"/>
    <n v="-0.96194635059263878"/>
    <d v="2022-03-15T00:00:00"/>
    <n v="446"/>
    <d v="2025-08-20T00:00:00"/>
    <x v="136"/>
    <x v="2"/>
    <m/>
  </r>
  <r>
    <n v="505"/>
    <n v="336"/>
    <n v="416"/>
    <n v="2"/>
    <n v="832"/>
    <d v="2023-09-04T00:00:00"/>
    <s v="Спар"/>
    <n v="335"/>
    <x v="14"/>
    <x v="62"/>
    <n v="273.72549019607845"/>
    <n v="0.51977077363896829"/>
    <n v="2929"/>
    <n v="-0.85797200409696139"/>
    <d v="2022-02-27T00:00:00"/>
    <n v="554"/>
    <d v="2025-08-20T00:00:00"/>
    <x v="7"/>
    <x v="0"/>
    <m/>
  </r>
  <r>
    <n v="506"/>
    <n v="441"/>
    <n v="293"/>
    <n v="3"/>
    <n v="879"/>
    <d v="2023-12-14T00:00:00"/>
    <s v="Магнит"/>
    <n v="136"/>
    <x v="8"/>
    <x v="14"/>
    <n v="271.18181818181819"/>
    <n v="8.0455916862219201E-2"/>
    <n v="4943"/>
    <n v="-0.94072425652437786"/>
    <d v="2022-10-26T00:00:00"/>
    <n v="414"/>
    <d v="2025-08-20T00:00:00"/>
    <x v="100"/>
    <x v="3"/>
    <m/>
  </r>
  <r>
    <n v="507"/>
    <n v="481"/>
    <n v="63"/>
    <n v="1"/>
    <n v="63"/>
    <d v="2024-01-10T00:00:00"/>
    <s v="Спар"/>
    <n v="388"/>
    <x v="14"/>
    <x v="21"/>
    <n v="273.72549019607845"/>
    <n v="-0.76984240687679084"/>
    <n v="5885"/>
    <n v="-0.98929481733220048"/>
    <d v="2022-01-20T00:00:00"/>
    <n v="720"/>
    <d v="2025-08-20T00:00:00"/>
    <x v="98"/>
    <x v="2"/>
    <m/>
  </r>
  <r>
    <n v="508"/>
    <n v="403"/>
    <n v="240"/>
    <n v="1"/>
    <n v="240"/>
    <d v="2024-03-08T00:00:00"/>
    <s v="Городской Супермаркет"/>
    <n v="341"/>
    <x v="8"/>
    <x v="51"/>
    <n v="271.18181818181819"/>
    <n v="-0.11498491451558834"/>
    <n v="2433"/>
    <n v="-0.90135635018495686"/>
    <d v="2022-06-12T00:00:00"/>
    <n v="635"/>
    <d v="2025-08-20T00:00:00"/>
    <x v="156"/>
    <x v="2"/>
    <m/>
  </r>
  <r>
    <n v="509"/>
    <n v="137"/>
    <n v="432"/>
    <n v="5"/>
    <n v="2160"/>
    <d v="2023-07-24T00:00:00"/>
    <s v="О'кей"/>
    <n v="185"/>
    <x v="12"/>
    <x v="18"/>
    <n v="274.16279069767444"/>
    <n v="0.57570616676562891"/>
    <n v="4059"/>
    <n v="-0.89356984478935697"/>
    <d v="2022-05-02T00:00:00"/>
    <n v="448"/>
    <d v="2025-08-20T00:00:00"/>
    <x v="52"/>
    <x v="0"/>
    <m/>
  </r>
  <r>
    <n v="510"/>
    <n v="246"/>
    <n v="196"/>
    <n v="5"/>
    <n v="980"/>
    <d v="2023-08-30T00:00:00"/>
    <s v="Мосмарт"/>
    <n v="437"/>
    <x v="11"/>
    <x v="26"/>
    <n v="261.03225806451616"/>
    <n v="-0.24913494809688586"/>
    <n v="3935"/>
    <n v="-0.95019059720457433"/>
    <d v="2022-01-15T00:00:00"/>
    <n v="592"/>
    <d v="2025-08-20T00:00:00"/>
    <x v="99"/>
    <x v="0"/>
    <m/>
  </r>
  <r>
    <n v="511"/>
    <n v="4"/>
    <n v="493"/>
    <n v="4"/>
    <n v="1972"/>
    <d v="2023-08-17T00:00:00"/>
    <s v="Перекресток"/>
    <n v="263"/>
    <x v="13"/>
    <x v="20"/>
    <n v="258.375"/>
    <n v="0.90807934204160623"/>
    <n v="4585"/>
    <n v="-0.89247546346782991"/>
    <d v="2022-02-20T00:00:00"/>
    <n v="543"/>
    <d v="2025-08-20T00:00:00"/>
    <x v="199"/>
    <x v="4"/>
    <m/>
  </r>
  <r>
    <n v="512"/>
    <n v="484"/>
    <n v="436"/>
    <n v="2"/>
    <n v="872"/>
    <d v="2024-04-23T00:00:00"/>
    <s v="Мосмарт"/>
    <n v="358"/>
    <x v="2"/>
    <x v="31"/>
    <n v="283.468085106383"/>
    <n v="0.53809202131652012"/>
    <n v="4200"/>
    <n v="-0.8961904761904762"/>
    <d v="2022-07-29T00:00:00"/>
    <n v="634"/>
    <d v="2025-08-20T00:00:00"/>
    <x v="119"/>
    <x v="3"/>
    <m/>
  </r>
  <r>
    <n v="513"/>
    <n v="60"/>
    <n v="412"/>
    <n v="5"/>
    <n v="2060"/>
    <d v="2023-01-04T00:00:00"/>
    <s v="Гиперглобус"/>
    <n v="377"/>
    <x v="7"/>
    <x v="7"/>
    <n v="249.02380952380952"/>
    <n v="0.65446027344870461"/>
    <n v="5248"/>
    <n v="-0.9214939024390244"/>
    <d v="2022-08-21T00:00:00"/>
    <n v="136"/>
    <d v="2025-08-20T00:00:00"/>
    <x v="13"/>
    <x v="0"/>
    <m/>
  </r>
  <r>
    <n v="514"/>
    <n v="477"/>
    <n v="117"/>
    <n v="3"/>
    <n v="351"/>
    <d v="2023-11-17T00:00:00"/>
    <s v="Ароматный Мир"/>
    <n v="450"/>
    <x v="3"/>
    <x v="3"/>
    <n v="265.47674418604652"/>
    <n v="-0.559283430423547"/>
    <n v="6852"/>
    <n v="-0.98292469352014011"/>
    <d v="2022-02-27T00:00:00"/>
    <n v="628"/>
    <d v="2025-08-20T00:00:00"/>
    <x v="7"/>
    <x v="2"/>
    <m/>
  </r>
  <r>
    <n v="515"/>
    <n v="174"/>
    <n v="301"/>
    <n v="4"/>
    <n v="1204"/>
    <d v="2024-03-31T00:00:00"/>
    <s v="Мираторг"/>
    <n v="210"/>
    <x v="8"/>
    <x v="51"/>
    <n v="271.18181818181819"/>
    <n v="0.10995641971169956"/>
    <n v="2433"/>
    <n v="-0.87628442252363337"/>
    <d v="2022-02-10T00:00:00"/>
    <n v="780"/>
    <d v="2025-08-20T00:00:00"/>
    <x v="210"/>
    <x v="0"/>
    <m/>
  </r>
  <r>
    <n v="516"/>
    <n v="240"/>
    <n v="156"/>
    <n v="4"/>
    <n v="624"/>
    <d v="2024-01-26T00:00:00"/>
    <s v="Ароматный Мир"/>
    <n v="67"/>
    <x v="3"/>
    <x v="3"/>
    <n v="265.47674418604652"/>
    <n v="-0.41237790723139589"/>
    <n v="6852"/>
    <n v="-0.97723292469352019"/>
    <d v="2022-06-19T00:00:00"/>
    <n v="586"/>
    <d v="2025-08-20T00:00:00"/>
    <x v="211"/>
    <x v="0"/>
    <m/>
  </r>
  <r>
    <n v="517"/>
    <n v="299"/>
    <n v="141"/>
    <n v="4"/>
    <n v="564"/>
    <d v="2023-12-09T00:00:00"/>
    <s v="Лента"/>
    <n v="125"/>
    <x v="8"/>
    <x v="14"/>
    <n v="271.18181818181819"/>
    <n v="-0.48005363727790817"/>
    <n v="4943"/>
    <n v="-0.97147481286668014"/>
    <d v="2022-05-20T00:00:00"/>
    <n v="568"/>
    <d v="2025-08-20T00:00:00"/>
    <x v="120"/>
    <x v="2"/>
    <m/>
  </r>
  <r>
    <n v="518"/>
    <n v="481"/>
    <n v="463"/>
    <n v="2"/>
    <n v="926"/>
    <d v="2023-09-02T00:00:00"/>
    <s v="О'кей"/>
    <n v="213"/>
    <x v="14"/>
    <x v="21"/>
    <n v="273.72549019607845"/>
    <n v="0.69147564469914036"/>
    <n v="5885"/>
    <n v="-0.92132540356839421"/>
    <d v="2022-06-21T00:00:00"/>
    <n v="438"/>
    <d v="2025-08-20T00:00:00"/>
    <x v="212"/>
    <x v="0"/>
    <m/>
  </r>
  <r>
    <n v="519"/>
    <n v="213"/>
    <n v="432"/>
    <n v="3"/>
    <n v="1296"/>
    <d v="2023-09-27T00:00:00"/>
    <s v="Пятерочка"/>
    <n v="254"/>
    <x v="0"/>
    <x v="0"/>
    <n v="254.58333333333334"/>
    <n v="0.69689034369885428"/>
    <n v="5172"/>
    <n v="-0.91647331786542918"/>
    <d v="2022-10-28T00:00:00"/>
    <n v="334"/>
    <d v="2025-08-20T00:00:00"/>
    <x v="195"/>
    <x v="1"/>
    <m/>
  </r>
  <r>
    <n v="520"/>
    <n v="484"/>
    <n v="238"/>
    <n v="2"/>
    <n v="476"/>
    <d v="2024-03-13T00:00:00"/>
    <s v="Мираторг"/>
    <n v="252"/>
    <x v="2"/>
    <x v="31"/>
    <n v="283.468085106383"/>
    <n v="-0.16039930946483527"/>
    <n v="4200"/>
    <n v="-0.94333333333333336"/>
    <d v="2022-03-23T00:00:00"/>
    <n v="721"/>
    <d v="2025-08-20T00:00:00"/>
    <x v="3"/>
    <x v="2"/>
    <m/>
  </r>
  <r>
    <n v="521"/>
    <n v="479"/>
    <n v="131"/>
    <n v="5"/>
    <n v="655"/>
    <d v="2023-02-08T00:00:00"/>
    <s v="Спар"/>
    <n v="164"/>
    <x v="4"/>
    <x v="54"/>
    <n v="250.48780487804879"/>
    <n v="-0.47702044790652387"/>
    <n v="2229"/>
    <n v="-0.94122925078510544"/>
    <d v="2022-04-27T00:00:00"/>
    <n v="287"/>
    <d v="2025-08-20T00:00:00"/>
    <x v="15"/>
    <x v="2"/>
    <m/>
  </r>
  <r>
    <n v="522"/>
    <n v="159"/>
    <n v="225"/>
    <n v="1"/>
    <n v="225"/>
    <d v="2023-03-31T00:00:00"/>
    <s v="Пятерочка"/>
    <n v="258"/>
    <x v="18"/>
    <x v="60"/>
    <n v="255.11627906976744"/>
    <n v="-0.11804922515952598"/>
    <n v="1920"/>
    <n v="-0.8828125"/>
    <d v="2022-06-05T00:00:00"/>
    <n v="299"/>
    <d v="2025-08-20T00:00:00"/>
    <x v="106"/>
    <x v="3"/>
    <m/>
  </r>
  <r>
    <n v="523"/>
    <n v="110"/>
    <n v="279"/>
    <n v="1"/>
    <n v="279"/>
    <d v="2024-01-20T00:00:00"/>
    <s v="Лента"/>
    <n v="290"/>
    <x v="3"/>
    <x v="16"/>
    <n v="265.47674418604652"/>
    <n v="5.0939512066926484E-2"/>
    <n v="10237"/>
    <n v="-0.97274592165673535"/>
    <d v="2022-08-04T00:00:00"/>
    <n v="534"/>
    <d v="2025-08-20T00:00:00"/>
    <x v="161"/>
    <x v="2"/>
    <m/>
  </r>
  <r>
    <n v="524"/>
    <n v="224"/>
    <n v="161"/>
    <n v="2"/>
    <n v="322"/>
    <d v="2023-09-08T00:00:00"/>
    <s v="Лента"/>
    <n v="336"/>
    <x v="14"/>
    <x v="21"/>
    <n v="273.72549019607845"/>
    <n v="-0.41181948424068771"/>
    <n v="5885"/>
    <n v="-0.97264231096006792"/>
    <d v="2022-10-22T00:00:00"/>
    <n v="321"/>
    <d v="2025-08-20T00:00:00"/>
    <x v="206"/>
    <x v="0"/>
    <m/>
  </r>
  <r>
    <n v="525"/>
    <n v="126"/>
    <n v="267"/>
    <n v="1"/>
    <n v="267"/>
    <d v="2023-03-04T00:00:00"/>
    <s v="Магнит"/>
    <n v="437"/>
    <x v="0"/>
    <x v="44"/>
    <n v="254.58333333333334"/>
    <n v="4.8772504091652902E-2"/>
    <n v="4988"/>
    <n v="-0.94647153167602249"/>
    <d v="2022-01-15T00:00:00"/>
    <n v="413"/>
    <d v="2025-08-20T00:00:00"/>
    <x v="99"/>
    <x v="0"/>
    <m/>
  </r>
  <r>
    <n v="526"/>
    <n v="344"/>
    <n v="110"/>
    <n v="4"/>
    <n v="440"/>
    <d v="2023-12-24T00:00:00"/>
    <s v="Седьмой Континент"/>
    <n v="294"/>
    <x v="5"/>
    <x v="32"/>
    <n v="268.60344827586209"/>
    <n v="-0.59047435650555236"/>
    <n v="2796"/>
    <n v="-0.96065808297567956"/>
    <d v="2022-11-14T00:00:00"/>
    <n v="405"/>
    <d v="2025-08-20T00:00:00"/>
    <x v="213"/>
    <x v="3"/>
    <m/>
  </r>
  <r>
    <n v="527"/>
    <n v="447"/>
    <n v="316"/>
    <n v="1"/>
    <n v="316"/>
    <d v="2023-07-14T00:00:00"/>
    <s v="Гиперглобус"/>
    <n v="297"/>
    <x v="9"/>
    <x v="33"/>
    <n v="263.25423728813558"/>
    <n v="0.20036054596961117"/>
    <n v="4970"/>
    <n v="-0.9364185110663984"/>
    <d v="2022-04-15T00:00:00"/>
    <n v="455"/>
    <d v="2025-08-20T00:00:00"/>
    <x v="167"/>
    <x v="3"/>
    <m/>
  </r>
  <r>
    <n v="528"/>
    <n v="450"/>
    <n v="228"/>
    <n v="4"/>
    <n v="912"/>
    <d v="2023-09-24T00:00:00"/>
    <s v="Мосмарт"/>
    <n v="27"/>
    <x v="16"/>
    <x v="23"/>
    <n v="300.31818181818181"/>
    <n v="-0.24080520659906157"/>
    <n v="4226"/>
    <n v="-0.94604827259820157"/>
    <d v="2022-01-25T00:00:00"/>
    <n v="607"/>
    <d v="2025-08-20T00:00:00"/>
    <x v="214"/>
    <x v="3"/>
    <m/>
  </r>
  <r>
    <n v="529"/>
    <n v="60"/>
    <n v="100"/>
    <n v="1"/>
    <n v="100"/>
    <d v="2024-04-15T00:00:00"/>
    <s v="Азбука Вкуса"/>
    <n v="102"/>
    <x v="7"/>
    <x v="7"/>
    <n v="249.02380952380952"/>
    <n v="-0.59843197246390667"/>
    <n v="5248"/>
    <n v="-0.98094512195121952"/>
    <d v="2022-06-11T00:00:00"/>
    <n v="674"/>
    <d v="2025-08-20T00:00:00"/>
    <x v="202"/>
    <x v="0"/>
    <m/>
  </r>
  <r>
    <n v="530"/>
    <n v="42"/>
    <n v="332"/>
    <n v="2"/>
    <n v="664"/>
    <d v="2024-01-10T00:00:00"/>
    <s v="Бристоль"/>
    <n v="323"/>
    <x v="13"/>
    <x v="34"/>
    <n v="258.375"/>
    <n v="0.28495403967102084"/>
    <n v="1271"/>
    <n v="-0.73878835562549172"/>
    <d v="2022-09-17T00:00:00"/>
    <n v="480"/>
    <d v="2025-08-20T00:00:00"/>
    <x v="86"/>
    <x v="4"/>
    <m/>
  </r>
  <r>
    <n v="531"/>
    <n v="267"/>
    <n v="65"/>
    <n v="2"/>
    <n v="130"/>
    <d v="2023-08-04T00:00:00"/>
    <s v="Седьмой Континент"/>
    <n v="53"/>
    <x v="4"/>
    <x v="74"/>
    <n v="250.48780487804879"/>
    <n v="-0.740506329113924"/>
    <n v="2080"/>
    <n v="-0.96875"/>
    <d v="2022-02-01T00:00:00"/>
    <n v="549"/>
    <d v="2025-08-20T00:00:00"/>
    <x v="215"/>
    <x v="2"/>
    <m/>
  </r>
  <r>
    <n v="203"/>
    <n v="369"/>
    <n v="74"/>
    <n v="1"/>
    <n v="74"/>
    <d v="2023-10-09T00:00:00"/>
    <s v="Лента"/>
    <n v="411"/>
    <x v="15"/>
    <x v="65"/>
    <n v="294.95238095238096"/>
    <n v="-0.68469486599935425"/>
    <n v="4946"/>
    <n v="-0.98503841488071164"/>
    <d v="2022-04-22T00:00:00"/>
    <n v="535"/>
    <d v="2025-08-20T00:00:00"/>
    <x v="107"/>
    <x v="4"/>
    <m/>
  </r>
  <r>
    <n v="533"/>
    <n v="83"/>
    <n v="315"/>
    <n v="2"/>
    <n v="630"/>
    <d v="2024-03-18T00:00:00"/>
    <s v="Перекресток"/>
    <n v="135"/>
    <x v="5"/>
    <x v="32"/>
    <n v="268.60344827586209"/>
    <n v="0.17273252455228172"/>
    <n v="2796"/>
    <n v="-0.88733905579399142"/>
    <d v="2022-02-10T00:00:00"/>
    <n v="767"/>
    <d v="2025-08-20T00:00:00"/>
    <x v="210"/>
    <x v="2"/>
    <m/>
  </r>
  <r>
    <n v="534"/>
    <n v="315"/>
    <n v="348"/>
    <n v="2"/>
    <n v="696"/>
    <d v="2023-03-17T00:00:00"/>
    <s v="Спар"/>
    <n v="402"/>
    <x v="9"/>
    <x v="42"/>
    <n v="263.25423728813558"/>
    <n v="0.32191604429564769"/>
    <n v="2871"/>
    <n v="-0.87878787878787878"/>
    <d v="2022-06-30T00:00:00"/>
    <n v="260"/>
    <d v="2025-08-20T00:00:00"/>
    <x v="205"/>
    <x v="0"/>
    <m/>
  </r>
  <r>
    <n v="535"/>
    <n v="121"/>
    <n v="77"/>
    <n v="1"/>
    <n v="77"/>
    <d v="2023-05-01T00:00:00"/>
    <s v="Верный"/>
    <n v="279"/>
    <x v="14"/>
    <x v="21"/>
    <n v="273.72549019607845"/>
    <n v="-0.71869627507163325"/>
    <n v="5885"/>
    <n v="-0.98691588785046724"/>
    <d v="2022-08-13T00:00:00"/>
    <n v="261"/>
    <d v="2025-08-20T00:00:00"/>
    <x v="216"/>
    <x v="0"/>
    <m/>
  </r>
  <r>
    <n v="536"/>
    <n v="371"/>
    <n v="62"/>
    <n v="5"/>
    <n v="310"/>
    <d v="2024-02-08T00:00:00"/>
    <s v="Городской Супермаркет"/>
    <n v="385"/>
    <x v="0"/>
    <x v="44"/>
    <n v="254.58333333333334"/>
    <n v="-0.75646481178396074"/>
    <n v="4988"/>
    <n v="-0.98757016840417"/>
    <d v="2022-07-11T00:00:00"/>
    <n v="577"/>
    <d v="2025-08-20T00:00:00"/>
    <x v="46"/>
    <x v="3"/>
    <m/>
  </r>
  <r>
    <n v="537"/>
    <n v="169"/>
    <n v="429"/>
    <n v="2"/>
    <n v="858"/>
    <d v="2023-12-29T00:00:00"/>
    <s v="Ашан"/>
    <n v="326"/>
    <x v="12"/>
    <x v="64"/>
    <n v="274.16279069767444"/>
    <n v="0.56476376282975638"/>
    <n v="3358"/>
    <n v="-0.8722453841572364"/>
    <d v="2022-04-04T00:00:00"/>
    <n v="634"/>
    <d v="2025-08-20T00:00:00"/>
    <x v="150"/>
    <x v="2"/>
    <m/>
  </r>
  <r>
    <n v="538"/>
    <n v="433"/>
    <n v="115"/>
    <n v="4"/>
    <n v="460"/>
    <d v="2023-10-04T00:00:00"/>
    <s v="Седьмой Континент"/>
    <n v="138"/>
    <x v="6"/>
    <x v="6"/>
    <n v="258.5128205128205"/>
    <n v="-0.55514778813727439"/>
    <n v="4431"/>
    <n v="-0.97404649063416837"/>
    <d v="2022-06-11T00:00:00"/>
    <n v="480"/>
    <d v="2025-08-20T00:00:00"/>
    <x v="202"/>
    <x v="3"/>
    <m/>
  </r>
  <r>
    <n v="539"/>
    <n v="43"/>
    <n v="158"/>
    <n v="5"/>
    <n v="790"/>
    <d v="2024-04-15T00:00:00"/>
    <s v="Перекресток"/>
    <n v="271"/>
    <x v="2"/>
    <x v="31"/>
    <n v="283.468085106383"/>
    <n v="-0.44261802897245373"/>
    <n v="4200"/>
    <n v="-0.96238095238095234"/>
    <d v="2022-11-27T00:00:00"/>
    <n v="505"/>
    <d v="2025-08-20T00:00:00"/>
    <x v="36"/>
    <x v="1"/>
    <m/>
  </r>
  <r>
    <n v="540"/>
    <n v="453"/>
    <n v="318"/>
    <n v="4"/>
    <n v="1272"/>
    <d v="2024-03-04T00:00:00"/>
    <s v="Перекресток"/>
    <n v="408"/>
    <x v="3"/>
    <x v="19"/>
    <n v="265.47674418604652"/>
    <n v="0.19784503525907748"/>
    <n v="3622"/>
    <n v="-0.91220320265046939"/>
    <d v="2022-10-23T00:00:00"/>
    <n v="498"/>
    <d v="2025-08-20T00:00:00"/>
    <x v="31"/>
    <x v="2"/>
    <m/>
  </r>
  <r>
    <n v="541"/>
    <n v="403"/>
    <n v="184"/>
    <n v="5"/>
    <n v="920"/>
    <d v="2024-03-27T00:00:00"/>
    <s v="Верный"/>
    <n v="444"/>
    <x v="8"/>
    <x v="51"/>
    <n v="271.18181818181819"/>
    <n v="-0.32148843446195108"/>
    <n v="2433"/>
    <n v="-0.92437320180846694"/>
    <d v="2022-05-07T00:00:00"/>
    <n v="690"/>
    <d v="2025-08-20T00:00:00"/>
    <x v="217"/>
    <x v="2"/>
    <m/>
  </r>
  <r>
    <n v="542"/>
    <n v="248"/>
    <n v="497"/>
    <n v="2"/>
    <n v="994"/>
    <d v="2023-05-05T00:00:00"/>
    <s v="Гиперглобус"/>
    <n v="116"/>
    <x v="17"/>
    <x v="66"/>
    <n v="267.85483870967744"/>
    <n v="0.85548262780755091"/>
    <n v="2189"/>
    <n v="-0.77295568752855182"/>
    <d v="2022-03-23T00:00:00"/>
    <n v="408"/>
    <d v="2025-08-20T00:00:00"/>
    <x v="3"/>
    <x v="2"/>
    <m/>
  </r>
  <r>
    <n v="543"/>
    <n v="492"/>
    <n v="469"/>
    <n v="4"/>
    <n v="1876"/>
    <d v="2024-04-04T00:00:00"/>
    <s v="Городской Супермаркет"/>
    <n v="38"/>
    <x v="6"/>
    <x v="52"/>
    <n v="258.5128205128205"/>
    <n v="0.81422336837928988"/>
    <n v="878"/>
    <n v="-0.46583143507972669"/>
    <d v="2022-09-15T00:00:00"/>
    <n v="567"/>
    <d v="2025-08-20T00:00:00"/>
    <x v="187"/>
    <x v="4"/>
    <m/>
  </r>
  <r>
    <n v="544"/>
    <n v="428"/>
    <n v="263"/>
    <n v="4"/>
    <n v="1052"/>
    <d v="2024-04-03T00:00:00"/>
    <s v="О'кей"/>
    <n v="136"/>
    <x v="17"/>
    <x v="35"/>
    <n v="267.85483870967744"/>
    <n v="-1.8124887095803066E-2"/>
    <n v="6757"/>
    <n v="-0.96107740121355634"/>
    <d v="2022-10-26T00:00:00"/>
    <n v="525"/>
    <d v="2025-08-20T00:00:00"/>
    <x v="100"/>
    <x v="3"/>
    <m/>
  </r>
  <r>
    <n v="545"/>
    <n v="91"/>
    <n v="335"/>
    <n v="2"/>
    <n v="670"/>
    <d v="2023-09-17T00:00:00"/>
    <s v="Ароматный Мир"/>
    <n v="310"/>
    <x v="11"/>
    <x v="46"/>
    <n v="261.03225806451616"/>
    <n v="0.28336628769154704"/>
    <n v="8943"/>
    <n v="-0.9625405344962541"/>
    <d v="2022-09-03T00:00:00"/>
    <n v="379"/>
    <d v="2025-08-20T00:00:00"/>
    <x v="33"/>
    <x v="4"/>
    <m/>
  </r>
  <r>
    <n v="546"/>
    <n v="122"/>
    <n v="309"/>
    <n v="3"/>
    <n v="927"/>
    <d v="2023-05-27T00:00:00"/>
    <s v="Метро"/>
    <n v="263"/>
    <x v="12"/>
    <x v="49"/>
    <n v="274.16279069767444"/>
    <n v="0.12706760539485962"/>
    <n v="2526"/>
    <n v="-0.8776722090261283"/>
    <d v="2022-02-20T00:00:00"/>
    <n v="461"/>
    <d v="2025-08-20T00:00:00"/>
    <x v="199"/>
    <x v="4"/>
    <m/>
  </r>
  <r>
    <n v="547"/>
    <n v="444"/>
    <n v="59"/>
    <n v="2"/>
    <n v="118"/>
    <d v="2023-12-03T00:00:00"/>
    <s v="Азбука Вкуса"/>
    <n v="381"/>
    <x v="9"/>
    <x v="33"/>
    <n v="263.25423728813558"/>
    <n v="-0.77588204996137011"/>
    <n v="4970"/>
    <n v="-0.98812877263581489"/>
    <d v="2022-06-02T00:00:00"/>
    <n v="549"/>
    <d v="2025-08-20T00:00:00"/>
    <x v="77"/>
    <x v="0"/>
    <m/>
  </r>
  <r>
    <n v="532"/>
    <n v="161"/>
    <n v="489"/>
    <n v="5"/>
    <n v="2445"/>
    <d v="2023-07-10T00:00:00"/>
    <s v="Карусель"/>
    <n v="143"/>
    <x v="15"/>
    <x v="22"/>
    <n v="294.95238095238096"/>
    <n v="-0.74911204391346464"/>
    <n v="3507"/>
    <n v="-0.86056458511548328"/>
    <d v="2022-02-09T00:00:00"/>
    <n v="516"/>
    <d v="2025-08-20T00:00:00"/>
    <x v="85"/>
    <x v="2"/>
    <m/>
  </r>
  <r>
    <n v="549"/>
    <n v="431"/>
    <n v="149"/>
    <n v="5"/>
    <n v="745"/>
    <d v="2023-12-11T00:00:00"/>
    <s v="Ароматный Мир"/>
    <n v="12"/>
    <x v="4"/>
    <x v="54"/>
    <n v="250.48780487804879"/>
    <n v="-0.40516066212268742"/>
    <n v="2229"/>
    <n v="-0.93315388066397487"/>
    <d v="2022-10-08T00:00:00"/>
    <n v="429"/>
    <d v="2025-08-20T00:00:00"/>
    <x v="2"/>
    <x v="1"/>
    <m/>
  </r>
  <r>
    <n v="550"/>
    <n v="62"/>
    <n v="88"/>
    <n v="1"/>
    <n v="88"/>
    <d v="2023-01-24T00:00:00"/>
    <s v="Мираторг"/>
    <n v="44"/>
    <x v="6"/>
    <x v="59"/>
    <n v="258.5128205128205"/>
    <n v="-0.65959135092243604"/>
    <n v="2609"/>
    <n v="-0.96627060176312762"/>
    <d v="2022-05-20T00:00:00"/>
    <n v="249"/>
    <d v="2025-08-20T00:00:00"/>
    <x v="120"/>
    <x v="1"/>
    <m/>
  </r>
  <r>
    <n v="551"/>
    <n v="458"/>
    <n v="79"/>
    <n v="2"/>
    <n v="158"/>
    <d v="2023-04-07T00:00:00"/>
    <s v="О'кей"/>
    <n v="133"/>
    <x v="3"/>
    <x v="3"/>
    <n v="265.47674418604652"/>
    <n v="-0.70242214532871972"/>
    <n v="6852"/>
    <n v="-0.98847051955633392"/>
    <d v="2022-01-27T00:00:00"/>
    <n v="435"/>
    <d v="2025-08-20T00:00:00"/>
    <x v="135"/>
    <x v="0"/>
    <m/>
  </r>
  <r>
    <n v="552"/>
    <n v="119"/>
    <n v="369"/>
    <n v="2"/>
    <n v="738"/>
    <d v="2023-06-28T00:00:00"/>
    <s v="Билла"/>
    <n v="21"/>
    <x v="2"/>
    <x v="31"/>
    <n v="283.468085106383"/>
    <n v="0.30173384372888989"/>
    <n v="4200"/>
    <n v="-0.91214285714285714"/>
    <d v="2022-11-16T00:00:00"/>
    <n v="224"/>
    <d v="2025-08-20T00:00:00"/>
    <x v="40"/>
    <x v="1"/>
    <m/>
  </r>
  <r>
    <n v="553"/>
    <n v="388"/>
    <n v="107"/>
    <n v="1"/>
    <n v="107"/>
    <d v="2023-07-30T00:00:00"/>
    <s v="Спар"/>
    <n v="179"/>
    <x v="6"/>
    <x v="6"/>
    <n v="258.5128205128205"/>
    <n v="-0.5860940289625074"/>
    <n v="4431"/>
    <n v="-0.97585195215526965"/>
    <d v="2022-09-29T00:00:00"/>
    <n v="304"/>
    <d v="2025-08-20T00:00:00"/>
    <x v="34"/>
    <x v="2"/>
    <m/>
  </r>
  <r>
    <n v="554"/>
    <n v="303"/>
    <n v="258"/>
    <n v="4"/>
    <n v="1032"/>
    <d v="2023-05-30T00:00:00"/>
    <s v="Лента"/>
    <n v="300"/>
    <x v="12"/>
    <x v="64"/>
    <n v="274.16279069767444"/>
    <n v="-5.89532615149716E-2"/>
    <n v="3358"/>
    <n v="-0.92316855270994636"/>
    <d v="2022-09-20T00:00:00"/>
    <n v="252"/>
    <d v="2025-08-20T00:00:00"/>
    <x v="218"/>
    <x v="3"/>
    <m/>
  </r>
  <r>
    <n v="555"/>
    <n v="160"/>
    <n v="400"/>
    <n v="3"/>
    <n v="1200"/>
    <d v="2023-09-12T00:00:00"/>
    <s v="Азбука Вкуса"/>
    <n v="134"/>
    <x v="18"/>
    <x v="34"/>
    <n v="255.11627906976744"/>
    <n v="0.56791248860528709"/>
    <n v="3254"/>
    <n v="-0.8770743700061463"/>
    <d v="2022-07-11T00:00:00"/>
    <n v="428"/>
    <d v="2025-08-20T00:00:00"/>
    <x v="46"/>
    <x v="2"/>
    <m/>
  </r>
  <r>
    <n v="556"/>
    <n v="66"/>
    <n v="230"/>
    <n v="2"/>
    <n v="460"/>
    <d v="2023-05-28T00:00:00"/>
    <s v="Пятерочка"/>
    <n v="391"/>
    <x v="7"/>
    <x v="39"/>
    <n v="249.02380952380952"/>
    <n v="-7.639353666698534E-2"/>
    <n v="2222"/>
    <n v="-0.89648964896489647"/>
    <d v="2022-04-24T00:00:00"/>
    <n v="399"/>
    <d v="2025-08-20T00:00:00"/>
    <x v="20"/>
    <x v="4"/>
    <m/>
  </r>
  <r>
    <n v="557"/>
    <n v="125"/>
    <n v="187"/>
    <n v="5"/>
    <n v="935"/>
    <d v="2023-04-11T00:00:00"/>
    <s v="Ароматный Мир"/>
    <n v="54"/>
    <x v="13"/>
    <x v="60"/>
    <n v="258.375"/>
    <n v="-0.27624576681180457"/>
    <n v="187"/>
    <n v="0"/>
    <d v="2022-10-13T00:00:00"/>
    <n v="180"/>
    <d v="2025-08-20T00:00:00"/>
    <x v="219"/>
    <x v="1"/>
    <m/>
  </r>
  <r>
    <n v="558"/>
    <n v="280"/>
    <n v="234"/>
    <n v="2"/>
    <n v="468"/>
    <d v="2023-06-11T00:00:00"/>
    <s v="Спар"/>
    <n v="19"/>
    <x v="11"/>
    <x v="26"/>
    <n v="261.03225806451616"/>
    <n v="-0.10355907068709846"/>
    <n v="3935"/>
    <n v="-0.94053367217280814"/>
    <d v="2022-12-07T00:00:00"/>
    <n v="186"/>
    <d v="2025-08-20T00:00:00"/>
    <x v="189"/>
    <x v="2"/>
    <m/>
  </r>
  <r>
    <n v="559"/>
    <n v="309"/>
    <n v="368"/>
    <n v="3"/>
    <n v="1104"/>
    <d v="2023-02-03T00:00:00"/>
    <s v="Мосмарт"/>
    <n v="340"/>
    <x v="17"/>
    <x v="27"/>
    <n v="267.85483870967744"/>
    <n v="0.37387848497621468"/>
    <n v="6053"/>
    <n v="-0.93920370064430858"/>
    <d v="2022-12-01T00:00:00"/>
    <n v="64"/>
    <d v="2025-08-20T00:00:00"/>
    <x v="76"/>
    <x v="2"/>
    <m/>
  </r>
  <r>
    <n v="560"/>
    <n v="317"/>
    <n v="267"/>
    <n v="3"/>
    <n v="801"/>
    <d v="2024-04-14T00:00:00"/>
    <s v="Ашан"/>
    <n v="71"/>
    <x v="5"/>
    <x v="5"/>
    <n v="268.60344827586209"/>
    <n v="-5.9695744271135442E-3"/>
    <n v="9023"/>
    <n v="-0.97040895489305112"/>
    <d v="2022-07-20T00:00:00"/>
    <n v="634"/>
    <d v="2025-08-20T00:00:00"/>
    <x v="75"/>
    <x v="3"/>
    <m/>
  </r>
  <r>
    <n v="561"/>
    <n v="260"/>
    <n v="370"/>
    <n v="5"/>
    <n v="1850"/>
    <d v="2023-02-01T00:00:00"/>
    <s v="Лента"/>
    <n v="102"/>
    <x v="1"/>
    <x v="13"/>
    <n v="264.8679245283019"/>
    <n v="0.39692263855250021"/>
    <n v="4171"/>
    <n v="-0.91129225605370412"/>
    <d v="2022-06-11T00:00:00"/>
    <n v="235"/>
    <d v="2025-08-20T00:00:00"/>
    <x v="202"/>
    <x v="0"/>
    <m/>
  </r>
  <r>
    <n v="562"/>
    <n v="448"/>
    <n v="170"/>
    <n v="1"/>
    <n v="170"/>
    <d v="2023-05-29T00:00:00"/>
    <s v="Ашан"/>
    <n v="43"/>
    <x v="9"/>
    <x v="9"/>
    <n v="263.25423728813558"/>
    <n v="-0.35423641514293069"/>
    <n v="5929"/>
    <n v="-0.97132737392477653"/>
    <d v="2022-12-17T00:00:00"/>
    <n v="163"/>
    <d v="2025-08-20T00:00:00"/>
    <x v="204"/>
    <x v="2"/>
    <m/>
  </r>
  <r>
    <n v="563"/>
    <n v="158"/>
    <n v="71"/>
    <n v="2"/>
    <n v="142"/>
    <d v="2023-05-05T00:00:00"/>
    <s v="Карусель"/>
    <n v="29"/>
    <x v="0"/>
    <x v="11"/>
    <n v="254.58333333333334"/>
    <n v="-0.72111292962356788"/>
    <n v="3604"/>
    <n v="-0.98029966703662597"/>
    <d v="2022-05-23T00:00:00"/>
    <n v="347"/>
    <d v="2025-08-20T00:00:00"/>
    <x v="166"/>
    <x v="2"/>
    <m/>
  </r>
  <r>
    <n v="652"/>
    <n v="112"/>
    <n v="237"/>
    <n v="3"/>
    <n v="711"/>
    <d v="2023-06-02T00:00:00"/>
    <s v="Седьмой Континент"/>
    <n v="342"/>
    <x v="15"/>
    <x v="58"/>
    <n v="294.95238095238096"/>
    <n v="-0.30158217629964479"/>
    <n v="3548"/>
    <n v="-0.93320180383314544"/>
    <d v="2022-01-09T00:00:00"/>
    <n v="509"/>
    <d v="2025-08-20T00:00:00"/>
    <x v="82"/>
    <x v="4"/>
    <m/>
  </r>
  <r>
    <n v="565"/>
    <n v="471"/>
    <n v="294"/>
    <n v="2"/>
    <n v="588"/>
    <d v="2023-07-05T00:00:00"/>
    <s v="Верный"/>
    <n v="370"/>
    <x v="4"/>
    <x v="4"/>
    <n v="250.48780487804879"/>
    <n v="0.17370983446932819"/>
    <n v="796"/>
    <n v="-0.6306532663316583"/>
    <d v="2022-06-14T00:00:00"/>
    <n v="386"/>
    <d v="2025-08-20T00:00:00"/>
    <x v="139"/>
    <x v="4"/>
    <m/>
  </r>
  <r>
    <n v="566"/>
    <n v="398"/>
    <n v="65"/>
    <n v="4"/>
    <n v="260"/>
    <d v="2023-05-09T00:00:00"/>
    <s v="Мосмарт"/>
    <n v="165"/>
    <x v="5"/>
    <x v="5"/>
    <n v="268.60344827586209"/>
    <n v="-0.75800757429873555"/>
    <n v="9023"/>
    <n v="-0.99279618752078025"/>
    <d v="2022-02-07T00:00:00"/>
    <n v="456"/>
    <d v="2025-08-20T00:00:00"/>
    <x v="87"/>
    <x v="4"/>
    <m/>
  </r>
  <r>
    <n v="567"/>
    <n v="395"/>
    <n v="454"/>
    <n v="5"/>
    <n v="2270"/>
    <d v="2023-12-18T00:00:00"/>
    <s v="Спар"/>
    <n v="147"/>
    <x v="1"/>
    <x v="63"/>
    <n v="264.8679245283019"/>
    <n v="0.71406183216982466"/>
    <n v="2843"/>
    <n v="-0.84030953218431237"/>
    <d v="2022-09-23T00:00:00"/>
    <n v="451"/>
    <d v="2025-08-20T00:00:00"/>
    <x v="42"/>
    <x v="2"/>
    <m/>
  </r>
  <r>
    <n v="568"/>
    <n v="424"/>
    <n v="472"/>
    <n v="3"/>
    <n v="1416"/>
    <d v="2024-05-11T00:00:00"/>
    <s v="О'кей"/>
    <n v="181"/>
    <x v="2"/>
    <x v="31"/>
    <n v="283.468085106383"/>
    <n v="0.66509044509494841"/>
    <n v="4200"/>
    <n v="-0.88761904761904764"/>
    <d v="2022-01-07T00:00:00"/>
    <n v="855"/>
    <d v="2025-08-20T00:00:00"/>
    <x v="55"/>
    <x v="3"/>
    <m/>
  </r>
  <r>
    <n v="142"/>
    <n v="112"/>
    <n v="351"/>
    <n v="3"/>
    <n v="1053"/>
    <d v="2024-03-17T00:00:00"/>
    <s v="Лента"/>
    <n v="419"/>
    <x v="15"/>
    <x v="58"/>
    <n v="294.95238095238096"/>
    <n v="0.60025831449790124"/>
    <n v="3548"/>
    <n v="-0.90107102593010147"/>
    <d v="2022-11-04T00:00:00"/>
    <n v="499"/>
    <d v="2025-08-20T00:00:00"/>
    <x v="157"/>
    <x v="4"/>
    <m/>
  </r>
  <r>
    <n v="570"/>
    <n v="346"/>
    <n v="390"/>
    <n v="5"/>
    <n v="1950"/>
    <d v="2024-04-20T00:00:00"/>
    <s v="Билла"/>
    <n v="10"/>
    <x v="8"/>
    <x v="8"/>
    <n v="271.18181818181819"/>
    <n v="0.43814951391216894"/>
    <n v="6412"/>
    <n v="-0.93917654398003747"/>
    <d v="2022-11-16T00:00:00"/>
    <n v="521"/>
    <d v="2025-08-20T00:00:00"/>
    <x v="40"/>
    <x v="3"/>
    <m/>
  </r>
  <r>
    <n v="571"/>
    <n v="132"/>
    <n v="497"/>
    <n v="4"/>
    <n v="1988"/>
    <d v="2023-03-02T00:00:00"/>
    <s v="Азбука Вкуса"/>
    <n v="364"/>
    <x v="6"/>
    <x v="6"/>
    <n v="258.5128205128205"/>
    <n v="0.92253521126760574"/>
    <n v="4431"/>
    <n v="-0.88783570300157977"/>
    <d v="2022-11-18T00:00:00"/>
    <n v="104"/>
    <d v="2025-08-20T00:00:00"/>
    <x v="101"/>
    <x v="2"/>
    <m/>
  </r>
  <r>
    <n v="572"/>
    <n v="17"/>
    <n v="363"/>
    <n v="4"/>
    <n v="1452"/>
    <d v="2023-09-22T00:00:00"/>
    <s v="Билла"/>
    <n v="277"/>
    <x v="7"/>
    <x v="7"/>
    <n v="249.02380952380952"/>
    <n v="0.45769193995601887"/>
    <n v="5248"/>
    <n v="-0.93083079268292679"/>
    <d v="2022-07-08T00:00:00"/>
    <n v="441"/>
    <d v="2025-08-20T00:00:00"/>
    <x v="1"/>
    <x v="2"/>
    <m/>
  </r>
  <r>
    <n v="573"/>
    <n v="63"/>
    <n v="251"/>
    <n v="1"/>
    <n v="251"/>
    <d v="2023-06-10T00:00:00"/>
    <s v="Метро"/>
    <n v="214"/>
    <x v="6"/>
    <x v="59"/>
    <n v="258.5128205128205"/>
    <n v="-2.9061694108311831E-2"/>
    <n v="2609"/>
    <n v="-0.90379455730164815"/>
    <d v="2022-02-09T00:00:00"/>
    <n v="486"/>
    <d v="2025-08-20T00:00:00"/>
    <x v="85"/>
    <x v="2"/>
    <m/>
  </r>
  <r>
    <n v="574"/>
    <n v="89"/>
    <n v="492"/>
    <n v="2"/>
    <n v="984"/>
    <d v="2023-01-09T00:00:00"/>
    <s v="Гиперглобус"/>
    <n v="402"/>
    <x v="17"/>
    <x v="27"/>
    <n v="267.85483870967744"/>
    <n v="0.83681580056602622"/>
    <n v="6053"/>
    <n v="-0.91871799107880392"/>
    <d v="2022-06-30T00:00:00"/>
    <n v="193"/>
    <d v="2025-08-20T00:00:00"/>
    <x v="205"/>
    <x v="0"/>
    <m/>
  </r>
  <r>
    <n v="575"/>
    <n v="260"/>
    <n v="449"/>
    <n v="1"/>
    <n v="449"/>
    <d v="2023-04-09T00:00:00"/>
    <s v="Магнит"/>
    <n v="490"/>
    <x v="1"/>
    <x v="13"/>
    <n v="264.8679245283019"/>
    <n v="0.69518449921641245"/>
    <n v="4171"/>
    <n v="-0.89235195396787337"/>
    <d v="2022-02-11T00:00:00"/>
    <n v="422"/>
    <d v="2025-08-20T00:00:00"/>
    <x v="16"/>
    <x v="2"/>
    <m/>
  </r>
  <r>
    <n v="576"/>
    <n v="27"/>
    <n v="193"/>
    <n v="1"/>
    <n v="193"/>
    <d v="2023-05-15T00:00:00"/>
    <s v="Мосмарт"/>
    <n v="151"/>
    <x v="3"/>
    <x v="16"/>
    <n v="265.47674418604652"/>
    <n v="-0.27300600061320135"/>
    <n v="10237"/>
    <n v="-0.98114682035752665"/>
    <d v="2022-12-28T00:00:00"/>
    <n v="138"/>
    <d v="2025-08-20T00:00:00"/>
    <x v="196"/>
    <x v="1"/>
    <m/>
  </r>
  <r>
    <n v="577"/>
    <n v="221"/>
    <n v="406"/>
    <n v="3"/>
    <n v="1218"/>
    <d v="2023-03-14T00:00:00"/>
    <s v="Азбука Вкуса"/>
    <n v="409"/>
    <x v="14"/>
    <x v="21"/>
    <n v="273.72549019607845"/>
    <n v="0.48323782234957013"/>
    <n v="5885"/>
    <n v="-0.93101104502973664"/>
    <d v="2022-11-04T00:00:00"/>
    <n v="130"/>
    <d v="2025-08-20T00:00:00"/>
    <x v="157"/>
    <x v="3"/>
    <m/>
  </r>
  <r>
    <n v="578"/>
    <n v="127"/>
    <n v="384"/>
    <n v="2"/>
    <n v="768"/>
    <d v="2023-03-25T00:00:00"/>
    <s v="Метро"/>
    <n v="348"/>
    <x v="4"/>
    <x v="74"/>
    <n v="250.48780487804879"/>
    <n v="0.53300876338851011"/>
    <n v="2080"/>
    <n v="-0.81538461538461537"/>
    <d v="2022-01-08T00:00:00"/>
    <n v="441"/>
    <d v="2025-08-20T00:00:00"/>
    <x v="220"/>
    <x v="3"/>
    <m/>
  </r>
  <r>
    <n v="579"/>
    <n v="464"/>
    <n v="356"/>
    <n v="4"/>
    <n v="1424"/>
    <d v="2023-04-15T00:00:00"/>
    <s v="Метро"/>
    <n v="255"/>
    <x v="11"/>
    <x v="46"/>
    <n v="261.03225806451616"/>
    <n v="0.36381611468116648"/>
    <n v="8943"/>
    <n v="-0.96019232919601927"/>
    <d v="2022-08-20T00:00:00"/>
    <n v="238"/>
    <d v="2025-08-20T00:00:00"/>
    <x v="126"/>
    <x v="3"/>
    <m/>
  </r>
  <r>
    <n v="580"/>
    <n v="426"/>
    <n v="438"/>
    <n v="1"/>
    <n v="438"/>
    <d v="2023-01-06T00:00:00"/>
    <s v="Городской Супермаркет"/>
    <n v="27"/>
    <x v="2"/>
    <x v="45"/>
    <n v="283.468085106383"/>
    <n v="0.54514748930421075"/>
    <n v="3538"/>
    <n v="-0.8762012436404748"/>
    <d v="2022-01-25T00:00:00"/>
    <n v="346"/>
    <d v="2025-08-20T00:00:00"/>
    <x v="214"/>
    <x v="3"/>
    <m/>
  </r>
  <r>
    <n v="581"/>
    <n v="224"/>
    <n v="232"/>
    <n v="5"/>
    <n v="1160"/>
    <d v="2024-02-10T00:00:00"/>
    <s v="Азбука Вкуса"/>
    <n v="219"/>
    <x v="14"/>
    <x v="21"/>
    <n v="273.72549019607845"/>
    <n v="-0.15243553008596"/>
    <n v="5885"/>
    <n v="-0.96057774001699237"/>
    <d v="2022-01-24T00:00:00"/>
    <n v="747"/>
    <d v="2025-08-20T00:00:00"/>
    <x v="73"/>
    <x v="4"/>
    <m/>
  </r>
  <r>
    <n v="582"/>
    <n v="198"/>
    <n v="383"/>
    <n v="2"/>
    <n v="766"/>
    <d v="2024-04-11T00:00:00"/>
    <s v="Карусель"/>
    <n v="272"/>
    <x v="10"/>
    <x v="15"/>
    <n v="271.74545454545455"/>
    <n v="0.40940719925063562"/>
    <n v="3799"/>
    <n v="-0.89918399578836539"/>
    <d v="2022-04-17T00:00:00"/>
    <n v="725"/>
    <d v="2025-08-20T00:00:00"/>
    <x v="102"/>
    <x v="4"/>
    <m/>
  </r>
  <r>
    <n v="583"/>
    <n v="233"/>
    <n v="419"/>
    <n v="5"/>
    <n v="2095"/>
    <d v="2024-01-13T00:00:00"/>
    <s v="Седьмой Континент"/>
    <n v="388"/>
    <x v="9"/>
    <x v="9"/>
    <n v="263.25423728813558"/>
    <n v="0.59161730620654129"/>
    <n v="5929"/>
    <n v="-0.92933040984989035"/>
    <d v="2022-01-20T00:00:00"/>
    <n v="723"/>
    <d v="2025-08-20T00:00:00"/>
    <x v="98"/>
    <x v="2"/>
    <m/>
  </r>
  <r>
    <n v="584"/>
    <n v="355"/>
    <n v="210"/>
    <n v="1"/>
    <n v="210"/>
    <d v="2023-10-14T00:00:00"/>
    <s v="Мираторг"/>
    <n v="446"/>
    <x v="7"/>
    <x v="7"/>
    <n v="249.02380952380952"/>
    <n v="-0.15670714217420401"/>
    <n v="5248"/>
    <n v="-0.95998475609756095"/>
    <d v="2022-04-20T00:00:00"/>
    <n v="542"/>
    <d v="2025-08-20T00:00:00"/>
    <x v="134"/>
    <x v="4"/>
    <m/>
  </r>
  <r>
    <n v="585"/>
    <n v="118"/>
    <n v="214"/>
    <n v="2"/>
    <n v="428"/>
    <d v="2023-05-12T00:00:00"/>
    <s v="Мираторг"/>
    <n v="138"/>
    <x v="0"/>
    <x v="0"/>
    <n v="254.58333333333334"/>
    <n v="-0.15941080196399349"/>
    <n v="5172"/>
    <n v="-0.95862335653518949"/>
    <d v="2022-06-11T00:00:00"/>
    <n v="335"/>
    <d v="2025-08-20T00:00:00"/>
    <x v="202"/>
    <x v="3"/>
    <m/>
  </r>
  <r>
    <n v="586"/>
    <n v="414"/>
    <n v="115"/>
    <n v="2"/>
    <n v="230"/>
    <d v="2023-06-17T00:00:00"/>
    <s v="Спар"/>
    <n v="402"/>
    <x v="12"/>
    <x v="18"/>
    <n v="274.16279069767444"/>
    <n v="-0.58054118245822384"/>
    <n v="4059"/>
    <n v="-0.97166789849716684"/>
    <d v="2022-06-30T00:00:00"/>
    <n v="352"/>
    <d v="2025-08-20T00:00:00"/>
    <x v="205"/>
    <x v="0"/>
    <m/>
  </r>
  <r>
    <n v="587"/>
    <n v="405"/>
    <n v="340"/>
    <n v="1"/>
    <n v="340"/>
    <d v="2023-10-14T00:00:00"/>
    <s v="Верный"/>
    <n v="351"/>
    <x v="16"/>
    <x v="50"/>
    <n v="300.31818181818181"/>
    <n v="0.1321325866505223"/>
    <n v="3974"/>
    <n v="-0.91444388525415199"/>
    <d v="2022-10-29T00:00:00"/>
    <n v="350"/>
    <d v="2025-08-20T00:00:00"/>
    <x v="69"/>
    <x v="2"/>
    <m/>
  </r>
  <r>
    <n v="588"/>
    <n v="313"/>
    <n v="392"/>
    <n v="5"/>
    <n v="1960"/>
    <d v="2023-07-02T00:00:00"/>
    <s v="Бристоль"/>
    <n v="40"/>
    <x v="17"/>
    <x v="35"/>
    <n v="267.85483870967744"/>
    <n v="0.46347925573553317"/>
    <n v="6757"/>
    <n v="-0.941986088500814"/>
    <d v="2022-10-21T00:00:00"/>
    <n v="254"/>
    <d v="2025-08-20T00:00:00"/>
    <x v="48"/>
    <x v="2"/>
    <m/>
  </r>
  <r>
    <n v="589"/>
    <n v="113"/>
    <n v="378"/>
    <n v="1"/>
    <n v="378"/>
    <d v="2023-12-17T00:00:00"/>
    <s v="Городской Супермаркет"/>
    <n v="19"/>
    <x v="5"/>
    <x v="28"/>
    <n v="268.60344827586209"/>
    <n v="0.4072790294627382"/>
    <n v="2671"/>
    <n v="-0.85847997004867094"/>
    <d v="2022-12-07T00:00:00"/>
    <n v="375"/>
    <d v="2025-08-20T00:00:00"/>
    <x v="189"/>
    <x v="2"/>
    <m/>
  </r>
  <r>
    <n v="663"/>
    <n v="151"/>
    <n v="496"/>
    <n v="3"/>
    <n v="1488"/>
    <d v="2023-09-12T00:00:00"/>
    <s v="О'кей"/>
    <n v="436"/>
    <x v="15"/>
    <x v="58"/>
    <n v="294.95238095238096"/>
    <n v="0.63416209234743293"/>
    <n v="3548"/>
    <n v="-0.86020293122886127"/>
    <d v="2022-05-02T00:00:00"/>
    <n v="498"/>
    <d v="2025-08-20T00:00:00"/>
    <x v="52"/>
    <x v="2"/>
    <m/>
  </r>
  <r>
    <n v="591"/>
    <n v="361"/>
    <n v="69"/>
    <n v="1"/>
    <n v="69"/>
    <d v="2023-04-05T00:00:00"/>
    <s v="Азбука Вкуса"/>
    <n v="355"/>
    <x v="10"/>
    <x v="12"/>
    <n v="271.74545454545455"/>
    <n v="-0.74608590927338425"/>
    <n v="3405"/>
    <n v="-0.97973568281938328"/>
    <d v="2022-03-11T00:00:00"/>
    <n v="390"/>
    <d v="2025-08-20T00:00:00"/>
    <x v="172"/>
    <x v="2"/>
    <m/>
  </r>
  <r>
    <n v="592"/>
    <n v="291"/>
    <n v="455"/>
    <n v="5"/>
    <n v="2275"/>
    <d v="2023-08-04T00:00:00"/>
    <s v="Лента"/>
    <n v="245"/>
    <x v="6"/>
    <x v="59"/>
    <n v="258.5128205128205"/>
    <n v="0.76006744693513206"/>
    <n v="2609"/>
    <n v="-0.82560367957071679"/>
    <d v="2022-05-14T00:00:00"/>
    <n v="447"/>
    <d v="2025-08-20T00:00:00"/>
    <x v="221"/>
    <x v="0"/>
    <m/>
  </r>
  <r>
    <n v="593"/>
    <n v="360"/>
    <n v="137"/>
    <n v="2"/>
    <n v="274"/>
    <d v="2024-01-27T00:00:00"/>
    <s v="О'кей"/>
    <n v="80"/>
    <x v="1"/>
    <x v="63"/>
    <n v="264.8679245283019"/>
    <n v="-0.48276107707650662"/>
    <n v="2843"/>
    <n v="-0.95181146676046424"/>
    <d v="2022-03-03T00:00:00"/>
    <n v="695"/>
    <d v="2025-08-20T00:00:00"/>
    <x v="124"/>
    <x v="1"/>
    <m/>
  </r>
  <r>
    <n v="594"/>
    <n v="182"/>
    <n v="152"/>
    <n v="3"/>
    <n v="456"/>
    <d v="2023-05-07T00:00:00"/>
    <s v="О'кей"/>
    <n v="466"/>
    <x v="1"/>
    <x v="13"/>
    <n v="264.8679245283019"/>
    <n v="-0.42612907821627011"/>
    <n v="4171"/>
    <n v="-0.96355789978422446"/>
    <d v="2022-07-30T00:00:00"/>
    <n v="281"/>
    <d v="2025-08-20T00:00:00"/>
    <x v="173"/>
    <x v="1"/>
    <m/>
  </r>
  <r>
    <n v="595"/>
    <n v="490"/>
    <n v="170"/>
    <n v="5"/>
    <n v="850"/>
    <d v="2023-05-12T00:00:00"/>
    <s v="Гиперглобус"/>
    <n v="317"/>
    <x v="11"/>
    <x v="46"/>
    <n v="261.03225806451616"/>
    <n v="-0.34873949579831942"/>
    <n v="8943"/>
    <n v="-0.98099071899809909"/>
    <d v="2022-07-28T00:00:00"/>
    <n v="288"/>
    <d v="2025-08-20T00:00:00"/>
    <x v="63"/>
    <x v="2"/>
    <m/>
  </r>
  <r>
    <n v="596"/>
    <n v="215"/>
    <n v="496"/>
    <n v="2"/>
    <n v="992"/>
    <d v="2024-04-22T00:00:00"/>
    <s v="Спар"/>
    <n v="342"/>
    <x v="5"/>
    <x v="5"/>
    <n v="268.60344827586209"/>
    <n v="0.84658835612041838"/>
    <n v="9023"/>
    <n v="-0.94502936938933835"/>
    <d v="2022-01-09T00:00:00"/>
    <n v="834"/>
    <d v="2025-08-20T00:00:00"/>
    <x v="82"/>
    <x v="4"/>
    <m/>
  </r>
  <r>
    <n v="597"/>
    <n v="137"/>
    <n v="411"/>
    <n v="1"/>
    <n v="411"/>
    <d v="2023-09-23T00:00:00"/>
    <s v="Азбука Вкуса"/>
    <n v="130"/>
    <x v="12"/>
    <x v="18"/>
    <n v="274.16279069767444"/>
    <n v="0.49910933921452183"/>
    <n v="4059"/>
    <n v="-0.8987435328898743"/>
    <d v="2022-10-29T00:00:00"/>
    <n v="329"/>
    <d v="2025-08-20T00:00:00"/>
    <x v="69"/>
    <x v="4"/>
    <m/>
  </r>
  <r>
    <n v="598"/>
    <n v="75"/>
    <n v="240"/>
    <n v="4"/>
    <n v="960"/>
    <d v="2023-08-10T00:00:00"/>
    <s v="О'кей"/>
    <n v="53"/>
    <x v="2"/>
    <x v="36"/>
    <n v="283.468085106383"/>
    <n v="-0.15334384147714486"/>
    <n v="3493"/>
    <n v="-0.93129115373604354"/>
    <d v="2022-02-01T00:00:00"/>
    <n v="555"/>
    <d v="2025-08-20T00:00:00"/>
    <x v="215"/>
    <x v="2"/>
    <m/>
  </r>
  <r>
    <n v="599"/>
    <n v="359"/>
    <n v="302"/>
    <n v="4"/>
    <n v="1208"/>
    <d v="2023-09-26T00:00:00"/>
    <s v="О'кей"/>
    <n v="122"/>
    <x v="10"/>
    <x v="15"/>
    <n v="271.74545454545455"/>
    <n v="0.11133413622373878"/>
    <n v="3799"/>
    <n v="-0.92050539615688343"/>
    <d v="2022-05-02T00:00:00"/>
    <n v="512"/>
    <d v="2025-08-20T00:00:00"/>
    <x v="52"/>
    <x v="1"/>
    <m/>
  </r>
  <r>
    <n v="600"/>
    <n v="364"/>
    <n v="138"/>
    <n v="4"/>
    <n v="552"/>
    <d v="2023-11-26T00:00:00"/>
    <s v="О'кей"/>
    <n v="199"/>
    <x v="0"/>
    <x v="44"/>
    <n v="254.58333333333334"/>
    <n v="-0.45793780687397712"/>
    <n v="4988"/>
    <n v="-0.97233360064153973"/>
    <d v="2022-06-03T00:00:00"/>
    <n v="541"/>
    <d v="2025-08-20T00:00:00"/>
    <x v="222"/>
    <x v="0"/>
    <m/>
  </r>
  <r>
    <n v="601"/>
    <n v="197"/>
    <n v="309"/>
    <n v="4"/>
    <n v="1236"/>
    <d v="2023-10-13T00:00:00"/>
    <s v="Мосмарт"/>
    <n v="52"/>
    <x v="2"/>
    <x v="2"/>
    <n v="283.468085106383"/>
    <n v="9.0069804098175998E-2"/>
    <n v="2092"/>
    <n v="-0.85229445506692159"/>
    <d v="2022-12-22T00:00:00"/>
    <n v="295"/>
    <d v="2025-08-20T00:00:00"/>
    <x v="116"/>
    <x v="2"/>
    <m/>
  </r>
  <r>
    <n v="602"/>
    <n v="157"/>
    <n v="473"/>
    <n v="5"/>
    <n v="2365"/>
    <d v="2023-03-27T00:00:00"/>
    <s v="О'кей"/>
    <n v="477"/>
    <x v="11"/>
    <x v="26"/>
    <n v="261.03225806451616"/>
    <n v="0.81203657933761719"/>
    <n v="3935"/>
    <n v="-0.8797966963151207"/>
    <d v="2022-06-26T00:00:00"/>
    <n v="274"/>
    <d v="2025-08-20T00:00:00"/>
    <x v="6"/>
    <x v="0"/>
    <m/>
  </r>
  <r>
    <n v="603"/>
    <n v="105"/>
    <n v="187"/>
    <n v="1"/>
    <n v="187"/>
    <d v="2023-04-22T00:00:00"/>
    <s v="Метро"/>
    <n v="24"/>
    <x v="12"/>
    <x v="49"/>
    <n v="274.16279069767444"/>
    <n v="-0.31792348799728565"/>
    <n v="2526"/>
    <n v="-0.9259699129057799"/>
    <d v="2022-02-17T00:00:00"/>
    <n v="429"/>
    <d v="2025-08-20T00:00:00"/>
    <x v="26"/>
    <x v="0"/>
    <m/>
  </r>
  <r>
    <n v="604"/>
    <n v="479"/>
    <n v="314"/>
    <n v="3"/>
    <n v="942"/>
    <d v="2024-05-17T00:00:00"/>
    <s v="Перекресток"/>
    <n v="293"/>
    <x v="4"/>
    <x v="54"/>
    <n v="250.48780487804879"/>
    <n v="0.25355404089581302"/>
    <n v="2229"/>
    <n v="-0.85912965455361145"/>
    <d v="2022-01-12T00:00:00"/>
    <n v="856"/>
    <d v="2025-08-20T00:00:00"/>
    <x v="95"/>
    <x v="1"/>
    <m/>
  </r>
  <r>
    <n v="605"/>
    <n v="285"/>
    <n v="122"/>
    <n v="5"/>
    <n v="610"/>
    <d v="2023-02-02T00:00:00"/>
    <s v="Гиперглобус"/>
    <n v="447"/>
    <x v="3"/>
    <x v="16"/>
    <n v="265.47674418604652"/>
    <n v="-0.5404493889886558"/>
    <n v="10237"/>
    <n v="-0.98808244602911011"/>
    <d v="2022-12-03T00:00:00"/>
    <n v="61"/>
    <d v="2025-08-20T00:00:00"/>
    <x v="223"/>
    <x v="4"/>
    <m/>
  </r>
  <r>
    <n v="606"/>
    <n v="93"/>
    <n v="184"/>
    <n v="2"/>
    <n v="368"/>
    <d v="2023-09-18T00:00:00"/>
    <s v="Метро"/>
    <n v="163"/>
    <x v="8"/>
    <x v="8"/>
    <n v="271.18181818181819"/>
    <n v="-0.32148843446195108"/>
    <n v="6412"/>
    <n v="-0.97130380536494076"/>
    <d v="2022-01-10T00:00:00"/>
    <n v="616"/>
    <d v="2025-08-20T00:00:00"/>
    <x v="224"/>
    <x v="0"/>
    <m/>
  </r>
  <r>
    <n v="607"/>
    <n v="199"/>
    <n v="172"/>
    <n v="3"/>
    <n v="516"/>
    <d v="2023-10-24T00:00:00"/>
    <s v="О'кей"/>
    <n v="421"/>
    <x v="3"/>
    <x v="3"/>
    <n v="265.47674418604652"/>
    <n v="-0.35210897463974422"/>
    <n v="6852"/>
    <n v="-0.97489784004670166"/>
    <d v="2022-02-28T00:00:00"/>
    <n v="603"/>
    <d v="2025-08-20T00:00:00"/>
    <x v="158"/>
    <x v="2"/>
    <m/>
  </r>
  <r>
    <n v="608"/>
    <n v="122"/>
    <n v="482"/>
    <n v="4"/>
    <n v="1928"/>
    <d v="2023-04-22T00:00:00"/>
    <s v="Ароматный Мир"/>
    <n v="320"/>
    <x v="12"/>
    <x v="49"/>
    <n v="274.16279069767444"/>
    <n v="0.75807956569683599"/>
    <n v="2526"/>
    <n v="-0.80918448139350752"/>
    <d v="2022-11-04T00:00:00"/>
    <n v="169"/>
    <d v="2025-08-20T00:00:00"/>
    <x v="157"/>
    <x v="1"/>
    <m/>
  </r>
  <r>
    <n v="609"/>
    <n v="415"/>
    <n v="350"/>
    <n v="1"/>
    <n v="350"/>
    <d v="2024-03-07T00:00:00"/>
    <s v="Бристоль"/>
    <n v="199"/>
    <x v="14"/>
    <x v="21"/>
    <n v="273.72549019607845"/>
    <n v="0.27865329512893977"/>
    <n v="5885"/>
    <n v="-0.94052676295666948"/>
    <d v="2022-06-03T00:00:00"/>
    <n v="643"/>
    <d v="2025-08-20T00:00:00"/>
    <x v="222"/>
    <x v="0"/>
    <m/>
  </r>
  <r>
    <n v="610"/>
    <n v="315"/>
    <n v="232"/>
    <n v="1"/>
    <n v="232"/>
    <d v="2023-01-03T00:00:00"/>
    <s v="Карусель"/>
    <n v="247"/>
    <x v="9"/>
    <x v="42"/>
    <n v="263.25423728813558"/>
    <n v="-0.11872263713623488"/>
    <n v="2871"/>
    <n v="-0.91919191919191923"/>
    <d v="2022-07-20T00:00:00"/>
    <n v="167"/>
    <d v="2025-08-20T00:00:00"/>
    <x v="75"/>
    <x v="0"/>
    <m/>
  </r>
  <r>
    <n v="611"/>
    <n v="25"/>
    <n v="222"/>
    <n v="1"/>
    <n v="222"/>
    <d v="2023-11-15T00:00:00"/>
    <s v="Верный"/>
    <n v="364"/>
    <x v="14"/>
    <x v="56"/>
    <n v="273.72549019607845"/>
    <n v="-0.18896848137535827"/>
    <n v="2902"/>
    <n v="-0.92350103376981396"/>
    <d v="2022-11-18T00:00:00"/>
    <n v="362"/>
    <d v="2025-08-20T00:00:00"/>
    <x v="101"/>
    <x v="2"/>
    <m/>
  </r>
  <r>
    <n v="612"/>
    <n v="207"/>
    <n v="152"/>
    <n v="3"/>
    <n v="456"/>
    <d v="2023-10-23T00:00:00"/>
    <s v="Верный"/>
    <n v="173"/>
    <x v="0"/>
    <x v="68"/>
    <n v="254.58333333333334"/>
    <n v="-0.40294599018003274"/>
    <n v="1511"/>
    <n v="-0.89940436796823298"/>
    <d v="2022-04-22T00:00:00"/>
    <n v="549"/>
    <d v="2025-08-20T00:00:00"/>
    <x v="107"/>
    <x v="2"/>
    <m/>
  </r>
  <r>
    <n v="613"/>
    <n v="180"/>
    <n v="284"/>
    <n v="1"/>
    <n v="284"/>
    <d v="2023-12-07T00:00:00"/>
    <s v="Дикси"/>
    <n v="485"/>
    <x v="14"/>
    <x v="56"/>
    <n v="273.72549019607845"/>
    <n v="3.7535816618911033E-2"/>
    <n v="2902"/>
    <n v="-0.90213645761543759"/>
    <d v="2022-06-11T00:00:00"/>
    <n v="544"/>
    <d v="2025-08-20T00:00:00"/>
    <x v="202"/>
    <x v="2"/>
    <m/>
  </r>
  <r>
    <n v="614"/>
    <n v="117"/>
    <n v="208"/>
    <n v="3"/>
    <n v="624"/>
    <d v="2024-04-15T00:00:00"/>
    <s v="Бристоль"/>
    <n v="401"/>
    <x v="3"/>
    <x v="29"/>
    <n v="265.47674418604652"/>
    <n v="-0.21650387630852785"/>
    <n v="2120"/>
    <n v="-0.90188679245283021"/>
    <d v="2022-10-22T00:00:00"/>
    <n v="541"/>
    <d v="2025-08-20T00:00:00"/>
    <x v="206"/>
    <x v="2"/>
    <m/>
  </r>
  <r>
    <n v="615"/>
    <n v="211"/>
    <n v="338"/>
    <n v="4"/>
    <n v="1352"/>
    <d v="2023-10-28T00:00:00"/>
    <s v="Верный"/>
    <n v="379"/>
    <x v="4"/>
    <x v="24"/>
    <n v="250.48780487804879"/>
    <n v="0.3493670886075948"/>
    <n v="5165"/>
    <n v="-0.93455953533397873"/>
    <d v="2022-01-20T00:00:00"/>
    <n v="646"/>
    <d v="2025-08-20T00:00:00"/>
    <x v="98"/>
    <x v="4"/>
    <m/>
  </r>
  <r>
    <n v="616"/>
    <n v="26"/>
    <n v="143"/>
    <n v="2"/>
    <n v="286"/>
    <d v="2024-04-15T00:00:00"/>
    <s v="О'кей"/>
    <n v="183"/>
    <x v="10"/>
    <x v="12"/>
    <n v="271.74545454545455"/>
    <n v="-0.47377224675498464"/>
    <n v="3405"/>
    <n v="-0.95800293685756244"/>
    <d v="2022-12-05T00:00:00"/>
    <n v="497"/>
    <d v="2025-08-20T00:00:00"/>
    <x v="43"/>
    <x v="4"/>
    <m/>
  </r>
  <r>
    <n v="617"/>
    <n v="22"/>
    <n v="217"/>
    <n v="3"/>
    <n v="651"/>
    <d v="2023-06-17T00:00:00"/>
    <s v="Билла"/>
    <n v="37"/>
    <x v="17"/>
    <x v="35"/>
    <n v="267.85483870967744"/>
    <n v="-0.18985969771782985"/>
    <n v="6757"/>
    <n v="-0.9678851561343792"/>
    <d v="2022-06-16T00:00:00"/>
    <n v="366"/>
    <d v="2025-08-20T00:00:00"/>
    <x v="21"/>
    <x v="3"/>
    <m/>
  </r>
  <r>
    <n v="618"/>
    <n v="150"/>
    <n v="347"/>
    <n v="3"/>
    <n v="1041"/>
    <d v="2023-02-22T00:00:00"/>
    <s v="Городской Супермаркет"/>
    <n v="201"/>
    <x v="6"/>
    <x v="6"/>
    <n v="258.5128205128205"/>
    <n v="0.34229319579448525"/>
    <n v="4431"/>
    <n v="-0.92168810652222977"/>
    <d v="2022-10-09T00:00:00"/>
    <n v="136"/>
    <d v="2025-08-20T00:00:00"/>
    <x v="225"/>
    <x v="4"/>
    <m/>
  </r>
  <r>
    <n v="619"/>
    <n v="268"/>
    <n v="55"/>
    <n v="2"/>
    <n v="110"/>
    <d v="2023-10-14T00:00:00"/>
    <s v="Метро"/>
    <n v="424"/>
    <x v="13"/>
    <x v="34"/>
    <n v="258.375"/>
    <n v="-0.78713110788582485"/>
    <n v="1271"/>
    <n v="-0.95672698662470501"/>
    <d v="2022-01-24T00:00:00"/>
    <n v="628"/>
    <d v="2025-08-20T00:00:00"/>
    <x v="73"/>
    <x v="2"/>
    <m/>
  </r>
  <r>
    <n v="620"/>
    <n v="67"/>
    <n v="142"/>
    <n v="4"/>
    <n v="568"/>
    <d v="2023-11-26T00:00:00"/>
    <s v="Бристоль"/>
    <n v="69"/>
    <x v="9"/>
    <x v="42"/>
    <n v="263.25423728813558"/>
    <n v="-0.46059747617821267"/>
    <n v="2871"/>
    <n v="-0.95053988157436431"/>
    <d v="2022-01-26T00:00:00"/>
    <n v="669"/>
    <d v="2025-08-20T00:00:00"/>
    <x v="146"/>
    <x v="4"/>
    <m/>
  </r>
  <r>
    <n v="621"/>
    <n v="453"/>
    <n v="459"/>
    <n v="1"/>
    <n v="459"/>
    <d v="2023-07-29T00:00:00"/>
    <s v="Мосмарт"/>
    <n v="498"/>
    <x v="3"/>
    <x v="19"/>
    <n v="265.47674418604652"/>
    <n v="0.72896500372300821"/>
    <n v="3622"/>
    <n v="-0.87327443401435667"/>
    <d v="2022-06-09T00:00:00"/>
    <n v="415"/>
    <d v="2025-08-20T00:00:00"/>
    <x v="226"/>
    <x v="3"/>
    <m/>
  </r>
  <r>
    <n v="622"/>
    <n v="191"/>
    <n v="58"/>
    <n v="1"/>
    <n v="58"/>
    <d v="2023-02-24T00:00:00"/>
    <s v="Метро"/>
    <n v="237"/>
    <x v="19"/>
    <x v="40"/>
    <n v="286.92307692307691"/>
    <n v="-0.79785522788203755"/>
    <n v="3283"/>
    <n v="-0.98233323180018273"/>
    <d v="2022-11-21T00:00:00"/>
    <n v="95"/>
    <d v="2025-08-20T00:00:00"/>
    <x v="133"/>
    <x v="2"/>
    <m/>
  </r>
  <r>
    <n v="623"/>
    <n v="49"/>
    <n v="465"/>
    <n v="2"/>
    <n v="930"/>
    <d v="2023-08-12T00:00:00"/>
    <s v="Городской Супермаркет"/>
    <n v="365"/>
    <x v="13"/>
    <x v="30"/>
    <n v="258.375"/>
    <n v="0.79970972423802622"/>
    <n v="2225"/>
    <n v="-0.79101123595505618"/>
    <d v="2022-10-07T00:00:00"/>
    <n v="309"/>
    <d v="2025-08-20T00:00:00"/>
    <x v="71"/>
    <x v="1"/>
    <m/>
  </r>
  <r>
    <n v="624"/>
    <n v="313"/>
    <n v="152"/>
    <n v="1"/>
    <n v="152"/>
    <d v="2023-03-29T00:00:00"/>
    <s v="Перекресток"/>
    <n v="127"/>
    <x v="17"/>
    <x v="35"/>
    <n v="267.85483870967744"/>
    <n v="-0.43252845185765043"/>
    <n v="6757"/>
    <n v="-0.97750480982684618"/>
    <d v="2022-12-19T00:00:00"/>
    <n v="100"/>
    <d v="2025-08-20T00:00:00"/>
    <x v="131"/>
    <x v="3"/>
    <m/>
  </r>
  <r>
    <n v="625"/>
    <n v="245"/>
    <n v="144"/>
    <n v="4"/>
    <n v="576"/>
    <d v="2023-10-07T00:00:00"/>
    <s v="Ароматный Мир"/>
    <n v="314"/>
    <x v="0"/>
    <x v="0"/>
    <n v="254.58333333333334"/>
    <n v="-0.43436988543371524"/>
    <n v="5172"/>
    <n v="-0.9721577726218098"/>
    <d v="2022-12-04T00:00:00"/>
    <n v="307"/>
    <d v="2025-08-20T00:00:00"/>
    <x v="194"/>
    <x v="2"/>
    <m/>
  </r>
  <r>
    <n v="626"/>
    <n v="194"/>
    <n v="478"/>
    <n v="3"/>
    <n v="1434"/>
    <d v="2023-02-03T00:00:00"/>
    <s v="Перекресток"/>
    <n v="403"/>
    <x v="1"/>
    <x v="69"/>
    <n v="264.8679245283019"/>
    <n v="0.80467303034620308"/>
    <n v="2737"/>
    <n v="-0.825356229448301"/>
    <d v="2022-02-02T00:00:00"/>
    <n v="366"/>
    <d v="2025-08-20T00:00:00"/>
    <x v="227"/>
    <x v="2"/>
    <m/>
  </r>
  <r>
    <n v="627"/>
    <n v="154"/>
    <n v="75"/>
    <n v="1"/>
    <n v="75"/>
    <d v="2024-03-27T00:00:00"/>
    <s v="Мираторг"/>
    <n v="255"/>
    <x v="4"/>
    <x v="4"/>
    <n v="250.48780487804879"/>
    <n v="-0.70058422590068159"/>
    <n v="796"/>
    <n v="-0.90577889447236182"/>
    <d v="2022-08-20T00:00:00"/>
    <n v="585"/>
    <d v="2025-08-20T00:00:00"/>
    <x v="126"/>
    <x v="3"/>
    <m/>
  </r>
  <r>
    <n v="628"/>
    <n v="462"/>
    <n v="147"/>
    <n v="5"/>
    <n v="735"/>
    <d v="2023-07-06T00:00:00"/>
    <s v="Ароматный Мир"/>
    <n v="229"/>
    <x v="13"/>
    <x v="20"/>
    <n v="258.375"/>
    <n v="-0.43105950653120462"/>
    <n v="4585"/>
    <n v="-0.96793893129770991"/>
    <d v="2022-07-24T00:00:00"/>
    <n v="347"/>
    <d v="2025-08-20T00:00:00"/>
    <x v="45"/>
    <x v="1"/>
    <m/>
  </r>
  <r>
    <n v="629"/>
    <n v="310"/>
    <n v="404"/>
    <n v="4"/>
    <n v="1616"/>
    <d v="2023-04-15T00:00:00"/>
    <s v="Верный"/>
    <n v="179"/>
    <x v="3"/>
    <x v="16"/>
    <n v="265.47674418604652"/>
    <n v="0.52179054793920554"/>
    <n v="10237"/>
    <n v="-0.96053531308000395"/>
    <d v="2022-09-29T00:00:00"/>
    <n v="198"/>
    <d v="2025-08-20T00:00:00"/>
    <x v="34"/>
    <x v="2"/>
    <m/>
  </r>
  <r>
    <n v="630"/>
    <n v="422"/>
    <n v="361"/>
    <n v="1"/>
    <n v="361"/>
    <d v="2024-03-10T00:00:00"/>
    <s v="Мосмарт"/>
    <n v="277"/>
    <x v="7"/>
    <x v="57"/>
    <n v="249.02380952380952"/>
    <n v="0.4496605794052968"/>
    <n v="2569"/>
    <n v="-0.85947839626313738"/>
    <d v="2022-07-08T00:00:00"/>
    <n v="611"/>
    <d v="2025-08-20T00:00:00"/>
    <x v="1"/>
    <x v="2"/>
    <m/>
  </r>
  <r>
    <n v="631"/>
    <n v="453"/>
    <n v="404"/>
    <n v="5"/>
    <n v="2020"/>
    <d v="2023-07-01T00:00:00"/>
    <s v="Бристоль"/>
    <n v="460"/>
    <x v="3"/>
    <x v="19"/>
    <n v="265.47674418604652"/>
    <n v="0.52179054793920554"/>
    <n v="3622"/>
    <n v="-0.8884594146880177"/>
    <d v="2022-09-17T00:00:00"/>
    <n v="287"/>
    <d v="2025-08-20T00:00:00"/>
    <x v="86"/>
    <x v="2"/>
    <m/>
  </r>
  <r>
    <n v="632"/>
    <n v="337"/>
    <n v="132"/>
    <n v="3"/>
    <n v="396"/>
    <d v="2023-03-18T00:00:00"/>
    <s v="Ашан"/>
    <n v="434"/>
    <x v="3"/>
    <x v="16"/>
    <n v="265.47674418604652"/>
    <n v="-0.50278130611887351"/>
    <n v="10237"/>
    <n v="-0.98710559734297154"/>
    <d v="2022-06-18T00:00:00"/>
    <n v="273"/>
    <d v="2025-08-20T00:00:00"/>
    <x v="114"/>
    <x v="3"/>
    <m/>
  </r>
  <r>
    <n v="633"/>
    <n v="258"/>
    <n v="333"/>
    <n v="4"/>
    <n v="1332"/>
    <d v="2023-04-02T00:00:00"/>
    <s v="Верный"/>
    <n v="62"/>
    <x v="6"/>
    <x v="25"/>
    <n v="258.5128205128205"/>
    <n v="0.28813727435032743"/>
    <n v="2164"/>
    <n v="-0.84611829944547134"/>
    <d v="2022-04-20T00:00:00"/>
    <n v="347"/>
    <d v="2025-08-20T00:00:00"/>
    <x v="134"/>
    <x v="2"/>
    <m/>
  </r>
  <r>
    <n v="634"/>
    <n v="111"/>
    <n v="420"/>
    <n v="1"/>
    <n v="420"/>
    <d v="2024-01-04T00:00:00"/>
    <s v="Дикси"/>
    <n v="13"/>
    <x v="0"/>
    <x v="11"/>
    <n v="254.58333333333334"/>
    <n v="0.64975450081833053"/>
    <n v="3604"/>
    <n v="-0.8834628190899001"/>
    <d v="2022-06-12T00:00:00"/>
    <n v="571"/>
    <d v="2025-08-20T00:00:00"/>
    <x v="156"/>
    <x v="2"/>
    <m/>
  </r>
  <r>
    <n v="635"/>
    <n v="4"/>
    <n v="151"/>
    <n v="4"/>
    <n v="604"/>
    <d v="2023-12-26T00:00:00"/>
    <s v="Лента"/>
    <n v="116"/>
    <x v="13"/>
    <x v="20"/>
    <n v="258.375"/>
    <n v="-0.41557813255926468"/>
    <n v="4585"/>
    <n v="-0.96706652126499459"/>
    <d v="2022-03-23T00:00:00"/>
    <n v="643"/>
    <d v="2025-08-20T00:00:00"/>
    <x v="3"/>
    <x v="2"/>
    <m/>
  </r>
  <r>
    <n v="636"/>
    <n v="266"/>
    <n v="141"/>
    <n v="5"/>
    <n v="705"/>
    <d v="2023-09-05T00:00:00"/>
    <s v="Верный"/>
    <n v="50"/>
    <x v="6"/>
    <x v="6"/>
    <n v="258.5128205128205"/>
    <n v="-0.45457250545526673"/>
    <n v="4431"/>
    <n v="-0.96817874069058907"/>
    <d v="2022-01-15T00:00:00"/>
    <n v="598"/>
    <d v="2025-08-20T00:00:00"/>
    <x v="99"/>
    <x v="0"/>
    <m/>
  </r>
  <r>
    <n v="637"/>
    <n v="143"/>
    <n v="339"/>
    <n v="1"/>
    <n v="339"/>
    <d v="2023-03-28T00:00:00"/>
    <s v="Верный"/>
    <n v="197"/>
    <x v="0"/>
    <x v="68"/>
    <n v="254.58333333333334"/>
    <n v="0.33158756137479539"/>
    <n v="1511"/>
    <n v="-0.77564526803441436"/>
    <d v="2022-08-12T00:00:00"/>
    <n v="228"/>
    <d v="2025-08-20T00:00:00"/>
    <x v="228"/>
    <x v="3"/>
    <m/>
  </r>
  <r>
    <n v="638"/>
    <n v="475"/>
    <n v="206"/>
    <n v="3"/>
    <n v="618"/>
    <d v="2024-05-12T00:00:00"/>
    <s v="Метро"/>
    <n v="243"/>
    <x v="16"/>
    <x v="55"/>
    <n v="300.31818181818181"/>
    <n v="-0.31406084455880123"/>
    <n v="3166"/>
    <n v="-0.93493367024636764"/>
    <d v="2022-04-30T00:00:00"/>
    <n v="743"/>
    <d v="2025-08-20T00:00:00"/>
    <x v="229"/>
    <x v="2"/>
    <m/>
  </r>
  <r>
    <n v="639"/>
    <n v="52"/>
    <n v="105"/>
    <n v="2"/>
    <n v="210"/>
    <d v="2023-11-02T00:00:00"/>
    <s v="Бристоль"/>
    <n v="275"/>
    <x v="1"/>
    <x v="1"/>
    <n v="264.8679245283019"/>
    <n v="-0.60357600797834454"/>
    <n v="4287"/>
    <n v="-0.97550734779566128"/>
    <d v="2022-03-31T00:00:00"/>
    <n v="581"/>
    <d v="2025-08-20T00:00:00"/>
    <x v="138"/>
    <x v="4"/>
    <m/>
  </r>
  <r>
    <n v="640"/>
    <n v="47"/>
    <n v="356"/>
    <n v="3"/>
    <n v="1068"/>
    <d v="2023-12-28T00:00:00"/>
    <s v="Мосмарт"/>
    <n v="45"/>
    <x v="10"/>
    <x v="37"/>
    <n v="271.74545454545455"/>
    <n v="0.31004951157500327"/>
    <n v="4630"/>
    <n v="-0.92311015118790496"/>
    <d v="2022-04-11T00:00:00"/>
    <n v="626"/>
    <d v="2025-08-20T00:00:00"/>
    <x v="184"/>
    <x v="0"/>
    <m/>
  </r>
  <r>
    <n v="641"/>
    <n v="122"/>
    <n v="240"/>
    <n v="1"/>
    <n v="240"/>
    <d v="2023-02-04T00:00:00"/>
    <s v="Дикси"/>
    <n v="419"/>
    <x v="12"/>
    <x v="49"/>
    <n v="274.16279069767444"/>
    <n v="-0.12460768513020615"/>
    <n v="2526"/>
    <n v="-0.90498812351543945"/>
    <d v="2022-11-04T00:00:00"/>
    <n v="92"/>
    <d v="2025-08-20T00:00:00"/>
    <x v="157"/>
    <x v="4"/>
    <m/>
  </r>
  <r>
    <n v="642"/>
    <n v="422"/>
    <n v="290"/>
    <n v="5"/>
    <n v="1450"/>
    <d v="2024-01-01T00:00:00"/>
    <s v="Спар"/>
    <n v="125"/>
    <x v="7"/>
    <x v="57"/>
    <n v="249.02380952380952"/>
    <n v="0.16454727985467055"/>
    <n v="2569"/>
    <n v="-0.88711560918645382"/>
    <d v="2022-05-20T00:00:00"/>
    <n v="591"/>
    <d v="2025-08-20T00:00:00"/>
    <x v="120"/>
    <x v="2"/>
    <m/>
  </r>
  <r>
    <n v="643"/>
    <n v="479"/>
    <n v="405"/>
    <n v="4"/>
    <n v="1620"/>
    <d v="2024-01-11T00:00:00"/>
    <s v="Метро"/>
    <n v="242"/>
    <x v="4"/>
    <x v="54"/>
    <n v="250.48780487804879"/>
    <n v="0.61684518013631928"/>
    <n v="2229"/>
    <n v="-0.81830417227456254"/>
    <d v="2022-07-05T00:00:00"/>
    <n v="555"/>
    <d v="2025-08-20T00:00:00"/>
    <x v="0"/>
    <x v="2"/>
    <m/>
  </r>
  <r>
    <n v="644"/>
    <n v="99"/>
    <n v="281"/>
    <n v="5"/>
    <n v="1405"/>
    <d v="2023-08-01T00:00:00"/>
    <s v="Мосмарт"/>
    <n v="329"/>
    <x v="4"/>
    <x v="74"/>
    <n v="250.48780487804879"/>
    <n v="0.12181110029211295"/>
    <n v="2080"/>
    <n v="-0.86490384615384619"/>
    <d v="2022-04-02T00:00:00"/>
    <n v="486"/>
    <d v="2025-08-20T00:00:00"/>
    <x v="23"/>
    <x v="1"/>
    <m/>
  </r>
  <r>
    <n v="645"/>
    <n v="272"/>
    <n v="207"/>
    <n v="5"/>
    <n v="1035"/>
    <d v="2023-05-28T00:00:00"/>
    <s v="Азбука Вкуса"/>
    <n v="42"/>
    <x v="18"/>
    <x v="72"/>
    <n v="255.11627906976744"/>
    <n v="-0.18860528714676394"/>
    <n v="2773"/>
    <n v="-0.92535160476018752"/>
    <d v="2022-08-10T00:00:00"/>
    <n v="291"/>
    <d v="2025-08-20T00:00:00"/>
    <x v="61"/>
    <x v="4"/>
    <m/>
  </r>
  <r>
    <n v="646"/>
    <n v="493"/>
    <n v="378"/>
    <n v="2"/>
    <n v="756"/>
    <d v="2024-02-02T00:00:00"/>
    <s v="О'кей"/>
    <n v="229"/>
    <x v="4"/>
    <x v="24"/>
    <n v="250.48780487804879"/>
    <n v="0.50905550146056466"/>
    <n v="5165"/>
    <n v="-0.92681510164569214"/>
    <d v="2022-07-24T00:00:00"/>
    <n v="558"/>
    <d v="2025-08-20T00:00:00"/>
    <x v="45"/>
    <x v="1"/>
    <m/>
  </r>
  <r>
    <n v="647"/>
    <n v="360"/>
    <n v="120"/>
    <n v="2"/>
    <n v="240"/>
    <d v="2023-02-03T00:00:00"/>
    <s v="Азбука Вкуса"/>
    <n v="306"/>
    <x v="1"/>
    <x v="63"/>
    <n v="264.8679245283019"/>
    <n v="-0.54694400911810803"/>
    <n v="2843"/>
    <n v="-0.95779106577558915"/>
    <d v="2022-11-07T00:00:00"/>
    <n v="88"/>
    <d v="2025-08-20T00:00:00"/>
    <x v="201"/>
    <x v="3"/>
    <m/>
  </r>
  <r>
    <n v="648"/>
    <n v="215"/>
    <n v="440"/>
    <n v="2"/>
    <n v="880"/>
    <d v="2024-03-30T00:00:00"/>
    <s v="Лента"/>
    <n v="292"/>
    <x v="5"/>
    <x v="5"/>
    <n v="268.60344827586209"/>
    <n v="0.63810257397779058"/>
    <n v="9023"/>
    <n v="-0.95123573090989688"/>
    <d v="2022-02-16T00:00:00"/>
    <n v="773"/>
    <d v="2025-08-20T00:00:00"/>
    <x v="41"/>
    <x v="2"/>
    <m/>
  </r>
  <r>
    <n v="649"/>
    <n v="292"/>
    <n v="327"/>
    <n v="5"/>
    <n v="1635"/>
    <d v="2023-04-22T00:00:00"/>
    <s v="Билла"/>
    <n v="275"/>
    <x v="19"/>
    <x v="41"/>
    <n v="286.92307692307691"/>
    <n v="0.13967828418230566"/>
    <n v="2814"/>
    <n v="-0.88379530916844351"/>
    <d v="2022-03-31T00:00:00"/>
    <n v="387"/>
    <d v="2025-08-20T00:00:00"/>
    <x v="138"/>
    <x v="4"/>
    <m/>
  </r>
  <r>
    <n v="650"/>
    <n v="307"/>
    <n v="407"/>
    <n v="1"/>
    <n v="407"/>
    <d v="2023-01-24T00:00:00"/>
    <s v="Билла"/>
    <n v="103"/>
    <x v="11"/>
    <x v="17"/>
    <n v="261.03225806451616"/>
    <n v="0.55919426594167065"/>
    <n v="2802"/>
    <n v="-0.85474660956459669"/>
    <d v="2022-08-14T00:00:00"/>
    <n v="163"/>
    <d v="2025-08-20T00:00:00"/>
    <x v="132"/>
    <x v="0"/>
    <m/>
  </r>
  <r>
    <n v="651"/>
    <n v="473"/>
    <n v="343"/>
    <n v="5"/>
    <n v="1715"/>
    <d v="2023-06-09T00:00:00"/>
    <s v="Верный"/>
    <n v="460"/>
    <x v="16"/>
    <x v="23"/>
    <n v="300.31818181818181"/>
    <n v="0.14212199182685037"/>
    <n v="4226"/>
    <n v="-0.91883577851396114"/>
    <d v="2022-09-17T00:00:00"/>
    <n v="265"/>
    <d v="2025-08-20T00:00:00"/>
    <x v="86"/>
    <x v="2"/>
    <m/>
  </r>
  <r>
    <n v="864"/>
    <n v="369"/>
    <n v="206"/>
    <n v="4"/>
    <n v="824"/>
    <d v="2023-07-25T00:00:00"/>
    <s v="Гиперглобус"/>
    <n v="346"/>
    <x v="15"/>
    <x v="65"/>
    <n v="294.95238095238096"/>
    <n v="0.28495318049725538"/>
    <n v="4946"/>
    <n v="-0.95835018196522448"/>
    <d v="2022-03-16T00:00:00"/>
    <n v="496"/>
    <d v="2025-08-20T00:00:00"/>
    <x v="58"/>
    <x v="2"/>
    <m/>
  </r>
  <r>
    <n v="653"/>
    <n v="131"/>
    <n v="116"/>
    <n v="5"/>
    <n v="580"/>
    <d v="2023-09-15T00:00:00"/>
    <s v="Дикси"/>
    <n v="246"/>
    <x v="5"/>
    <x v="32"/>
    <n v="268.60344827586209"/>
    <n v="-0.568136594133128"/>
    <n v="2796"/>
    <n v="-0.9585121602288984"/>
    <d v="2022-09-01T00:00:00"/>
    <n v="379"/>
    <d v="2025-08-20T00:00:00"/>
    <x v="180"/>
    <x v="0"/>
    <m/>
  </r>
  <r>
    <n v="654"/>
    <n v="230"/>
    <n v="453"/>
    <n v="3"/>
    <n v="1359"/>
    <d v="2024-02-02T00:00:00"/>
    <s v="Азбука Вкуса"/>
    <n v="175"/>
    <x v="5"/>
    <x v="5"/>
    <n v="268.60344827586209"/>
    <n v="0.68650105911804338"/>
    <n v="9023"/>
    <n v="-0.94979496841405298"/>
    <d v="2022-01-04T00:00:00"/>
    <n v="759"/>
    <d v="2025-08-20T00:00:00"/>
    <x v="127"/>
    <x v="2"/>
    <m/>
  </r>
  <r>
    <n v="655"/>
    <n v="39"/>
    <n v="375"/>
    <n v="2"/>
    <n v="750"/>
    <d v="2023-12-29T00:00:00"/>
    <s v="О'кей"/>
    <n v="366"/>
    <x v="11"/>
    <x v="46"/>
    <n v="261.03225806451616"/>
    <n v="0.43660405338606023"/>
    <n v="8943"/>
    <n v="-0.95806776249580672"/>
    <d v="2022-09-23T00:00:00"/>
    <n v="462"/>
    <d v="2025-08-20T00:00:00"/>
    <x v="42"/>
    <x v="0"/>
    <m/>
  </r>
  <r>
    <n v="656"/>
    <n v="481"/>
    <n v="374"/>
    <n v="5"/>
    <n v="1870"/>
    <d v="2023-06-22T00:00:00"/>
    <s v="О'кей"/>
    <n v="254"/>
    <x v="14"/>
    <x v="21"/>
    <n v="273.72549019607845"/>
    <n v="0.36633237822349551"/>
    <n v="5885"/>
    <n v="-0.93644859813084114"/>
    <d v="2022-10-28T00:00:00"/>
    <n v="237"/>
    <d v="2025-08-20T00:00:00"/>
    <x v="195"/>
    <x v="1"/>
    <m/>
  </r>
  <r>
    <n v="657"/>
    <n v="438"/>
    <n v="81"/>
    <n v="4"/>
    <n v="324"/>
    <d v="2023-12-12T00:00:00"/>
    <s v="Магнит"/>
    <n v="79"/>
    <x v="7"/>
    <x v="57"/>
    <n v="249.02380952380952"/>
    <n v="-0.67472989769576441"/>
    <n v="2569"/>
    <n v="-0.96847022187621645"/>
    <d v="2022-06-04T00:00:00"/>
    <n v="556"/>
    <d v="2025-08-20T00:00:00"/>
    <x v="109"/>
    <x v="4"/>
    <m/>
  </r>
  <r>
    <n v="658"/>
    <n v="316"/>
    <n v="428"/>
    <n v="3"/>
    <n v="1284"/>
    <d v="2024-04-05T00:00:00"/>
    <s v="Спар"/>
    <n v="70"/>
    <x v="3"/>
    <x v="3"/>
    <n v="265.47674418604652"/>
    <n v="0.61219394682668304"/>
    <n v="6852"/>
    <n v="-0.9375364856976065"/>
    <d v="2022-01-30T00:00:00"/>
    <n v="796"/>
    <d v="2025-08-20T00:00:00"/>
    <x v="230"/>
    <x v="3"/>
    <m/>
  </r>
  <r>
    <n v="659"/>
    <n v="174"/>
    <n v="456"/>
    <n v="3"/>
    <n v="1368"/>
    <d v="2023-12-22T00:00:00"/>
    <s v="Ароматный Мир"/>
    <n v="76"/>
    <x v="8"/>
    <x v="51"/>
    <n v="271.18181818181819"/>
    <n v="0.68152866242038224"/>
    <n v="2433"/>
    <n v="-0.81257706535141794"/>
    <d v="2022-01-14T00:00:00"/>
    <n v="707"/>
    <d v="2025-08-20T00:00:00"/>
    <x v="179"/>
    <x v="1"/>
    <m/>
  </r>
  <r>
    <n v="660"/>
    <n v="228"/>
    <n v="247"/>
    <n v="4"/>
    <n v="988"/>
    <d v="2024-05-03T00:00:00"/>
    <s v="Метро"/>
    <n v="147"/>
    <x v="13"/>
    <x v="34"/>
    <n v="258.375"/>
    <n v="-4.4025157232704393E-2"/>
    <n v="1271"/>
    <n v="-0.8056648308418568"/>
    <d v="2022-09-23T00:00:00"/>
    <n v="588"/>
    <d v="2025-08-20T00:00:00"/>
    <x v="42"/>
    <x v="2"/>
    <m/>
  </r>
  <r>
    <n v="661"/>
    <n v="269"/>
    <n v="455"/>
    <n v="5"/>
    <n v="2275"/>
    <d v="2023-06-27T00:00:00"/>
    <s v="Верный"/>
    <n v="345"/>
    <x v="0"/>
    <x v="44"/>
    <n v="254.58333333333334"/>
    <n v="0.7872340425531914"/>
    <n v="4988"/>
    <n v="-0.9087810745789896"/>
    <d v="2022-05-24T00:00:00"/>
    <n v="399"/>
    <d v="2025-08-20T00:00:00"/>
    <x v="178"/>
    <x v="1"/>
    <m/>
  </r>
  <r>
    <n v="662"/>
    <n v="461"/>
    <n v="388"/>
    <n v="4"/>
    <n v="1552"/>
    <d v="2024-01-02T00:00:00"/>
    <s v="Пятерочка"/>
    <n v="303"/>
    <x v="12"/>
    <x v="75"/>
    <n v="274.16279069767444"/>
    <n v="0.41521757570616669"/>
    <n v="1846"/>
    <n v="-0.78981581798483202"/>
    <d v="2022-05-08T00:00:00"/>
    <n v="604"/>
    <d v="2025-08-20T00:00:00"/>
    <x v="24"/>
    <x v="0"/>
    <m/>
  </r>
  <r>
    <n v="499"/>
    <n v="396"/>
    <n v="482"/>
    <n v="2"/>
    <n v="964"/>
    <d v="2024-04-26T00:00:00"/>
    <s v="Билла"/>
    <n v="362"/>
    <x v="15"/>
    <x v="65"/>
    <n v="294.95238095238096"/>
    <n v="-0.21004197610590902"/>
    <n v="4946"/>
    <n v="-0.90254751314193293"/>
    <d v="2022-12-21T00:00:00"/>
    <n v="492"/>
    <d v="2025-08-20T00:00:00"/>
    <x v="97"/>
    <x v="2"/>
    <m/>
  </r>
  <r>
    <n v="664"/>
    <n v="386"/>
    <n v="295"/>
    <n v="3"/>
    <n v="885"/>
    <d v="2023-09-25T00:00:00"/>
    <s v="Метро"/>
    <n v="25"/>
    <x v="18"/>
    <x v="67"/>
    <n v="255.11627906976744"/>
    <n v="0.15633546034639934"/>
    <n v="3023"/>
    <n v="-0.9024148197155144"/>
    <d v="2022-01-21T00:00:00"/>
    <n v="612"/>
    <d v="2025-08-20T00:00:00"/>
    <x v="5"/>
    <x v="4"/>
    <m/>
  </r>
  <r>
    <n v="665"/>
    <n v="452"/>
    <n v="226"/>
    <n v="4"/>
    <n v="904"/>
    <d v="2023-08-15T00:00:00"/>
    <s v="Азбука Вкуса"/>
    <n v="33"/>
    <x v="12"/>
    <x v="18"/>
    <n v="274.16279069767444"/>
    <n v="-0.17567223683094413"/>
    <n v="4059"/>
    <n v="-0.94432126139443218"/>
    <d v="2022-06-18T00:00:00"/>
    <n v="423"/>
    <d v="2025-08-20T00:00:00"/>
    <x v="114"/>
    <x v="2"/>
    <m/>
  </r>
  <r>
    <n v="666"/>
    <n v="37"/>
    <n v="411"/>
    <n v="5"/>
    <n v="2055"/>
    <d v="2023-08-02T00:00:00"/>
    <s v="Пятерочка"/>
    <n v="7"/>
    <x v="1"/>
    <x v="1"/>
    <n v="264.8679245283019"/>
    <n v="0.55171676877048004"/>
    <n v="4287"/>
    <n v="-0.90412876137158849"/>
    <d v="2022-11-28T00:00:00"/>
    <n v="247"/>
    <d v="2025-08-20T00:00:00"/>
    <x v="17"/>
    <x v="2"/>
    <m/>
  </r>
  <r>
    <n v="667"/>
    <n v="27"/>
    <n v="301"/>
    <n v="1"/>
    <n v="301"/>
    <d v="2023-01-05T00:00:00"/>
    <s v="О'кей"/>
    <n v="494"/>
    <x v="3"/>
    <x v="16"/>
    <n v="265.47674418604652"/>
    <n v="0.13380929438044764"/>
    <n v="10237"/>
    <n v="-0.97059685454723066"/>
    <d v="2022-06-26T00:00:00"/>
    <n v="193"/>
    <d v="2025-08-20T00:00:00"/>
    <x v="6"/>
    <x v="1"/>
    <m/>
  </r>
  <r>
    <n v="668"/>
    <n v="435"/>
    <n v="452"/>
    <n v="4"/>
    <n v="1808"/>
    <d v="2023-01-01T00:00:00"/>
    <s v="Карусель"/>
    <n v="420"/>
    <x v="10"/>
    <x v="37"/>
    <n v="271.74545454545455"/>
    <n v="0.66332128997725137"/>
    <n v="4630"/>
    <n v="-0.90237580993520516"/>
    <d v="2022-05-17T00:00:00"/>
    <n v="229"/>
    <d v="2025-08-20T00:00:00"/>
    <x v="113"/>
    <x v="3"/>
    <m/>
  </r>
  <r>
    <n v="669"/>
    <n v="101"/>
    <n v="293"/>
    <n v="1"/>
    <n v="293"/>
    <d v="2023-08-27T00:00:00"/>
    <s v="О'кей"/>
    <n v="75"/>
    <x v="8"/>
    <x v="51"/>
    <n v="271.18181818181819"/>
    <n v="8.0455916862219201E-2"/>
    <n v="2433"/>
    <n v="-0.87957254418413477"/>
    <d v="2022-08-23T00:00:00"/>
    <n v="369"/>
    <d v="2025-08-20T00:00:00"/>
    <x v="74"/>
    <x v="3"/>
    <m/>
  </r>
  <r>
    <n v="670"/>
    <n v="423"/>
    <n v="382"/>
    <n v="2"/>
    <n v="764"/>
    <d v="2023-12-23T00:00:00"/>
    <s v="Перекресток"/>
    <n v="83"/>
    <x v="14"/>
    <x v="21"/>
    <n v="273.72549019607845"/>
    <n v="0.39555873925501417"/>
    <n v="5885"/>
    <n v="-0.93508920985556498"/>
    <d v="2022-06-27T00:00:00"/>
    <n v="544"/>
    <d v="2025-08-20T00:00:00"/>
    <x v="231"/>
    <x v="4"/>
    <m/>
  </r>
  <r>
    <n v="671"/>
    <n v="411"/>
    <n v="158"/>
    <n v="3"/>
    <n v="474"/>
    <d v="2023-05-24T00:00:00"/>
    <s v="Перекресток"/>
    <n v="109"/>
    <x v="16"/>
    <x v="23"/>
    <n v="300.31818181818181"/>
    <n v="-0.47389132738005146"/>
    <n v="4226"/>
    <n v="-0.9626123994320871"/>
    <d v="2022-06-20T00:00:00"/>
    <n v="338"/>
    <d v="2025-08-20T00:00:00"/>
    <x v="174"/>
    <x v="3"/>
    <m/>
  </r>
  <r>
    <n v="672"/>
    <n v="381"/>
    <n v="296"/>
    <n v="4"/>
    <n v="1184"/>
    <d v="2023-06-29T00:00:00"/>
    <s v="Билла"/>
    <n v="465"/>
    <x v="6"/>
    <x v="52"/>
    <n v="258.5128205128205"/>
    <n v="0.14501091053362436"/>
    <n v="878"/>
    <n v="-0.66287015945330297"/>
    <d v="2022-04-20T00:00:00"/>
    <n v="435"/>
    <d v="2025-08-20T00:00:00"/>
    <x v="134"/>
    <x v="0"/>
    <m/>
  </r>
  <r>
    <n v="220"/>
    <n v="498"/>
    <n v="472"/>
    <n v="5"/>
    <n v="2360"/>
    <d v="2023-09-26T00:00:00"/>
    <s v="Гиперглобус"/>
    <n v="171"/>
    <x v="15"/>
    <x v="65"/>
    <n v="294.95238095238096"/>
    <n v="-0.22360348724572165"/>
    <n v="4946"/>
    <n v="-0.90456934896886376"/>
    <d v="2022-05-29T00:00:00"/>
    <n v="485"/>
    <d v="2025-08-20T00:00:00"/>
    <x v="56"/>
    <x v="2"/>
    <m/>
  </r>
  <r>
    <n v="674"/>
    <n v="389"/>
    <n v="155"/>
    <n v="4"/>
    <n v="620"/>
    <d v="2024-04-30T00:00:00"/>
    <s v="Азбука Вкуса"/>
    <n v="376"/>
    <x v="8"/>
    <x v="51"/>
    <n v="271.18181818181819"/>
    <n v="-0.42842775729131743"/>
    <n v="2433"/>
    <n v="-0.93629264282778468"/>
    <d v="2022-06-18T00:00:00"/>
    <n v="682"/>
    <d v="2025-08-20T00:00:00"/>
    <x v="114"/>
    <x v="1"/>
    <m/>
  </r>
  <r>
    <n v="675"/>
    <n v="227"/>
    <n v="300"/>
    <n v="4"/>
    <n v="1200"/>
    <d v="2023-03-06T00:00:00"/>
    <s v="Перекресток"/>
    <n v="88"/>
    <x v="3"/>
    <x v="19"/>
    <n v="265.47674418604652"/>
    <n v="0.13004248609346947"/>
    <n v="3622"/>
    <n v="-0.91717283268912198"/>
    <d v="2022-03-10T00:00:00"/>
    <n v="361"/>
    <d v="2025-08-20T00:00:00"/>
    <x v="91"/>
    <x v="3"/>
    <m/>
  </r>
  <r>
    <n v="676"/>
    <n v="243"/>
    <n v="371"/>
    <n v="3"/>
    <n v="1113"/>
    <d v="2023-06-04T00:00:00"/>
    <s v="Дикси"/>
    <n v="352"/>
    <x v="13"/>
    <x v="20"/>
    <n v="258.375"/>
    <n v="0.4358974358974359"/>
    <n v="4585"/>
    <n v="-0.91908396946564885"/>
    <d v="2022-01-12T00:00:00"/>
    <n v="508"/>
    <d v="2025-08-20T00:00:00"/>
    <x v="95"/>
    <x v="2"/>
    <m/>
  </r>
  <r>
    <n v="677"/>
    <n v="187"/>
    <n v="273"/>
    <n v="3"/>
    <n v="819"/>
    <d v="2023-02-23T00:00:00"/>
    <s v="Магнит"/>
    <n v="452"/>
    <x v="3"/>
    <x v="16"/>
    <n v="265.47674418604652"/>
    <n v="2.8338662345057219E-2"/>
    <n v="10237"/>
    <n v="-0.97333203086841846"/>
    <d v="2022-07-27T00:00:00"/>
    <n v="211"/>
    <d v="2025-08-20T00:00:00"/>
    <x v="72"/>
    <x v="2"/>
    <m/>
  </r>
  <r>
    <n v="678"/>
    <n v="441"/>
    <n v="147"/>
    <n v="3"/>
    <n v="441"/>
    <d v="2023-07-10T00:00:00"/>
    <s v="Гиперглобус"/>
    <n v="449"/>
    <x v="8"/>
    <x v="14"/>
    <n v="271.18181818181819"/>
    <n v="-0.4579282601407979"/>
    <n v="4943"/>
    <n v="-0.97026097511632614"/>
    <d v="2022-03-25T00:00:00"/>
    <n v="472"/>
    <d v="2025-08-20T00:00:00"/>
    <x v="62"/>
    <x v="4"/>
    <m/>
  </r>
  <r>
    <n v="679"/>
    <n v="446"/>
    <n v="440"/>
    <n v="5"/>
    <n v="2200"/>
    <d v="2024-04-12T00:00:00"/>
    <s v="Магнит"/>
    <n v="197"/>
    <x v="14"/>
    <x v="43"/>
    <n v="273.72549019607845"/>
    <n v="0.60744985673352425"/>
    <n v="2244"/>
    <n v="-0.80392156862745101"/>
    <d v="2022-08-12T00:00:00"/>
    <n v="609"/>
    <d v="2025-08-20T00:00:00"/>
    <x v="228"/>
    <x v="3"/>
    <m/>
  </r>
  <r>
    <n v="680"/>
    <n v="55"/>
    <n v="227"/>
    <n v="4"/>
    <n v="908"/>
    <d v="2024-02-16T00:00:00"/>
    <s v="Бристоль"/>
    <n v="70"/>
    <x v="18"/>
    <x v="60"/>
    <n v="255.11627906976744"/>
    <n v="-0.11020966271649957"/>
    <n v="1920"/>
    <n v="-0.88177083333333339"/>
    <d v="2022-01-30T00:00:00"/>
    <n v="747"/>
    <d v="2025-08-20T00:00:00"/>
    <x v="230"/>
    <x v="3"/>
    <m/>
  </r>
  <r>
    <n v="681"/>
    <n v="27"/>
    <n v="415"/>
    <n v="4"/>
    <n v="1660"/>
    <d v="2023-10-30T00:00:00"/>
    <s v="Седьмой Континент"/>
    <n v="345"/>
    <x v="3"/>
    <x v="16"/>
    <n v="265.47674418604652"/>
    <n v="0.5632254390959659"/>
    <n v="10237"/>
    <n v="-0.95946077952525155"/>
    <d v="2022-05-24T00:00:00"/>
    <n v="524"/>
    <d v="2025-08-20T00:00:00"/>
    <x v="178"/>
    <x v="1"/>
    <m/>
  </r>
  <r>
    <n v="682"/>
    <n v="110"/>
    <n v="84"/>
    <n v="5"/>
    <n v="420"/>
    <d v="2023-04-13T00:00:00"/>
    <s v="Карусель"/>
    <n v="225"/>
    <x v="3"/>
    <x v="16"/>
    <n v="265.47674418604652"/>
    <n v="-0.68358810389382851"/>
    <n v="10237"/>
    <n v="-0.99179447103643648"/>
    <d v="2022-09-23T00:00:00"/>
    <n v="202"/>
    <d v="2025-08-20T00:00:00"/>
    <x v="42"/>
    <x v="1"/>
    <m/>
  </r>
  <r>
    <n v="683"/>
    <n v="196"/>
    <n v="196"/>
    <n v="4"/>
    <n v="784"/>
    <d v="2023-01-18T00:00:00"/>
    <s v="Пятерочка"/>
    <n v="8"/>
    <x v="17"/>
    <x v="27"/>
    <n v="267.85483870967744"/>
    <n v="-0.26826037213223342"/>
    <n v="6053"/>
    <n v="-0.96761936229968615"/>
    <d v="2022-11-18T00:00:00"/>
    <n v="61"/>
    <d v="2025-08-20T00:00:00"/>
    <x v="101"/>
    <x v="1"/>
    <m/>
  </r>
  <r>
    <n v="684"/>
    <n v="271"/>
    <n v="123"/>
    <n v="2"/>
    <n v="246"/>
    <d v="2024-02-28T00:00:00"/>
    <s v="Верный"/>
    <n v="11"/>
    <x v="11"/>
    <x v="46"/>
    <n v="261.03225806451616"/>
    <n v="-0.52879387048937221"/>
    <n v="8943"/>
    <n v="-0.98624622609862467"/>
    <d v="2022-05-09T00:00:00"/>
    <n v="660"/>
    <d v="2025-08-20T00:00:00"/>
    <x v="68"/>
    <x v="4"/>
    <m/>
  </r>
  <r>
    <n v="685"/>
    <n v="189"/>
    <n v="356"/>
    <n v="1"/>
    <n v="356"/>
    <d v="2023-05-05T00:00:00"/>
    <s v="Магнит"/>
    <n v="388"/>
    <x v="16"/>
    <x v="38"/>
    <n v="300.31818181818181"/>
    <n v="0.18540941425760549"/>
    <n v="1848"/>
    <n v="-0.80735930735930739"/>
    <d v="2022-01-20T00:00:00"/>
    <n v="470"/>
    <d v="2025-08-20T00:00:00"/>
    <x v="98"/>
    <x v="2"/>
    <m/>
  </r>
  <r>
    <n v="686"/>
    <n v="372"/>
    <n v="166"/>
    <n v="5"/>
    <n v="830"/>
    <d v="2024-05-19T00:00:00"/>
    <s v="Ароматный Мир"/>
    <n v="40"/>
    <x v="7"/>
    <x v="39"/>
    <n v="249.02380952380952"/>
    <n v="-0.33339707429008503"/>
    <n v="2222"/>
    <n v="-0.92529252925292527"/>
    <d v="2022-10-21T00:00:00"/>
    <n v="576"/>
    <d v="2025-08-20T00:00:00"/>
    <x v="48"/>
    <x v="2"/>
    <m/>
  </r>
  <r>
    <n v="687"/>
    <n v="205"/>
    <n v="156"/>
    <n v="4"/>
    <n v="624"/>
    <d v="2024-05-17T00:00:00"/>
    <s v="Спар"/>
    <n v="286"/>
    <x v="3"/>
    <x v="3"/>
    <n v="265.47674418604652"/>
    <n v="-0.41237790723139589"/>
    <n v="6852"/>
    <n v="-0.97723292469352019"/>
    <d v="2022-01-02T00:00:00"/>
    <n v="866"/>
    <d v="2025-08-20T00:00:00"/>
    <x v="22"/>
    <x v="4"/>
    <m/>
  </r>
  <r>
    <n v="688"/>
    <n v="187"/>
    <n v="496"/>
    <n v="4"/>
    <n v="1984"/>
    <d v="2024-01-24T00:00:00"/>
    <s v="Городской Супермаркет"/>
    <n v="448"/>
    <x v="3"/>
    <x v="16"/>
    <n v="265.47674418604652"/>
    <n v="0.86833691034120264"/>
    <n v="10237"/>
    <n v="-0.95154830516752953"/>
    <d v="2022-07-28T00:00:00"/>
    <n v="545"/>
    <d v="2025-08-20T00:00:00"/>
    <x v="63"/>
    <x v="2"/>
    <m/>
  </r>
  <r>
    <n v="689"/>
    <n v="194"/>
    <n v="257"/>
    <n v="5"/>
    <n v="1285"/>
    <d v="2023-07-15T00:00:00"/>
    <s v="Дикси"/>
    <n v="291"/>
    <x v="1"/>
    <x v="69"/>
    <n v="264.8679245283019"/>
    <n v="-2.9705086194614649E-2"/>
    <n v="2737"/>
    <n v="-0.90610157106320788"/>
    <d v="2022-05-29T00:00:00"/>
    <n v="412"/>
    <d v="2025-08-20T00:00:00"/>
    <x v="56"/>
    <x v="4"/>
    <m/>
  </r>
  <r>
    <n v="690"/>
    <n v="51"/>
    <n v="476"/>
    <n v="2"/>
    <n v="952"/>
    <d v="2023-04-04T00:00:00"/>
    <s v="Ашан"/>
    <n v="480"/>
    <x v="19"/>
    <x v="41"/>
    <n v="286.92307692307691"/>
    <n v="0.65898123324396796"/>
    <n v="2814"/>
    <n v="-0.8308457711442786"/>
    <d v="2022-01-07T00:00:00"/>
    <n v="452"/>
    <d v="2025-08-20T00:00:00"/>
    <x v="55"/>
    <x v="0"/>
    <m/>
  </r>
  <r>
    <n v="691"/>
    <n v="80"/>
    <n v="232"/>
    <n v="2"/>
    <n v="464"/>
    <d v="2023-07-09T00:00:00"/>
    <s v="Перекресток"/>
    <n v="418"/>
    <x v="17"/>
    <x v="66"/>
    <n v="267.85483870967744"/>
    <n v="-0.1338592159932559"/>
    <n v="2189"/>
    <n v="-0.894015532206487"/>
    <d v="2022-05-19T00:00:00"/>
    <n v="416"/>
    <d v="2025-08-20T00:00:00"/>
    <x v="198"/>
    <x v="1"/>
    <m/>
  </r>
  <r>
    <n v="151"/>
    <n v="206"/>
    <n v="73"/>
    <n v="5"/>
    <n v="365"/>
    <d v="2024-01-19T00:00:00"/>
    <s v="Городской Супермаркет"/>
    <n v="115"/>
    <x v="15"/>
    <x v="65"/>
    <n v="294.95238095238096"/>
    <n v="-0.22360348724572165"/>
    <n v="4946"/>
    <n v="-0.98524059846340473"/>
    <d v="2022-09-28T00:00:00"/>
    <n v="478"/>
    <d v="2025-08-20T00:00:00"/>
    <x v="60"/>
    <x v="1"/>
    <m/>
  </r>
  <r>
    <n v="693"/>
    <n v="215"/>
    <n v="485"/>
    <n v="4"/>
    <n v="1940"/>
    <d v="2023-02-02T00:00:00"/>
    <s v="Дикси"/>
    <n v="318"/>
    <x v="5"/>
    <x v="5"/>
    <n v="268.60344827586209"/>
    <n v="0.80563579177097355"/>
    <n v="9023"/>
    <n v="-0.94624847611659091"/>
    <d v="2022-11-27T00:00:00"/>
    <n v="67"/>
    <d v="2025-08-20T00:00:00"/>
    <x v="36"/>
    <x v="0"/>
    <m/>
  </r>
  <r>
    <n v="694"/>
    <n v="36"/>
    <n v="150"/>
    <n v="2"/>
    <n v="300"/>
    <d v="2023-08-19T00:00:00"/>
    <s v="Билла"/>
    <n v="283"/>
    <x v="3"/>
    <x v="29"/>
    <n v="265.47674418604652"/>
    <n v="-0.43497875695326527"/>
    <n v="2120"/>
    <n v="-0.92924528301886788"/>
    <d v="2022-11-24T00:00:00"/>
    <n v="268"/>
    <d v="2025-08-20T00:00:00"/>
    <x v="93"/>
    <x v="4"/>
    <m/>
  </r>
  <r>
    <n v="29"/>
    <n v="181"/>
    <n v="476"/>
    <n v="4"/>
    <n v="1904"/>
    <d v="2023-04-24T00:00:00"/>
    <s v="Бристоль"/>
    <n v="451"/>
    <x v="15"/>
    <x v="22"/>
    <n v="294.95238095238096"/>
    <n v="0.37310300290603804"/>
    <n v="3507"/>
    <n v="-0.86427145708582831"/>
    <d v="2022-01-23T00:00:00"/>
    <n v="456"/>
    <d v="2025-08-20T00:00:00"/>
    <x v="78"/>
    <x v="2"/>
    <m/>
  </r>
  <r>
    <n v="696"/>
    <n v="80"/>
    <n v="135"/>
    <n v="2"/>
    <n v="270"/>
    <d v="2024-01-05T00:00:00"/>
    <s v="Гиперглобус"/>
    <n v="123"/>
    <x v="17"/>
    <x v="66"/>
    <n v="267.85483870967744"/>
    <n v="-0.49599566447883425"/>
    <n v="2189"/>
    <n v="-0.93832800365463687"/>
    <d v="2022-02-08T00:00:00"/>
    <n v="696"/>
    <d v="2025-08-20T00:00:00"/>
    <x v="232"/>
    <x v="2"/>
    <m/>
  </r>
  <r>
    <n v="697"/>
    <n v="413"/>
    <n v="178"/>
    <n v="5"/>
    <n v="890"/>
    <d v="2023-06-18T00:00:00"/>
    <s v="Городской Супермаркет"/>
    <n v="380"/>
    <x v="7"/>
    <x v="7"/>
    <n v="249.02380952380952"/>
    <n v="-0.28520891098575385"/>
    <n v="5248"/>
    <n v="-0.96608231707317072"/>
    <d v="2022-01-02T00:00:00"/>
    <n v="532"/>
    <d v="2025-08-20T00:00:00"/>
    <x v="22"/>
    <x v="2"/>
    <m/>
  </r>
  <r>
    <n v="698"/>
    <n v="10"/>
    <n v="112"/>
    <n v="3"/>
    <n v="336"/>
    <d v="2024-02-28T00:00:00"/>
    <s v="Городской Супермаркет"/>
    <n v="442"/>
    <x v="5"/>
    <x v="5"/>
    <n v="268.60344827586209"/>
    <n v="-0.58302843571474416"/>
    <n v="9023"/>
    <n v="-0.98758727695888282"/>
    <d v="2022-07-04T00:00:00"/>
    <n v="604"/>
    <d v="2025-08-20T00:00:00"/>
    <x v="233"/>
    <x v="4"/>
    <m/>
  </r>
  <r>
    <n v="699"/>
    <n v="14"/>
    <n v="338"/>
    <n v="4"/>
    <n v="1352"/>
    <d v="2023-02-07T00:00:00"/>
    <s v="Карусель"/>
    <n v="218"/>
    <x v="5"/>
    <x v="48"/>
    <n v="268.60344827586209"/>
    <n v="0.25836061364657548"/>
    <n v="1089"/>
    <n v="-0.689623507805326"/>
    <d v="2022-06-09T00:00:00"/>
    <n v="243"/>
    <d v="2025-08-20T00:00:00"/>
    <x v="226"/>
    <x v="0"/>
    <m/>
  </r>
  <r>
    <n v="700"/>
    <n v="423"/>
    <n v="277"/>
    <n v="5"/>
    <n v="1385"/>
    <d v="2023-08-05T00:00:00"/>
    <s v="Спар"/>
    <n v="331"/>
    <x v="14"/>
    <x v="21"/>
    <n v="273.72549019607845"/>
    <n v="1.1962750716332238E-2"/>
    <n v="5885"/>
    <n v="-0.95293118096856411"/>
    <d v="2022-09-09T00:00:00"/>
    <n v="330"/>
    <d v="2025-08-20T00:00:00"/>
    <x v="234"/>
    <x v="0"/>
    <m/>
  </r>
  <r>
    <n v="701"/>
    <n v="138"/>
    <n v="427"/>
    <n v="5"/>
    <n v="2135"/>
    <d v="2023-08-07T00:00:00"/>
    <s v="Спар"/>
    <n v="196"/>
    <x v="11"/>
    <x v="46"/>
    <n v="261.03225806451616"/>
    <n v="0.63581314878892714"/>
    <n v="8943"/>
    <n v="-0.95225315889522533"/>
    <d v="2022-10-01T00:00:00"/>
    <n v="310"/>
    <d v="2025-08-20T00:00:00"/>
    <x v="235"/>
    <x v="2"/>
    <m/>
  </r>
  <r>
    <n v="702"/>
    <n v="498"/>
    <n v="169"/>
    <n v="4"/>
    <n v="676"/>
    <d v="2023-07-22T00:00:00"/>
    <s v="Седьмой Континент"/>
    <n v="36"/>
    <x v="15"/>
    <x v="65"/>
    <n v="294.95238095238096"/>
    <n v="-0.42702615434291247"/>
    <n v="4946"/>
    <n v="-0.96583097452486855"/>
    <d v="2022-05-19T00:00:00"/>
    <n v="429"/>
    <d v="2025-08-20T00:00:00"/>
    <x v="198"/>
    <x v="2"/>
    <m/>
  </r>
  <r>
    <n v="703"/>
    <n v="46"/>
    <n v="228"/>
    <n v="5"/>
    <n v="1140"/>
    <d v="2023-04-01T00:00:00"/>
    <s v="Верный"/>
    <n v="272"/>
    <x v="9"/>
    <x v="53"/>
    <n v="263.25423728813558"/>
    <n v="-0.13391707442698941"/>
    <n v="1762"/>
    <n v="-0.87060158910329166"/>
    <d v="2022-04-17T00:00:00"/>
    <n v="349"/>
    <d v="2025-08-20T00:00:00"/>
    <x v="102"/>
    <x v="4"/>
    <m/>
  </r>
  <r>
    <n v="704"/>
    <n v="1"/>
    <n v="322"/>
    <n v="2"/>
    <n v="644"/>
    <d v="2024-05-10T00:00:00"/>
    <s v="Ароматный Мир"/>
    <n v="22"/>
    <x v="18"/>
    <x v="72"/>
    <n v="255.11627906976744"/>
    <n v="0.26216955332725611"/>
    <n v="2773"/>
    <n v="-0.88388027407140279"/>
    <d v="2022-11-05T00:00:00"/>
    <n v="552"/>
    <d v="2025-08-20T00:00:00"/>
    <x v="236"/>
    <x v="1"/>
    <m/>
  </r>
  <r>
    <n v="705"/>
    <n v="478"/>
    <n v="342"/>
    <n v="3"/>
    <n v="1026"/>
    <d v="2023-04-21T00:00:00"/>
    <s v="Мираторг"/>
    <n v="360"/>
    <x v="17"/>
    <x v="27"/>
    <n v="267.85483870967744"/>
    <n v="0.27681098332028653"/>
    <n v="6053"/>
    <n v="-0.94349909135965637"/>
    <d v="2022-06-16T00:00:00"/>
    <n v="309"/>
    <d v="2025-08-20T00:00:00"/>
    <x v="21"/>
    <x v="1"/>
    <m/>
  </r>
  <r>
    <n v="706"/>
    <n v="444"/>
    <n v="315"/>
    <n v="4"/>
    <n v="1260"/>
    <d v="2023-04-25T00:00:00"/>
    <s v="Спар"/>
    <n v="414"/>
    <x v="9"/>
    <x v="33"/>
    <n v="263.25423728813558"/>
    <n v="0.19656193664692245"/>
    <n v="4970"/>
    <n v="-0.93661971830985913"/>
    <d v="2022-08-21T00:00:00"/>
    <n v="247"/>
    <d v="2025-08-20T00:00:00"/>
    <x v="13"/>
    <x v="1"/>
    <m/>
  </r>
  <r>
    <n v="707"/>
    <n v="110"/>
    <n v="473"/>
    <n v="2"/>
    <n v="946"/>
    <d v="2024-03-22T00:00:00"/>
    <s v="Седьмой Континент"/>
    <n v="152"/>
    <x v="3"/>
    <x v="16"/>
    <n v="265.47674418604652"/>
    <n v="0.78170031974070331"/>
    <n v="10237"/>
    <n v="-0.95379505714564816"/>
    <d v="2022-08-18T00:00:00"/>
    <n v="582"/>
    <d v="2025-08-20T00:00:00"/>
    <x v="193"/>
    <x v="1"/>
    <m/>
  </r>
  <r>
    <n v="708"/>
    <n v="191"/>
    <n v="248"/>
    <n v="2"/>
    <n v="496"/>
    <d v="2023-08-10T00:00:00"/>
    <s v="Метро"/>
    <n v="177"/>
    <x v="19"/>
    <x v="40"/>
    <n v="286.92307692307691"/>
    <n v="-0.13565683646112592"/>
    <n v="3283"/>
    <n v="-0.9244593359731953"/>
    <d v="2022-10-23T00:00:00"/>
    <n v="291"/>
    <d v="2025-08-20T00:00:00"/>
    <x v="31"/>
    <x v="4"/>
    <m/>
  </r>
  <r>
    <n v="709"/>
    <n v="198"/>
    <n v="335"/>
    <n v="3"/>
    <n v="1005"/>
    <d v="2023-08-26T00:00:00"/>
    <s v="Лента"/>
    <n v="111"/>
    <x v="10"/>
    <x v="15"/>
    <n v="271.74545454545455"/>
    <n v="0.23277131004951146"/>
    <n v="3799"/>
    <n v="-0.91181889971045016"/>
    <d v="2022-08-31T00:00:00"/>
    <n v="360"/>
    <d v="2025-08-20T00:00:00"/>
    <x v="80"/>
    <x v="0"/>
    <m/>
  </r>
  <r>
    <n v="710"/>
    <n v="93"/>
    <n v="343"/>
    <n v="3"/>
    <n v="1029"/>
    <d v="2023-01-04T00:00:00"/>
    <s v="Ашан"/>
    <n v="281"/>
    <x v="8"/>
    <x v="8"/>
    <n v="271.18181818181819"/>
    <n v="0.26483405967147156"/>
    <n v="6412"/>
    <n v="-0.94650655021834063"/>
    <d v="2022-05-30T00:00:00"/>
    <n v="219"/>
    <d v="2025-08-20T00:00:00"/>
    <x v="92"/>
    <x v="0"/>
    <m/>
  </r>
  <r>
    <n v="711"/>
    <n v="385"/>
    <n v="309"/>
    <n v="1"/>
    <n v="309"/>
    <d v="2023-06-23T00:00:00"/>
    <s v="Мираторг"/>
    <n v="177"/>
    <x v="3"/>
    <x v="19"/>
    <n v="265.47674418604652"/>
    <n v="0.16394376067627348"/>
    <n v="3622"/>
    <n v="-0.91468801766979568"/>
    <d v="2022-10-23T00:00:00"/>
    <n v="243"/>
    <d v="2025-08-20T00:00:00"/>
    <x v="31"/>
    <x v="4"/>
    <m/>
  </r>
  <r>
    <n v="712"/>
    <n v="456"/>
    <n v="196"/>
    <n v="4"/>
    <n v="784"/>
    <d v="2023-03-21T00:00:00"/>
    <s v="Спар"/>
    <n v="446"/>
    <x v="19"/>
    <x v="40"/>
    <n v="286.92307692307691"/>
    <n v="-0.31689008042895439"/>
    <n v="3283"/>
    <n v="-0.94029850746268662"/>
    <d v="2022-04-20T00:00:00"/>
    <n v="335"/>
    <d v="2025-08-20T00:00:00"/>
    <x v="134"/>
    <x v="4"/>
    <m/>
  </r>
  <r>
    <n v="713"/>
    <n v="147"/>
    <n v="258"/>
    <n v="5"/>
    <n v="1290"/>
    <d v="2024-03-05T00:00:00"/>
    <s v="Верный"/>
    <n v="202"/>
    <x v="17"/>
    <x v="35"/>
    <n v="267.85483870967744"/>
    <n v="-3.6791714337327752E-2"/>
    <n v="6757"/>
    <n v="-0.96181737457451533"/>
    <d v="2022-07-24T00:00:00"/>
    <n v="590"/>
    <d v="2025-08-20T00:00:00"/>
    <x v="45"/>
    <x v="1"/>
    <m/>
  </r>
  <r>
    <n v="714"/>
    <n v="47"/>
    <n v="496"/>
    <n v="2"/>
    <n v="992"/>
    <d v="2023-09-27T00:00:00"/>
    <s v="Городской Супермаркет"/>
    <n v="140"/>
    <x v="10"/>
    <x v="37"/>
    <n v="271.74545454545455"/>
    <n v="0.82523752174494835"/>
    <n v="4630"/>
    <n v="-0.89287257019438449"/>
    <d v="2022-03-07T00:00:00"/>
    <n v="569"/>
    <d v="2025-08-20T00:00:00"/>
    <x v="70"/>
    <x v="2"/>
    <m/>
  </r>
  <r>
    <n v="82"/>
    <n v="334"/>
    <n v="396"/>
    <n v="4"/>
    <n v="1584"/>
    <d v="2023-09-04T00:00:00"/>
    <s v="Седьмой Континент"/>
    <n v="134"/>
    <x v="15"/>
    <x v="65"/>
    <n v="294.95238095238096"/>
    <n v="-0.63044882144010339"/>
    <n v="4946"/>
    <n v="-0.91993530125353817"/>
    <d v="2022-07-11T00:00:00"/>
    <n v="420"/>
    <d v="2025-08-20T00:00:00"/>
    <x v="46"/>
    <x v="2"/>
    <m/>
  </r>
  <r>
    <n v="716"/>
    <n v="296"/>
    <n v="155"/>
    <n v="1"/>
    <n v="155"/>
    <d v="2024-02-27T00:00:00"/>
    <s v="Ашан"/>
    <n v="188"/>
    <x v="18"/>
    <x v="34"/>
    <n v="255.11627906976744"/>
    <n v="-0.39243391066545119"/>
    <n v="3254"/>
    <n v="-0.95236631837738173"/>
    <d v="2022-08-28T00:00:00"/>
    <n v="548"/>
    <d v="2025-08-20T00:00:00"/>
    <x v="237"/>
    <x v="4"/>
    <m/>
  </r>
  <r>
    <n v="717"/>
    <n v="448"/>
    <n v="72"/>
    <n v="5"/>
    <n v="360"/>
    <d v="2024-04-27T00:00:00"/>
    <s v="Лента"/>
    <n v="63"/>
    <x v="9"/>
    <x v="9"/>
    <n v="263.25423728813558"/>
    <n v="-0.72650012876641767"/>
    <n v="5929"/>
    <n v="-0.98785629954461118"/>
    <d v="2022-05-03T00:00:00"/>
    <n v="725"/>
    <d v="2025-08-20T00:00:00"/>
    <x v="8"/>
    <x v="3"/>
    <m/>
  </r>
  <r>
    <n v="718"/>
    <n v="38"/>
    <n v="191"/>
    <n v="5"/>
    <n v="955"/>
    <d v="2023-03-07T00:00:00"/>
    <s v="О'кей"/>
    <n v="25"/>
    <x v="17"/>
    <x v="27"/>
    <n v="267.85483870967744"/>
    <n v="-0.2869271993737581"/>
    <n v="6053"/>
    <n v="-0.96844539897571447"/>
    <d v="2022-01-21T00:00:00"/>
    <n v="410"/>
    <d v="2025-08-20T00:00:00"/>
    <x v="5"/>
    <x v="4"/>
    <m/>
  </r>
  <r>
    <n v="719"/>
    <n v="272"/>
    <n v="362"/>
    <n v="2"/>
    <n v="724"/>
    <d v="2023-04-09T00:00:00"/>
    <s v="Ашан"/>
    <n v="409"/>
    <x v="18"/>
    <x v="72"/>
    <n v="255.11627906976744"/>
    <n v="0.41896080218778486"/>
    <n v="2773"/>
    <n v="-0.86945546339704294"/>
    <d v="2022-11-04T00:00:00"/>
    <n v="156"/>
    <d v="2025-08-20T00:00:00"/>
    <x v="157"/>
    <x v="3"/>
    <m/>
  </r>
  <r>
    <n v="720"/>
    <n v="426"/>
    <n v="394"/>
    <n v="5"/>
    <n v="1970"/>
    <d v="2024-02-27T00:00:00"/>
    <s v="Ароматный Мир"/>
    <n v="386"/>
    <x v="2"/>
    <x v="45"/>
    <n v="283.468085106383"/>
    <n v="0.38992719357502059"/>
    <n v="3538"/>
    <n v="-0.88863764838892023"/>
    <d v="2022-06-22T00:00:00"/>
    <n v="615"/>
    <d v="2025-08-20T00:00:00"/>
    <x v="96"/>
    <x v="0"/>
    <m/>
  </r>
  <r>
    <n v="721"/>
    <n v="378"/>
    <n v="203"/>
    <n v="4"/>
    <n v="812"/>
    <d v="2023-11-14T00:00:00"/>
    <s v="Перекресток"/>
    <n v="238"/>
    <x v="5"/>
    <x v="5"/>
    <n v="268.60344827586209"/>
    <n v="-0.24423903973297389"/>
    <n v="9023"/>
    <n v="-0.97750193948797515"/>
    <d v="2022-12-14T00:00:00"/>
    <n v="335"/>
    <d v="2025-08-20T00:00:00"/>
    <x v="238"/>
    <x v="3"/>
    <m/>
  </r>
  <r>
    <n v="722"/>
    <n v="134"/>
    <n v="450"/>
    <n v="5"/>
    <n v="2250"/>
    <d v="2023-05-15T00:00:00"/>
    <s v="Бристоль"/>
    <n v="480"/>
    <x v="6"/>
    <x v="6"/>
    <n v="258.5128205128205"/>
    <n v="0.74072604641936124"/>
    <n v="4431"/>
    <n v="-0.89844278943805012"/>
    <d v="2022-01-07T00:00:00"/>
    <n v="493"/>
    <d v="2025-08-20T00:00:00"/>
    <x v="55"/>
    <x v="0"/>
    <m/>
  </r>
  <r>
    <n v="723"/>
    <n v="485"/>
    <n v="323"/>
    <n v="1"/>
    <n v="323"/>
    <d v="2023-08-06T00:00:00"/>
    <s v="Седьмой Континент"/>
    <n v="157"/>
    <x v="3"/>
    <x v="3"/>
    <n v="265.47674418604652"/>
    <n v="0.2166790766939688"/>
    <n v="6852"/>
    <n v="-0.95286047869235257"/>
    <d v="2022-08-10T00:00:00"/>
    <n v="361"/>
    <d v="2025-08-20T00:00:00"/>
    <x v="61"/>
    <x v="2"/>
    <m/>
  </r>
  <r>
    <n v="330"/>
    <n v="188"/>
    <n v="154"/>
    <n v="4"/>
    <n v="616"/>
    <d v="2023-11-13T00:00:00"/>
    <s v="Ашан"/>
    <n v="187"/>
    <x v="15"/>
    <x v="77"/>
    <n v="294.95238095238096"/>
    <n v="-0.24394575395544082"/>
    <n v="387"/>
    <n v="-0.6020671834625323"/>
    <d v="2022-10-14T00:00:00"/>
    <n v="395"/>
    <d v="2025-08-20T00:00:00"/>
    <x v="176"/>
    <x v="2"/>
    <m/>
  </r>
  <r>
    <n v="725"/>
    <n v="28"/>
    <n v="459"/>
    <n v="1"/>
    <n v="459"/>
    <d v="2024-03-26T00:00:00"/>
    <s v="Бристоль"/>
    <n v="63"/>
    <x v="18"/>
    <x v="60"/>
    <n v="255.11627906976744"/>
    <n v="0.79917958067456696"/>
    <n v="1920"/>
    <n v="-0.76093750000000004"/>
    <d v="2022-05-03T00:00:00"/>
    <n v="693"/>
    <d v="2025-08-20T00:00:00"/>
    <x v="8"/>
    <x v="3"/>
    <m/>
  </r>
  <r>
    <n v="726"/>
    <n v="195"/>
    <n v="497"/>
    <n v="5"/>
    <n v="2485"/>
    <d v="2023-07-29T00:00:00"/>
    <s v="Магнит"/>
    <n v="105"/>
    <x v="16"/>
    <x v="50"/>
    <n v="300.31818181818181"/>
    <n v="0.65491145754502811"/>
    <n v="3974"/>
    <n v="-0.87493709109209861"/>
    <d v="2022-12-23T00:00:00"/>
    <n v="218"/>
    <d v="2025-08-20T00:00:00"/>
    <x v="192"/>
    <x v="0"/>
    <m/>
  </r>
  <r>
    <n v="727"/>
    <n v="398"/>
    <n v="361"/>
    <n v="1"/>
    <n v="361"/>
    <d v="2024-02-14T00:00:00"/>
    <s v="Мосмарт"/>
    <n v="40"/>
    <x v="5"/>
    <x v="5"/>
    <n v="268.60344827586209"/>
    <n v="0.34398870274086901"/>
    <n v="9023"/>
    <n v="-0.95999113376925638"/>
    <d v="2022-10-21T00:00:00"/>
    <n v="481"/>
    <d v="2025-08-20T00:00:00"/>
    <x v="48"/>
    <x v="2"/>
    <m/>
  </r>
  <r>
    <n v="728"/>
    <n v="77"/>
    <n v="160"/>
    <n v="2"/>
    <n v="320"/>
    <d v="2023-10-23T00:00:00"/>
    <s v="Метро"/>
    <n v="260"/>
    <x v="3"/>
    <x v="16"/>
    <n v="265.47674418604652"/>
    <n v="-0.39731067408348297"/>
    <n v="10237"/>
    <n v="-0.98437042102178374"/>
    <d v="2022-06-17T00:00:00"/>
    <n v="493"/>
    <d v="2025-08-20T00:00:00"/>
    <x v="239"/>
    <x v="3"/>
    <m/>
  </r>
  <r>
    <n v="729"/>
    <n v="128"/>
    <n v="419"/>
    <n v="5"/>
    <n v="2095"/>
    <d v="2023-01-17T00:00:00"/>
    <s v="Спар"/>
    <n v="220"/>
    <x v="10"/>
    <x v="15"/>
    <n v="271.74545454545455"/>
    <n v="0.54188411615147869"/>
    <n v="3799"/>
    <n v="-0.88970781784680175"/>
    <d v="2022-01-09T00:00:00"/>
    <n v="373"/>
    <d v="2025-08-20T00:00:00"/>
    <x v="82"/>
    <x v="3"/>
    <m/>
  </r>
  <r>
    <n v="730"/>
    <n v="328"/>
    <n v="429"/>
    <n v="4"/>
    <n v="1716"/>
    <d v="2023-11-15T00:00:00"/>
    <s v="Мосмарт"/>
    <n v="88"/>
    <x v="14"/>
    <x v="56"/>
    <n v="273.72549019607845"/>
    <n v="0.56726361031518602"/>
    <n v="2902"/>
    <n v="-0.85217091660923505"/>
    <d v="2022-03-10T00:00:00"/>
    <n v="615"/>
    <d v="2025-08-20T00:00:00"/>
    <x v="91"/>
    <x v="3"/>
    <m/>
  </r>
  <r>
    <n v="731"/>
    <n v="455"/>
    <n v="72"/>
    <n v="2"/>
    <n v="144"/>
    <d v="2023-06-25T00:00:00"/>
    <s v="Карусель"/>
    <n v="66"/>
    <x v="1"/>
    <x v="63"/>
    <n v="264.8679245283019"/>
    <n v="-0.72816640547086475"/>
    <n v="2843"/>
    <n v="-0.97467463946535349"/>
    <d v="2022-08-04T00:00:00"/>
    <n v="325"/>
    <d v="2025-08-20T00:00:00"/>
    <x v="161"/>
    <x v="2"/>
    <m/>
  </r>
  <r>
    <n v="732"/>
    <n v="371"/>
    <n v="97"/>
    <n v="3"/>
    <n v="291"/>
    <d v="2023-07-27T00:00:00"/>
    <s v="Дикси"/>
    <n v="15"/>
    <x v="0"/>
    <x v="44"/>
    <n v="254.58333333333334"/>
    <n v="-0.61898527004909987"/>
    <n v="4988"/>
    <n v="-0.98055332798716921"/>
    <d v="2022-05-30T00:00:00"/>
    <n v="423"/>
    <d v="2025-08-20T00:00:00"/>
    <x v="92"/>
    <x v="3"/>
    <m/>
  </r>
  <r>
    <n v="733"/>
    <n v="486"/>
    <n v="57"/>
    <n v="2"/>
    <n v="114"/>
    <d v="2023-09-29T00:00:00"/>
    <s v="Бристоль"/>
    <n v="485"/>
    <x v="1"/>
    <x v="1"/>
    <n v="264.8679245283019"/>
    <n v="-0.78479840433110137"/>
    <n v="4287"/>
    <n v="-0.98670398880335897"/>
    <d v="2022-06-11T00:00:00"/>
    <n v="475"/>
    <d v="2025-08-20T00:00:00"/>
    <x v="202"/>
    <x v="2"/>
    <m/>
  </r>
  <r>
    <n v="734"/>
    <n v="359"/>
    <n v="126"/>
    <n v="4"/>
    <n v="504"/>
    <d v="2023-05-19T00:00:00"/>
    <s v="Мосмарт"/>
    <n v="394"/>
    <x v="10"/>
    <x v="15"/>
    <n v="271.74545454545455"/>
    <n v="-0.53633079084704938"/>
    <n v="3799"/>
    <n v="-0.96683337720452756"/>
    <d v="2022-05-27T00:00:00"/>
    <n v="357"/>
    <d v="2025-08-20T00:00:00"/>
    <x v="240"/>
    <x v="2"/>
    <m/>
  </r>
  <r>
    <n v="735"/>
    <n v="267"/>
    <n v="54"/>
    <n v="2"/>
    <n v="108"/>
    <d v="2023-11-21T00:00:00"/>
    <s v="Ароматный Мир"/>
    <n v="290"/>
    <x v="4"/>
    <x v="74"/>
    <n v="250.48780487804879"/>
    <n v="-0.78442064264849076"/>
    <n v="2080"/>
    <n v="-0.97403846153846152"/>
    <d v="2022-08-04T00:00:00"/>
    <n v="474"/>
    <d v="2025-08-20T00:00:00"/>
    <x v="161"/>
    <x v="2"/>
    <m/>
  </r>
  <r>
    <n v="736"/>
    <n v="52"/>
    <n v="150"/>
    <n v="4"/>
    <n v="600"/>
    <d v="2024-01-12T00:00:00"/>
    <s v="Верный"/>
    <n v="279"/>
    <x v="1"/>
    <x v="1"/>
    <n v="264.8679245283019"/>
    <n v="-0.43368001139763501"/>
    <n v="4287"/>
    <n v="-0.96501049685094475"/>
    <d v="2022-08-13T00:00:00"/>
    <n v="517"/>
    <d v="2025-08-20T00:00:00"/>
    <x v="216"/>
    <x v="0"/>
    <m/>
  </r>
  <r>
    <n v="737"/>
    <n v="187"/>
    <n v="233"/>
    <n v="4"/>
    <n v="932"/>
    <d v="2023-06-09T00:00:00"/>
    <s v="Гиперглобус"/>
    <n v="245"/>
    <x v="3"/>
    <x v="16"/>
    <n v="265.47674418604652"/>
    <n v="-0.12233366913407206"/>
    <n v="10237"/>
    <n v="-0.9772394256129725"/>
    <d v="2022-05-14T00:00:00"/>
    <n v="391"/>
    <d v="2025-08-20T00:00:00"/>
    <x v="221"/>
    <x v="0"/>
    <m/>
  </r>
  <r>
    <n v="738"/>
    <n v="118"/>
    <n v="156"/>
    <n v="5"/>
    <n v="780"/>
    <d v="2024-01-12T00:00:00"/>
    <s v="Пятерочка"/>
    <n v="261"/>
    <x v="0"/>
    <x v="0"/>
    <n v="254.58333333333334"/>
    <n v="-0.38723404255319149"/>
    <n v="5172"/>
    <n v="-0.96983758700696054"/>
    <d v="2022-10-14T00:00:00"/>
    <n v="455"/>
    <d v="2025-08-20T00:00:00"/>
    <x v="176"/>
    <x v="2"/>
    <m/>
  </r>
  <r>
    <n v="739"/>
    <n v="218"/>
    <n v="383"/>
    <n v="2"/>
    <n v="766"/>
    <d v="2024-02-16T00:00:00"/>
    <s v="Дикси"/>
    <n v="9"/>
    <x v="19"/>
    <x v="41"/>
    <n v="286.92307692307691"/>
    <n v="0.33485254691689015"/>
    <n v="2814"/>
    <n v="-0.86389481165600568"/>
    <d v="2022-12-05T00:00:00"/>
    <n v="438"/>
    <d v="2025-08-20T00:00:00"/>
    <x v="43"/>
    <x v="4"/>
    <m/>
  </r>
  <r>
    <n v="740"/>
    <n v="46"/>
    <n v="370"/>
    <n v="5"/>
    <n v="1850"/>
    <d v="2023-04-18T00:00:00"/>
    <s v="Седьмой Континент"/>
    <n v="103"/>
    <x v="9"/>
    <x v="53"/>
    <n v="263.25423728813558"/>
    <n v="0.40548544939479791"/>
    <n v="1762"/>
    <n v="-0.79001135073779793"/>
    <d v="2022-08-14T00:00:00"/>
    <n v="247"/>
    <d v="2025-08-20T00:00:00"/>
    <x v="132"/>
    <x v="0"/>
    <m/>
  </r>
  <r>
    <n v="741"/>
    <n v="263"/>
    <n v="173"/>
    <n v="3"/>
    <n v="519"/>
    <d v="2024-04-08T00:00:00"/>
    <s v="О'кей"/>
    <n v="142"/>
    <x v="9"/>
    <x v="53"/>
    <n v="263.25423728813558"/>
    <n v="-0.34284058717486476"/>
    <n v="1762"/>
    <n v="-0.90181611804767314"/>
    <d v="2022-05-02T00:00:00"/>
    <n v="707"/>
    <d v="2025-08-20T00:00:00"/>
    <x v="52"/>
    <x v="2"/>
    <m/>
  </r>
  <r>
    <n v="742"/>
    <n v="201"/>
    <n v="113"/>
    <n v="5"/>
    <n v="565"/>
    <d v="2023-02-02T00:00:00"/>
    <s v="Пятерочка"/>
    <n v="470"/>
    <x v="2"/>
    <x v="36"/>
    <n v="283.468085106383"/>
    <n v="-0.60136605869548898"/>
    <n v="3493"/>
    <n v="-0.96764958488405384"/>
    <d v="2022-05-09T00:00:00"/>
    <n v="269"/>
    <d v="2025-08-20T00:00:00"/>
    <x v="68"/>
    <x v="4"/>
    <m/>
  </r>
  <r>
    <n v="743"/>
    <n v="434"/>
    <n v="366"/>
    <n v="4"/>
    <n v="1464"/>
    <d v="2023-06-30T00:00:00"/>
    <s v="Карусель"/>
    <n v="490"/>
    <x v="11"/>
    <x v="46"/>
    <n v="261.03225806451616"/>
    <n v="0.40212555610479472"/>
    <n v="8943"/>
    <n v="-0.95907413619590742"/>
    <d v="2022-02-11T00:00:00"/>
    <n v="504"/>
    <d v="2025-08-20T00:00:00"/>
    <x v="16"/>
    <x v="2"/>
    <m/>
  </r>
  <r>
    <n v="744"/>
    <n v="99"/>
    <n v="92"/>
    <n v="4"/>
    <n v="368"/>
    <d v="2023-05-27T00:00:00"/>
    <s v="Мираторг"/>
    <n v="255"/>
    <x v="4"/>
    <x v="74"/>
    <n v="250.48780487804879"/>
    <n v="-0.63271665043816938"/>
    <n v="2080"/>
    <n v="-0.95576923076923082"/>
    <d v="2022-08-20T00:00:00"/>
    <n v="280"/>
    <d v="2025-08-20T00:00:00"/>
    <x v="126"/>
    <x v="3"/>
    <m/>
  </r>
  <r>
    <n v="745"/>
    <n v="357"/>
    <n v="290"/>
    <n v="4"/>
    <n v="1160"/>
    <d v="2023-05-31T00:00:00"/>
    <s v="Карусель"/>
    <n v="422"/>
    <x v="10"/>
    <x v="37"/>
    <n v="271.74545454545455"/>
    <n v="6.7175163923457681E-2"/>
    <n v="4630"/>
    <n v="-0.93736501079913603"/>
    <d v="2022-08-11T00:00:00"/>
    <n v="293"/>
    <d v="2025-08-20T00:00:00"/>
    <x v="25"/>
    <x v="3"/>
    <m/>
  </r>
  <r>
    <n v="746"/>
    <n v="337"/>
    <n v="453"/>
    <n v="4"/>
    <n v="1812"/>
    <d v="2024-05-03T00:00:00"/>
    <s v="Ашан"/>
    <n v="115"/>
    <x v="3"/>
    <x v="16"/>
    <n v="265.47674418604652"/>
    <n v="0.70636415400113872"/>
    <n v="10237"/>
    <n v="-0.95574875451792518"/>
    <d v="2022-09-28T00:00:00"/>
    <n v="583"/>
    <d v="2025-08-20T00:00:00"/>
    <x v="60"/>
    <x v="1"/>
    <m/>
  </r>
  <r>
    <n v="747"/>
    <n v="230"/>
    <n v="104"/>
    <n v="4"/>
    <n v="416"/>
    <d v="2023-02-08T00:00:00"/>
    <s v="Спар"/>
    <n v="163"/>
    <x v="5"/>
    <x v="5"/>
    <n v="268.60344827586209"/>
    <n v="-0.61281211887797682"/>
    <n v="9023"/>
    <n v="-0.98847390003324831"/>
    <d v="2022-01-10T00:00:00"/>
    <n v="394"/>
    <d v="2025-08-20T00:00:00"/>
    <x v="224"/>
    <x v="0"/>
    <m/>
  </r>
  <r>
    <n v="748"/>
    <n v="293"/>
    <n v="57"/>
    <n v="5"/>
    <n v="285"/>
    <d v="2023-03-19T00:00:00"/>
    <s v="Ашан"/>
    <n v="248"/>
    <x v="17"/>
    <x v="35"/>
    <n v="267.85483870967744"/>
    <n v="-0.78719816944661891"/>
    <n v="6757"/>
    <n v="-0.99156430368506732"/>
    <d v="2022-05-13T00:00:00"/>
    <n v="310"/>
    <d v="2025-08-20T00:00:00"/>
    <x v="50"/>
    <x v="2"/>
    <m/>
  </r>
  <r>
    <n v="749"/>
    <n v="254"/>
    <n v="326"/>
    <n v="1"/>
    <n v="326"/>
    <d v="2024-03-21T00:00:00"/>
    <s v="Городской Супермаркет"/>
    <n v="201"/>
    <x v="1"/>
    <x v="1"/>
    <n v="264.8679245283019"/>
    <n v="0.23080210856247318"/>
    <n v="4287"/>
    <n v="-0.92395614648938651"/>
    <d v="2022-10-09T00:00:00"/>
    <n v="529"/>
    <d v="2025-08-20T00:00:00"/>
    <x v="225"/>
    <x v="4"/>
    <m/>
  </r>
  <r>
    <n v="750"/>
    <n v="248"/>
    <n v="176"/>
    <n v="5"/>
    <n v="880"/>
    <d v="2023-01-20T00:00:00"/>
    <s v="Перекресток"/>
    <n v="434"/>
    <x v="17"/>
    <x v="66"/>
    <n v="267.85483870967744"/>
    <n v="-0.34292768109833205"/>
    <n v="2189"/>
    <n v="-0.91959798994974873"/>
    <d v="2022-06-18T00:00:00"/>
    <n v="216"/>
    <d v="2025-08-20T00:00:00"/>
    <x v="114"/>
    <x v="3"/>
    <m/>
  </r>
  <r>
    <n v="751"/>
    <n v="156"/>
    <n v="490"/>
    <n v="1"/>
    <n v="490"/>
    <d v="2023-11-07T00:00:00"/>
    <s v="Гиперглобус"/>
    <n v="140"/>
    <x v="12"/>
    <x v="49"/>
    <n v="274.16279069767444"/>
    <n v="0.78725930952582912"/>
    <n v="2526"/>
    <n v="-0.80601741884402212"/>
    <d v="2022-03-07T00:00:00"/>
    <n v="610"/>
    <d v="2025-08-20T00:00:00"/>
    <x v="70"/>
    <x v="2"/>
    <m/>
  </r>
  <r>
    <n v="752"/>
    <n v="370"/>
    <n v="95"/>
    <n v="5"/>
    <n v="475"/>
    <d v="2023-10-03T00:00:00"/>
    <s v="Карусель"/>
    <n v="250"/>
    <x v="5"/>
    <x v="5"/>
    <n v="268.60344827586209"/>
    <n v="-0.64631876243661335"/>
    <n v="9023"/>
    <n v="-0.98947135099190953"/>
    <d v="2022-10-22T00:00:00"/>
    <n v="346"/>
    <d v="2025-08-20T00:00:00"/>
    <x v="206"/>
    <x v="2"/>
    <m/>
  </r>
  <r>
    <n v="753"/>
    <n v="61"/>
    <n v="183"/>
    <n v="5"/>
    <n v="915"/>
    <d v="2023-05-16T00:00:00"/>
    <s v="Гиперглобус"/>
    <n v="191"/>
    <x v="9"/>
    <x v="33"/>
    <n v="263.25423728813558"/>
    <n v="-0.30485449394797837"/>
    <n v="4970"/>
    <n v="-0.96317907444668005"/>
    <d v="2022-11-01T00:00:00"/>
    <n v="196"/>
    <d v="2025-08-20T00:00:00"/>
    <x v="169"/>
    <x v="3"/>
    <m/>
  </r>
  <r>
    <n v="754"/>
    <n v="246"/>
    <n v="302"/>
    <n v="5"/>
    <n v="1510"/>
    <d v="2024-04-25T00:00:00"/>
    <s v="Карусель"/>
    <n v="336"/>
    <x v="11"/>
    <x v="26"/>
    <n v="261.03225806451616"/>
    <n v="0.15694513099357388"/>
    <n v="3935"/>
    <n v="-0.92325285895806863"/>
    <d v="2022-10-22T00:00:00"/>
    <n v="551"/>
    <d v="2025-08-20T00:00:00"/>
    <x v="206"/>
    <x v="0"/>
    <m/>
  </r>
  <r>
    <n v="755"/>
    <n v="322"/>
    <n v="417"/>
    <n v="2"/>
    <n v="834"/>
    <d v="2024-03-25T00:00:00"/>
    <s v="Магнит"/>
    <n v="3"/>
    <x v="18"/>
    <x v="67"/>
    <n v="255.11627906976744"/>
    <n v="0.6345487693710119"/>
    <n v="3023"/>
    <n v="-0.8620575587165068"/>
    <d v="2022-04-15T00:00:00"/>
    <n v="710"/>
    <d v="2025-08-20T00:00:00"/>
    <x v="167"/>
    <x v="3"/>
    <m/>
  </r>
  <r>
    <n v="756"/>
    <n v="51"/>
    <n v="439"/>
    <n v="5"/>
    <n v="2195"/>
    <d v="2024-03-02T00:00:00"/>
    <s v="Гиперглобус"/>
    <n v="435"/>
    <x v="19"/>
    <x v="41"/>
    <n v="286.92307692307691"/>
    <n v="0.53002680965147464"/>
    <n v="2814"/>
    <n v="-0.84399431414356785"/>
    <d v="2022-02-26T00:00:00"/>
    <n v="735"/>
    <d v="2025-08-20T00:00:00"/>
    <x v="148"/>
    <x v="0"/>
    <m/>
  </r>
  <r>
    <n v="757"/>
    <n v="189"/>
    <n v="136"/>
    <n v="5"/>
    <n v="680"/>
    <d v="2023-11-02T00:00:00"/>
    <s v="Ашан"/>
    <n v="80"/>
    <x v="16"/>
    <x v="38"/>
    <n v="300.31818181818181"/>
    <n v="-0.54714696533979112"/>
    <n v="1848"/>
    <n v="-0.92640692640692635"/>
    <d v="2022-03-03T00:00:00"/>
    <n v="609"/>
    <d v="2025-08-20T00:00:00"/>
    <x v="124"/>
    <x v="1"/>
    <m/>
  </r>
  <r>
    <n v="758"/>
    <n v="67"/>
    <n v="274"/>
    <n v="4"/>
    <n v="1096"/>
    <d v="2024-01-07T00:00:00"/>
    <s v="Городской Супермаркет"/>
    <n v="262"/>
    <x v="9"/>
    <x v="42"/>
    <n v="263.25423728813558"/>
    <n v="4.0818954416688147E-2"/>
    <n v="2871"/>
    <n v="-0.90456287008011149"/>
    <d v="2022-08-05T00:00:00"/>
    <n v="520"/>
    <d v="2025-08-20T00:00:00"/>
    <x v="241"/>
    <x v="4"/>
    <m/>
  </r>
  <r>
    <n v="759"/>
    <n v="301"/>
    <n v="189"/>
    <n v="3"/>
    <n v="567"/>
    <d v="2023-08-06T00:00:00"/>
    <s v="Ароматный Мир"/>
    <n v="43"/>
    <x v="12"/>
    <x v="18"/>
    <n v="274.16279069767444"/>
    <n v="-0.31062855204003736"/>
    <n v="4059"/>
    <n v="-0.95343680709534373"/>
    <d v="2022-12-17T00:00:00"/>
    <n v="232"/>
    <d v="2025-08-20T00:00:00"/>
    <x v="204"/>
    <x v="2"/>
    <m/>
  </r>
  <r>
    <n v="760"/>
    <n v="463"/>
    <n v="77"/>
    <n v="4"/>
    <n v="308"/>
    <d v="2024-01-02T00:00:00"/>
    <s v="Пятерочка"/>
    <n v="163"/>
    <x v="7"/>
    <x v="39"/>
    <n v="249.02380952380952"/>
    <n v="-0.69079261879720821"/>
    <n v="2222"/>
    <n v="-0.96534653465346532"/>
    <d v="2022-01-10T00:00:00"/>
    <n v="722"/>
    <d v="2025-08-20T00:00:00"/>
    <x v="224"/>
    <x v="0"/>
    <m/>
  </r>
  <r>
    <n v="905"/>
    <n v="318"/>
    <n v="280"/>
    <n v="1"/>
    <n v="280"/>
    <d v="2023-10-14T00:00:00"/>
    <s v="Дикси"/>
    <n v="382"/>
    <x v="15"/>
    <x v="65"/>
    <n v="294.95238095238096"/>
    <n v="-0.42024539877300615"/>
    <n v="4946"/>
    <n v="-0.94338859684593612"/>
    <d v="2022-10-16T00:00:00"/>
    <n v="363"/>
    <d v="2025-08-20T00:00:00"/>
    <x v="51"/>
    <x v="1"/>
    <m/>
  </r>
  <r>
    <n v="762"/>
    <n v="398"/>
    <n v="464"/>
    <n v="5"/>
    <n v="2320"/>
    <d v="2023-04-24T00:00:00"/>
    <s v="Верный"/>
    <n v="342"/>
    <x v="5"/>
    <x v="5"/>
    <n v="268.60344827586209"/>
    <n v="0.72745362346748821"/>
    <n v="9023"/>
    <n v="-0.94857586168680041"/>
    <d v="2022-01-09T00:00:00"/>
    <n v="470"/>
    <d v="2025-08-20T00:00:00"/>
    <x v="82"/>
    <x v="4"/>
    <m/>
  </r>
  <r>
    <n v="763"/>
    <n v="483"/>
    <n v="140"/>
    <n v="5"/>
    <n v="700"/>
    <d v="2023-11-14T00:00:00"/>
    <s v="Верный"/>
    <n v="7"/>
    <x v="19"/>
    <x v="41"/>
    <n v="286.92307692307691"/>
    <n v="-0.51206434316353877"/>
    <n v="2814"/>
    <n v="-0.95024875621890548"/>
    <d v="2022-11-28T00:00:00"/>
    <n v="351"/>
    <d v="2025-08-20T00:00:00"/>
    <x v="17"/>
    <x v="2"/>
    <m/>
  </r>
  <r>
    <n v="764"/>
    <n v="86"/>
    <n v="353"/>
    <n v="2"/>
    <n v="706"/>
    <d v="2024-02-11T00:00:00"/>
    <s v="Азбука Вкуса"/>
    <n v="264"/>
    <x v="0"/>
    <x v="44"/>
    <n v="254.58333333333334"/>
    <n v="0.38657937806873965"/>
    <n v="4988"/>
    <n v="-0.92923015236567763"/>
    <d v="2022-12-12T00:00:00"/>
    <n v="426"/>
    <d v="2025-08-20T00:00:00"/>
    <x v="242"/>
    <x v="1"/>
    <m/>
  </r>
  <r>
    <n v="765"/>
    <n v="158"/>
    <n v="318"/>
    <n v="5"/>
    <n v="1590"/>
    <d v="2023-02-01T00:00:00"/>
    <s v="Мосмарт"/>
    <n v="99"/>
    <x v="0"/>
    <x v="11"/>
    <n v="254.58333333333334"/>
    <n v="0.24909983633387878"/>
    <n v="3604"/>
    <n v="-0.91176470588235292"/>
    <d v="2022-11-21T00:00:00"/>
    <n v="72"/>
    <d v="2025-08-20T00:00:00"/>
    <x v="133"/>
    <x v="2"/>
    <m/>
  </r>
  <r>
    <n v="766"/>
    <n v="199"/>
    <n v="80"/>
    <n v="5"/>
    <n v="400"/>
    <d v="2024-04-26T00:00:00"/>
    <s v="Гиперглобус"/>
    <n v="404"/>
    <x v="3"/>
    <x v="3"/>
    <n v="265.47674418604652"/>
    <n v="-0.69865533704174143"/>
    <n v="6852"/>
    <n v="-0.98832457676590779"/>
    <d v="2022-12-18T00:00:00"/>
    <n v="495"/>
    <d v="2025-08-20T00:00:00"/>
    <x v="243"/>
    <x v="3"/>
    <m/>
  </r>
  <r>
    <n v="767"/>
    <n v="259"/>
    <n v="90"/>
    <n v="4"/>
    <n v="360"/>
    <d v="2023-05-12T00:00:00"/>
    <s v="Спар"/>
    <n v="79"/>
    <x v="9"/>
    <x v="9"/>
    <n v="263.25423728813558"/>
    <n v="-0.65812516095802209"/>
    <n v="5929"/>
    <n v="-0.98482037443076409"/>
    <d v="2022-06-04T00:00:00"/>
    <n v="342"/>
    <d v="2025-08-20T00:00:00"/>
    <x v="109"/>
    <x v="4"/>
    <m/>
  </r>
  <r>
    <n v="768"/>
    <n v="468"/>
    <n v="167"/>
    <n v="4"/>
    <n v="668"/>
    <d v="2023-10-12T00:00:00"/>
    <s v="Азбука Вкуса"/>
    <n v="377"/>
    <x v="9"/>
    <x v="42"/>
    <n v="263.25423728813558"/>
    <n v="-0.36563224311099662"/>
    <n v="2871"/>
    <n v="-0.9418321142459074"/>
    <d v="2022-08-21T00:00:00"/>
    <n v="417"/>
    <d v="2025-08-20T00:00:00"/>
    <x v="13"/>
    <x v="0"/>
    <m/>
  </r>
  <r>
    <n v="769"/>
    <n v="4"/>
    <n v="478"/>
    <n v="4"/>
    <n v="1912"/>
    <d v="2023-08-18T00:00:00"/>
    <s v="Пятерочка"/>
    <n v="146"/>
    <x v="13"/>
    <x v="20"/>
    <n v="258.375"/>
    <n v="0.85002418964683124"/>
    <n v="4585"/>
    <n v="-0.89574700109051253"/>
    <d v="2022-02-25T00:00:00"/>
    <n v="539"/>
    <d v="2025-08-20T00:00:00"/>
    <x v="244"/>
    <x v="1"/>
    <m/>
  </r>
  <r>
    <n v="770"/>
    <n v="155"/>
    <n v="310"/>
    <n v="4"/>
    <n v="1240"/>
    <d v="2023-01-04T00:00:00"/>
    <s v="Метро"/>
    <n v="346"/>
    <x v="9"/>
    <x v="33"/>
    <n v="263.25423728813558"/>
    <n v="0.17756889003347931"/>
    <n v="4970"/>
    <n v="-0.93762575452716301"/>
    <d v="2022-03-16T00:00:00"/>
    <n v="294"/>
    <d v="2025-08-20T00:00:00"/>
    <x v="58"/>
    <x v="2"/>
    <m/>
  </r>
  <r>
    <n v="771"/>
    <n v="413"/>
    <n v="210"/>
    <n v="5"/>
    <n v="1050"/>
    <d v="2024-05-10T00:00:00"/>
    <s v="Метро"/>
    <n v="436"/>
    <x v="7"/>
    <x v="7"/>
    <n v="249.02380952380952"/>
    <n v="-0.15670714217420401"/>
    <n v="5248"/>
    <n v="-0.95998475609756095"/>
    <d v="2022-05-02T00:00:00"/>
    <n v="739"/>
    <d v="2025-08-20T00:00:00"/>
    <x v="52"/>
    <x v="2"/>
    <m/>
  </r>
  <r>
    <n v="772"/>
    <n v="200"/>
    <n v="67"/>
    <n v="1"/>
    <n v="67"/>
    <d v="2023-08-25T00:00:00"/>
    <s v="Мираторг"/>
    <n v="103"/>
    <x v="14"/>
    <x v="62"/>
    <n v="273.72549019607845"/>
    <n v="-0.75522922636103151"/>
    <n v="2929"/>
    <n v="-0.97712529873677023"/>
    <d v="2022-08-14T00:00:00"/>
    <n v="376"/>
    <d v="2025-08-20T00:00:00"/>
    <x v="132"/>
    <x v="0"/>
    <m/>
  </r>
  <r>
    <n v="773"/>
    <n v="295"/>
    <n v="294"/>
    <n v="5"/>
    <n v="1470"/>
    <d v="2023-08-09T00:00:00"/>
    <s v="Ашан"/>
    <n v="493"/>
    <x v="2"/>
    <x v="36"/>
    <n v="283.468085106383"/>
    <n v="3.715379419049758E-2"/>
    <n v="3493"/>
    <n v="-0.91583166332665333"/>
    <d v="2022-10-21T00:00:00"/>
    <n v="292"/>
    <d v="2025-08-20T00:00:00"/>
    <x v="48"/>
    <x v="3"/>
    <m/>
  </r>
  <r>
    <n v="774"/>
    <n v="39"/>
    <n v="404"/>
    <n v="2"/>
    <n v="808"/>
    <d v="2023-09-06T00:00:00"/>
    <s v="Мосмарт"/>
    <n v="252"/>
    <x v="11"/>
    <x v="46"/>
    <n v="261.03225806451616"/>
    <n v="0.54770143351458223"/>
    <n v="8943"/>
    <n v="-0.95482500279548255"/>
    <d v="2022-03-23T00:00:00"/>
    <n v="532"/>
    <d v="2025-08-20T00:00:00"/>
    <x v="3"/>
    <x v="2"/>
    <m/>
  </r>
  <r>
    <n v="775"/>
    <n v="228"/>
    <n v="98"/>
    <n v="2"/>
    <n v="196"/>
    <d v="2024-02-22T00:00:00"/>
    <s v="Спар"/>
    <n v="338"/>
    <x v="13"/>
    <x v="34"/>
    <n v="258.375"/>
    <n v="-0.62070633768746974"/>
    <n v="1271"/>
    <n v="-0.92289535798583788"/>
    <d v="2022-01-16T00:00:00"/>
    <n v="767"/>
    <d v="2025-08-20T00:00:00"/>
    <x v="4"/>
    <x v="4"/>
    <m/>
  </r>
  <r>
    <n v="776"/>
    <n v="37"/>
    <n v="139"/>
    <n v="3"/>
    <n v="417"/>
    <d v="2023-03-29T00:00:00"/>
    <s v="Гиперглобус"/>
    <n v="397"/>
    <x v="1"/>
    <x v="1"/>
    <n v="264.8679245283019"/>
    <n v="-0.47521014389514182"/>
    <n v="4287"/>
    <n v="-0.9675763937485421"/>
    <d v="2022-06-16T00:00:00"/>
    <n v="286"/>
    <d v="2025-08-20T00:00:00"/>
    <x v="21"/>
    <x v="1"/>
    <m/>
  </r>
  <r>
    <n v="777"/>
    <n v="62"/>
    <n v="241"/>
    <n v="2"/>
    <n v="482"/>
    <d v="2023-11-01T00:00:00"/>
    <s v="Бристоль"/>
    <n v="247"/>
    <x v="6"/>
    <x v="59"/>
    <n v="258.5128205128205"/>
    <n v="-6.7744495139853145E-2"/>
    <n v="2609"/>
    <n v="-0.90762744346492907"/>
    <d v="2022-07-20T00:00:00"/>
    <n v="469"/>
    <d v="2025-08-20T00:00:00"/>
    <x v="75"/>
    <x v="0"/>
    <m/>
  </r>
  <r>
    <n v="778"/>
    <n v="468"/>
    <n v="182"/>
    <n v="5"/>
    <n v="910"/>
    <d v="2023-03-20T00:00:00"/>
    <s v="Магнит"/>
    <n v="445"/>
    <x v="9"/>
    <x v="42"/>
    <n v="263.25423728813558"/>
    <n v="-0.30865310327066697"/>
    <n v="2871"/>
    <n v="-0.93660745384883315"/>
    <d v="2022-04-25T00:00:00"/>
    <n v="329"/>
    <d v="2025-08-20T00:00:00"/>
    <x v="209"/>
    <x v="2"/>
    <m/>
  </r>
  <r>
    <n v="779"/>
    <n v="497"/>
    <n v="275"/>
    <n v="4"/>
    <n v="1100"/>
    <d v="2023-11-06T00:00:00"/>
    <s v="Верный"/>
    <n v="477"/>
    <x v="17"/>
    <x v="35"/>
    <n v="267.85483870967744"/>
    <n v="2.667549828385618E-2"/>
    <n v="6757"/>
    <n v="-0.95930146514725467"/>
    <d v="2022-06-26T00:00:00"/>
    <n v="498"/>
    <d v="2025-08-20T00:00:00"/>
    <x v="6"/>
    <x v="0"/>
    <m/>
  </r>
  <r>
    <n v="780"/>
    <n v="372"/>
    <n v="182"/>
    <n v="2"/>
    <n v="364"/>
    <d v="2023-03-06T00:00:00"/>
    <s v="О'кей"/>
    <n v="402"/>
    <x v="7"/>
    <x v="39"/>
    <n v="249.02380952380952"/>
    <n v="-0.26914618988431016"/>
    <n v="2222"/>
    <n v="-0.91809180918091804"/>
    <d v="2022-06-30T00:00:00"/>
    <n v="249"/>
    <d v="2025-08-20T00:00:00"/>
    <x v="205"/>
    <x v="0"/>
    <m/>
  </r>
  <r>
    <n v="781"/>
    <n v="354"/>
    <n v="203"/>
    <n v="5"/>
    <n v="1015"/>
    <d v="2023-11-04T00:00:00"/>
    <s v="Седьмой Континент"/>
    <n v="265"/>
    <x v="8"/>
    <x v="14"/>
    <n v="271.18181818181819"/>
    <n v="-0.25142474019443517"/>
    <n v="4943"/>
    <n v="-0.95893182277968847"/>
    <d v="2022-07-14T00:00:00"/>
    <n v="478"/>
    <d v="2025-08-20T00:00:00"/>
    <x v="19"/>
    <x v="0"/>
    <m/>
  </r>
  <r>
    <n v="782"/>
    <n v="460"/>
    <n v="103"/>
    <n v="5"/>
    <n v="515"/>
    <d v="2024-04-29T00:00:00"/>
    <s v="Билла"/>
    <n v="124"/>
    <x v="7"/>
    <x v="76"/>
    <n v="249.02380952380952"/>
    <n v="-0.58638493163782379"/>
    <n v="420"/>
    <n v="-0.75476190476190474"/>
    <d v="2022-08-22T00:00:00"/>
    <n v="616"/>
    <d v="2025-08-20T00:00:00"/>
    <x v="49"/>
    <x v="2"/>
    <m/>
  </r>
  <r>
    <n v="783"/>
    <n v="63"/>
    <n v="344"/>
    <n v="2"/>
    <n v="688"/>
    <d v="2023-09-25T00:00:00"/>
    <s v="Пятерочка"/>
    <n v="208"/>
    <x v="6"/>
    <x v="59"/>
    <n v="258.5128205128205"/>
    <n v="0.33068835548502284"/>
    <n v="2609"/>
    <n v="-0.86814871598313537"/>
    <d v="2022-06-24T00:00:00"/>
    <n v="458"/>
    <d v="2025-08-20T00:00:00"/>
    <x v="245"/>
    <x v="3"/>
    <m/>
  </r>
  <r>
    <n v="784"/>
    <n v="467"/>
    <n v="436"/>
    <n v="3"/>
    <n v="1308"/>
    <d v="2023-12-29T00:00:00"/>
    <s v="Карусель"/>
    <n v="343"/>
    <x v="3"/>
    <x v="3"/>
    <n v="265.47674418604652"/>
    <n v="0.64232841312250888"/>
    <n v="6852"/>
    <n v="-0.93636894337419729"/>
    <d v="2022-11-09T00:00:00"/>
    <n v="415"/>
    <d v="2025-08-20T00:00:00"/>
    <x v="246"/>
    <x v="3"/>
    <m/>
  </r>
  <r>
    <n v="785"/>
    <n v="184"/>
    <n v="79"/>
    <n v="4"/>
    <n v="316"/>
    <d v="2024-04-25T00:00:00"/>
    <s v="Дикси"/>
    <n v="394"/>
    <x v="17"/>
    <x v="70"/>
    <n v="267.85483870967744"/>
    <n v="-0.7050641295839104"/>
    <n v="1608"/>
    <n v="-0.95087064676616917"/>
    <d v="2022-05-27T00:00:00"/>
    <n v="699"/>
    <d v="2025-08-20T00:00:00"/>
    <x v="240"/>
    <x v="2"/>
    <m/>
  </r>
  <r>
    <n v="786"/>
    <n v="265"/>
    <n v="339"/>
    <n v="3"/>
    <n v="1017"/>
    <d v="2023-01-18T00:00:00"/>
    <s v="Дикси"/>
    <n v="242"/>
    <x v="10"/>
    <x v="15"/>
    <n v="271.74545454545455"/>
    <n v="0.24749096748293864"/>
    <n v="3799"/>
    <n v="-0.91076599105027634"/>
    <d v="2022-07-05T00:00:00"/>
    <n v="197"/>
    <d v="2025-08-20T00:00:00"/>
    <x v="0"/>
    <x v="2"/>
    <m/>
  </r>
  <r>
    <n v="787"/>
    <n v="130"/>
    <n v="319"/>
    <n v="3"/>
    <n v="957"/>
    <d v="2023-08-07T00:00:00"/>
    <s v="Азбука Вкуса"/>
    <n v="56"/>
    <x v="1"/>
    <x v="1"/>
    <n v="264.8679245283019"/>
    <n v="0.20437384242769618"/>
    <n v="4287"/>
    <n v="-0.92558898996967576"/>
    <d v="2022-04-11T00:00:00"/>
    <n v="483"/>
    <d v="2025-08-20T00:00:00"/>
    <x v="184"/>
    <x v="4"/>
    <m/>
  </r>
  <r>
    <n v="788"/>
    <n v="443"/>
    <n v="348"/>
    <n v="3"/>
    <n v="1044"/>
    <d v="2023-01-04T00:00:00"/>
    <s v="Магнит"/>
    <n v="324"/>
    <x v="7"/>
    <x v="7"/>
    <n v="249.02380952380952"/>
    <n v="0.3974567358256047"/>
    <n v="5248"/>
    <n v="-0.93368902439024393"/>
    <d v="2022-07-19T00:00:00"/>
    <n v="169"/>
    <d v="2025-08-20T00:00:00"/>
    <x v="32"/>
    <x v="0"/>
    <m/>
  </r>
  <r>
    <n v="789"/>
    <n v="408"/>
    <n v="60"/>
    <n v="4"/>
    <n v="240"/>
    <d v="2024-01-08T00:00:00"/>
    <s v="Мосмарт"/>
    <n v="486"/>
    <x v="9"/>
    <x v="33"/>
    <n v="263.25423728813558"/>
    <n v="-0.7720834406386814"/>
    <n v="4970"/>
    <n v="-0.98792756539235416"/>
    <d v="2022-06-11T00:00:00"/>
    <n v="576"/>
    <d v="2025-08-20T00:00:00"/>
    <x v="202"/>
    <x v="2"/>
    <m/>
  </r>
  <r>
    <n v="790"/>
    <n v="249"/>
    <n v="125"/>
    <n v="5"/>
    <n v="625"/>
    <d v="2024-01-31T00:00:00"/>
    <s v="Верный"/>
    <n v="71"/>
    <x v="8"/>
    <x v="14"/>
    <n v="271.18181818181819"/>
    <n v="-0.539054642976869"/>
    <n v="4943"/>
    <n v="-0.97471171353429087"/>
    <d v="2022-07-20T00:00:00"/>
    <n v="560"/>
    <d v="2025-08-20T00:00:00"/>
    <x v="75"/>
    <x v="3"/>
    <m/>
  </r>
  <r>
    <n v="791"/>
    <n v="241"/>
    <n v="490"/>
    <n v="1"/>
    <n v="490"/>
    <d v="2023-12-11T00:00:00"/>
    <s v="Мосмарт"/>
    <n v="299"/>
    <x v="19"/>
    <x v="40"/>
    <n v="286.92307692307691"/>
    <n v="0.70777479892761397"/>
    <n v="3283"/>
    <n v="-0.85074626865671643"/>
    <d v="2022-04-15T00:00:00"/>
    <n v="605"/>
    <d v="2025-08-20T00:00:00"/>
    <x v="167"/>
    <x v="3"/>
    <m/>
  </r>
  <r>
    <n v="792"/>
    <n v="202"/>
    <n v="298"/>
    <n v="4"/>
    <n v="1192"/>
    <d v="2023-02-22T00:00:00"/>
    <s v="Магнит"/>
    <n v="265"/>
    <x v="4"/>
    <x v="24"/>
    <n v="250.48780487804879"/>
    <n v="0.18967867575462516"/>
    <n v="5165"/>
    <n v="-0.94230396902226521"/>
    <d v="2022-07-14T00:00:00"/>
    <n v="223"/>
    <d v="2025-08-20T00:00:00"/>
    <x v="19"/>
    <x v="0"/>
    <m/>
  </r>
  <r>
    <n v="793"/>
    <n v="376"/>
    <n v="441"/>
    <n v="2"/>
    <n v="882"/>
    <d v="2024-03-13T00:00:00"/>
    <s v="Седьмой Континент"/>
    <n v="272"/>
    <x v="17"/>
    <x v="66"/>
    <n v="267.85483870967744"/>
    <n v="0.64641416270247465"/>
    <n v="2189"/>
    <n v="-0.79853814527181366"/>
    <d v="2022-04-17T00:00:00"/>
    <n v="696"/>
    <d v="2025-08-20T00:00:00"/>
    <x v="102"/>
    <x v="4"/>
    <m/>
  </r>
  <r>
    <n v="794"/>
    <n v="371"/>
    <n v="126"/>
    <n v="5"/>
    <n v="630"/>
    <d v="2023-10-31T00:00:00"/>
    <s v="Карусель"/>
    <n v="371"/>
    <x v="0"/>
    <x v="44"/>
    <n v="254.58333333333334"/>
    <n v="-0.50507364975450086"/>
    <n v="4988"/>
    <n v="-0.97473937449879711"/>
    <d v="2022-10-10T00:00:00"/>
    <n v="386"/>
    <d v="2025-08-20T00:00:00"/>
    <x v="54"/>
    <x v="3"/>
    <m/>
  </r>
  <r>
    <n v="795"/>
    <n v="308"/>
    <n v="416"/>
    <n v="4"/>
    <n v="1664"/>
    <d v="2023-10-18T00:00:00"/>
    <s v="Мираторг"/>
    <n v="360"/>
    <x v="17"/>
    <x v="35"/>
    <n v="267.85483870967744"/>
    <n v="0.55308002649485144"/>
    <n v="6757"/>
    <n v="-0.93843421636821078"/>
    <d v="2022-06-16T00:00:00"/>
    <n v="489"/>
    <d v="2025-08-20T00:00:00"/>
    <x v="21"/>
    <x v="1"/>
    <m/>
  </r>
  <r>
    <n v="796"/>
    <n v="146"/>
    <n v="387"/>
    <n v="4"/>
    <n v="1548"/>
    <d v="2023-04-11T00:00:00"/>
    <s v="Городской Супермаркет"/>
    <n v="368"/>
    <x v="5"/>
    <x v="28"/>
    <n v="268.60344827586209"/>
    <n v="0.44078567302137484"/>
    <n v="2671"/>
    <n v="-0.85511044552602022"/>
    <d v="2022-11-07T00:00:00"/>
    <n v="155"/>
    <d v="2025-08-20T00:00:00"/>
    <x v="201"/>
    <x v="0"/>
    <m/>
  </r>
  <r>
    <n v="797"/>
    <n v="77"/>
    <n v="151"/>
    <n v="2"/>
    <n v="302"/>
    <d v="2023-05-21T00:00:00"/>
    <s v="Азбука Вкуса"/>
    <n v="481"/>
    <x v="3"/>
    <x v="16"/>
    <n v="265.47674418604652"/>
    <n v="-0.43121194866628709"/>
    <n v="10237"/>
    <n v="-0.98524958483930836"/>
    <d v="2022-07-14T00:00:00"/>
    <n v="311"/>
    <d v="2025-08-20T00:00:00"/>
    <x v="19"/>
    <x v="1"/>
    <m/>
  </r>
  <r>
    <n v="798"/>
    <n v="407"/>
    <n v="157"/>
    <n v="3"/>
    <n v="471"/>
    <d v="2023-12-15T00:00:00"/>
    <s v="Дикси"/>
    <n v="354"/>
    <x v="17"/>
    <x v="70"/>
    <n v="267.85483870967744"/>
    <n v="-0.41386162461612575"/>
    <n v="1608"/>
    <n v="-0.90236318407960203"/>
    <d v="2022-09-07T00:00:00"/>
    <n v="464"/>
    <d v="2025-08-20T00:00:00"/>
    <x v="130"/>
    <x v="0"/>
    <m/>
  </r>
  <r>
    <n v="799"/>
    <n v="357"/>
    <n v="55"/>
    <n v="5"/>
    <n v="275"/>
    <d v="2024-01-11T00:00:00"/>
    <s v="Магнит"/>
    <n v="8"/>
    <x v="10"/>
    <x v="37"/>
    <n v="271.74545454545455"/>
    <n v="-0.79760471029037872"/>
    <n v="4630"/>
    <n v="-0.98812095032397407"/>
    <d v="2022-11-18T00:00:00"/>
    <n v="419"/>
    <d v="2025-08-20T00:00:00"/>
    <x v="101"/>
    <x v="1"/>
    <m/>
  </r>
  <r>
    <n v="800"/>
    <n v="409"/>
    <n v="235"/>
    <n v="5"/>
    <n v="1175"/>
    <d v="2023-02-03T00:00:00"/>
    <s v="Перекресток"/>
    <n v="1"/>
    <x v="12"/>
    <x v="64"/>
    <n v="274.16279069767444"/>
    <n v="-0.14284502502332685"/>
    <n v="3358"/>
    <n v="-0.93001786777843953"/>
    <d v="2022-01-24T00:00:00"/>
    <n v="375"/>
    <d v="2025-08-20T00:00:00"/>
    <x v="73"/>
    <x v="2"/>
    <m/>
  </r>
  <r>
    <n v="801"/>
    <n v="148"/>
    <n v="474"/>
    <n v="4"/>
    <n v="1896"/>
    <d v="2023-05-28T00:00:00"/>
    <s v="Метро"/>
    <n v="333"/>
    <x v="5"/>
    <x v="5"/>
    <n v="268.60344827586209"/>
    <n v="0.76468322742152872"/>
    <n v="9023"/>
    <n v="-0.94746758284384347"/>
    <d v="2022-10-23T00:00:00"/>
    <n v="217"/>
    <d v="2025-08-20T00:00:00"/>
    <x v="31"/>
    <x v="2"/>
    <m/>
  </r>
  <r>
    <n v="802"/>
    <n v="63"/>
    <n v="479"/>
    <n v="4"/>
    <n v="1916"/>
    <d v="2023-11-05T00:00:00"/>
    <s v="Верный"/>
    <n v="396"/>
    <x v="6"/>
    <x v="59"/>
    <n v="258.5128205128205"/>
    <n v="0.85290616941083131"/>
    <n v="2609"/>
    <n v="-0.8164047527788425"/>
    <d v="2022-11-06T00:00:00"/>
    <n v="364"/>
    <d v="2025-08-20T00:00:00"/>
    <x v="89"/>
    <x v="3"/>
    <m/>
  </r>
  <r>
    <n v="803"/>
    <n v="410"/>
    <n v="320"/>
    <n v="4"/>
    <n v="1280"/>
    <d v="2023-04-29T00:00:00"/>
    <s v="Перекресток"/>
    <n v="401"/>
    <x v="14"/>
    <x v="43"/>
    <n v="273.72549019607845"/>
    <n v="0.16905444126074487"/>
    <n v="2244"/>
    <n v="-0.85739750445632801"/>
    <d v="2022-10-22T00:00:00"/>
    <n v="189"/>
    <d v="2025-08-20T00:00:00"/>
    <x v="206"/>
    <x v="2"/>
    <m/>
  </r>
  <r>
    <n v="804"/>
    <n v="223"/>
    <n v="477"/>
    <n v="4"/>
    <n v="1908"/>
    <d v="2023-05-18T00:00:00"/>
    <s v="Мосмарт"/>
    <n v="121"/>
    <x v="8"/>
    <x v="8"/>
    <n v="271.18181818181819"/>
    <n v="0.75896748240026812"/>
    <n v="6412"/>
    <n v="-0.92560823456019958"/>
    <d v="2022-07-21T00:00:00"/>
    <n v="301"/>
    <d v="2025-08-20T00:00:00"/>
    <x v="144"/>
    <x v="2"/>
    <m/>
  </r>
  <r>
    <n v="805"/>
    <n v="35"/>
    <n v="277"/>
    <n v="4"/>
    <n v="1108"/>
    <d v="2024-05-10T00:00:00"/>
    <s v="Городской Супермаркет"/>
    <n v="108"/>
    <x v="18"/>
    <x v="34"/>
    <n v="255.11627906976744"/>
    <n v="8.5779398359161263E-2"/>
    <n v="3254"/>
    <n v="-0.91487400122925633"/>
    <d v="2022-10-01T00:00:00"/>
    <n v="587"/>
    <d v="2025-08-20T00:00:00"/>
    <x v="235"/>
    <x v="0"/>
    <m/>
  </r>
  <r>
    <n v="806"/>
    <n v="398"/>
    <n v="127"/>
    <n v="5"/>
    <n v="635"/>
    <d v="2023-11-23T00:00:00"/>
    <s v="Мосмарт"/>
    <n v="191"/>
    <x v="5"/>
    <x v="5"/>
    <n v="268.60344827586209"/>
    <n v="-0.52718402978368317"/>
    <n v="9023"/>
    <n v="-0.98592485869444757"/>
    <d v="2022-11-01T00:00:00"/>
    <n v="387"/>
    <d v="2025-08-20T00:00:00"/>
    <x v="169"/>
    <x v="3"/>
    <m/>
  </r>
  <r>
    <n v="807"/>
    <n v="132"/>
    <n v="154"/>
    <n v="3"/>
    <n v="462"/>
    <d v="2024-01-03T00:00:00"/>
    <s v="Метро"/>
    <n v="443"/>
    <x v="6"/>
    <x v="6"/>
    <n v="258.5128205128205"/>
    <n v="-0.40428486411426301"/>
    <n v="4431"/>
    <n v="-0.96524486571879942"/>
    <d v="2022-03-29T00:00:00"/>
    <n v="645"/>
    <d v="2025-08-20T00:00:00"/>
    <x v="30"/>
    <x v="2"/>
    <m/>
  </r>
  <r>
    <n v="808"/>
    <n v="415"/>
    <n v="84"/>
    <n v="5"/>
    <n v="420"/>
    <d v="2023-08-18T00:00:00"/>
    <s v="Ашан"/>
    <n v="191"/>
    <x v="14"/>
    <x v="21"/>
    <n v="273.72549019607845"/>
    <n v="-0.69312320916905446"/>
    <n v="5885"/>
    <n v="-0.98572642310960068"/>
    <d v="2022-11-01T00:00:00"/>
    <n v="290"/>
    <d v="2025-08-20T00:00:00"/>
    <x v="169"/>
    <x v="3"/>
    <m/>
  </r>
  <r>
    <n v="809"/>
    <n v="384"/>
    <n v="423"/>
    <n v="5"/>
    <n v="2115"/>
    <d v="2024-02-24T00:00:00"/>
    <s v="Седьмой Континент"/>
    <n v="249"/>
    <x v="0"/>
    <x v="11"/>
    <n v="254.58333333333334"/>
    <n v="0.66153846153846141"/>
    <n v="3604"/>
    <n v="-0.88263041065482795"/>
    <d v="2022-08-08T00:00:00"/>
    <n v="565"/>
    <d v="2025-08-20T00:00:00"/>
    <x v="142"/>
    <x v="2"/>
    <m/>
  </r>
  <r>
    <n v="810"/>
    <n v="311"/>
    <n v="470"/>
    <n v="2"/>
    <n v="940"/>
    <d v="2024-01-13T00:00:00"/>
    <s v="Метро"/>
    <n v="418"/>
    <x v="3"/>
    <x v="16"/>
    <n v="265.47674418604652"/>
    <n v="0.77039989487976879"/>
    <n v="10237"/>
    <n v="-0.95408811175148966"/>
    <d v="2022-05-19T00:00:00"/>
    <n v="604"/>
    <d v="2025-08-20T00:00:00"/>
    <x v="198"/>
    <x v="1"/>
    <m/>
  </r>
  <r>
    <n v="811"/>
    <n v="328"/>
    <n v="59"/>
    <n v="1"/>
    <n v="59"/>
    <d v="2023-03-06T00:00:00"/>
    <s v="О'кей"/>
    <n v="126"/>
    <x v="14"/>
    <x v="56"/>
    <n v="273.72549019607845"/>
    <n v="-0.78445558739255017"/>
    <n v="2902"/>
    <n v="-0.97966919365954519"/>
    <d v="2022-09-18T00:00:00"/>
    <n v="169"/>
    <d v="2025-08-20T00:00:00"/>
    <x v="81"/>
    <x v="0"/>
    <m/>
  </r>
  <r>
    <n v="812"/>
    <n v="74"/>
    <n v="332"/>
    <n v="3"/>
    <n v="996"/>
    <d v="2023-03-15T00:00:00"/>
    <s v="Магнит"/>
    <n v="497"/>
    <x v="19"/>
    <x v="73"/>
    <n v="286.92307692307691"/>
    <n v="0.15710455764075082"/>
    <n v="1281"/>
    <n v="-0.7408274785323965"/>
    <d v="2022-09-22T00:00:00"/>
    <n v="174"/>
    <d v="2025-08-20T00:00:00"/>
    <x v="168"/>
    <x v="0"/>
    <m/>
  </r>
  <r>
    <n v="813"/>
    <n v="152"/>
    <n v="94"/>
    <n v="5"/>
    <n v="470"/>
    <d v="2023-01-16T00:00:00"/>
    <s v="Магнит"/>
    <n v="332"/>
    <x v="2"/>
    <x v="36"/>
    <n v="283.468085106383"/>
    <n v="-0.66839300457854844"/>
    <n v="3493"/>
    <n v="-0.97308903521328372"/>
    <d v="2022-10-24T00:00:00"/>
    <n v="84"/>
    <d v="2025-08-20T00:00:00"/>
    <x v="12"/>
    <x v="0"/>
    <m/>
  </r>
  <r>
    <n v="814"/>
    <n v="319"/>
    <n v="148"/>
    <n v="1"/>
    <n v="148"/>
    <d v="2023-08-05T00:00:00"/>
    <s v="Мираторг"/>
    <n v="445"/>
    <x v="9"/>
    <x v="33"/>
    <n v="263.25423728813558"/>
    <n v="-0.43780582024208081"/>
    <n v="4970"/>
    <n v="-0.9702213279678068"/>
    <d v="2022-04-25T00:00:00"/>
    <n v="467"/>
    <d v="2025-08-20T00:00:00"/>
    <x v="209"/>
    <x v="2"/>
    <m/>
  </r>
  <r>
    <n v="815"/>
    <n v="19"/>
    <n v="378"/>
    <n v="2"/>
    <n v="756"/>
    <d v="2024-03-07T00:00:00"/>
    <s v="Ароматный Мир"/>
    <n v="167"/>
    <x v="10"/>
    <x v="37"/>
    <n v="271.74545454545455"/>
    <n v="0.39100762745885187"/>
    <n v="4630"/>
    <n v="-0.91835853131749456"/>
    <d v="2022-01-02T00:00:00"/>
    <n v="795"/>
    <d v="2025-08-20T00:00:00"/>
    <x v="22"/>
    <x v="0"/>
    <m/>
  </r>
  <r>
    <n v="816"/>
    <n v="242"/>
    <n v="265"/>
    <n v="4"/>
    <n v="1060"/>
    <d v="2023-01-05T00:00:00"/>
    <s v="Азбука Вкуса"/>
    <n v="415"/>
    <x v="4"/>
    <x v="24"/>
    <n v="250.48780487804879"/>
    <n v="5.7935735150924872E-2"/>
    <n v="5165"/>
    <n v="-0.94869312681510165"/>
    <d v="2022-04-10T00:00:00"/>
    <n v="270"/>
    <d v="2025-08-20T00:00:00"/>
    <x v="59"/>
    <x v="3"/>
    <m/>
  </r>
  <r>
    <n v="817"/>
    <n v="354"/>
    <n v="431"/>
    <n v="1"/>
    <n v="431"/>
    <d v="2024-05-07T00:00:00"/>
    <s v="Билла"/>
    <n v="229"/>
    <x v="8"/>
    <x v="14"/>
    <n v="271.18181818181819"/>
    <n v="0.58933959101575595"/>
    <n v="4943"/>
    <n v="-0.91280598826623505"/>
    <d v="2022-07-24T00:00:00"/>
    <n v="653"/>
    <d v="2025-08-20T00:00:00"/>
    <x v="45"/>
    <x v="1"/>
    <m/>
  </r>
  <r>
    <n v="818"/>
    <n v="354"/>
    <n v="382"/>
    <n v="4"/>
    <n v="1528"/>
    <d v="2023-01-13T00:00:00"/>
    <s v="Перекресток"/>
    <n v="119"/>
    <x v="8"/>
    <x v="14"/>
    <n v="271.18181818181819"/>
    <n v="0.40864901106268858"/>
    <n v="4943"/>
    <n v="-0.92271899656079304"/>
    <d v="2022-05-09T00:00:00"/>
    <n v="249"/>
    <d v="2025-08-20T00:00:00"/>
    <x v="68"/>
    <x v="2"/>
    <m/>
  </r>
  <r>
    <n v="819"/>
    <n v="245"/>
    <n v="281"/>
    <n v="1"/>
    <n v="281"/>
    <d v="2023-04-20T00:00:00"/>
    <s v="Верный"/>
    <n v="341"/>
    <x v="0"/>
    <x v="0"/>
    <n v="254.58333333333334"/>
    <n v="0.10376432078559739"/>
    <n v="5172"/>
    <n v="-0.94566898685228151"/>
    <d v="2022-06-12T00:00:00"/>
    <n v="312"/>
    <d v="2025-08-20T00:00:00"/>
    <x v="156"/>
    <x v="2"/>
    <m/>
  </r>
  <r>
    <n v="820"/>
    <n v="386"/>
    <n v="149"/>
    <n v="5"/>
    <n v="745"/>
    <d v="2023-06-26T00:00:00"/>
    <s v="Бристоль"/>
    <n v="407"/>
    <x v="18"/>
    <x v="67"/>
    <n v="255.11627906976744"/>
    <n v="-0.41595259799453055"/>
    <n v="3023"/>
    <n v="-0.95071121402580216"/>
    <d v="2022-03-01T00:00:00"/>
    <n v="482"/>
    <d v="2025-08-20T00:00:00"/>
    <x v="47"/>
    <x v="1"/>
    <m/>
  </r>
  <r>
    <n v="821"/>
    <n v="434"/>
    <n v="257"/>
    <n v="2"/>
    <n v="514"/>
    <d v="2023-07-21T00:00:00"/>
    <s v="Городской Супермаркет"/>
    <n v="264"/>
    <x v="11"/>
    <x v="46"/>
    <n v="261.03225806451616"/>
    <n v="-1.5447355412753438E-2"/>
    <n v="8943"/>
    <n v="-0.97126243989712624"/>
    <d v="2022-12-12T00:00:00"/>
    <n v="221"/>
    <d v="2025-08-20T00:00:00"/>
    <x v="242"/>
    <x v="1"/>
    <m/>
  </r>
  <r>
    <n v="822"/>
    <n v="402"/>
    <n v="218"/>
    <n v="1"/>
    <n v="218"/>
    <d v="2024-01-31T00:00:00"/>
    <s v="Мираторг"/>
    <n v="91"/>
    <x v="16"/>
    <x v="50"/>
    <n v="300.31818181818181"/>
    <n v="-0.27410322385348873"/>
    <n v="3974"/>
    <n v="-0.94514343231001507"/>
    <d v="2022-05-06T00:00:00"/>
    <n v="635"/>
    <d v="2025-08-20T00:00:00"/>
    <x v="247"/>
    <x v="2"/>
    <m/>
  </r>
  <r>
    <n v="823"/>
    <n v="326"/>
    <n v="198"/>
    <n v="2"/>
    <n v="396"/>
    <d v="2024-04-14T00:00:00"/>
    <s v="Городской Супермаркет"/>
    <n v="362"/>
    <x v="18"/>
    <x v="67"/>
    <n v="255.11627906976744"/>
    <n v="-0.22388331814038287"/>
    <n v="3023"/>
    <n v="-0.9345021501819385"/>
    <d v="2022-12-21T00:00:00"/>
    <n v="480"/>
    <d v="2025-08-20T00:00:00"/>
    <x v="97"/>
    <x v="2"/>
    <m/>
  </r>
  <r>
    <n v="824"/>
    <n v="491"/>
    <n v="111"/>
    <n v="4"/>
    <n v="444"/>
    <d v="2023-08-07T00:00:00"/>
    <s v="Дикси"/>
    <n v="473"/>
    <x v="4"/>
    <x v="4"/>
    <n v="250.48780487804879"/>
    <n v="-0.5568646543330088"/>
    <n v="796"/>
    <n v="-0.86055276381909551"/>
    <d v="2022-08-26T00:00:00"/>
    <n v="346"/>
    <d v="2025-08-20T00:00:00"/>
    <x v="207"/>
    <x v="2"/>
    <m/>
  </r>
  <r>
    <n v="825"/>
    <n v="240"/>
    <n v="306"/>
    <n v="5"/>
    <n v="1530"/>
    <d v="2024-01-28T00:00:00"/>
    <s v="Азбука Вкуса"/>
    <n v="482"/>
    <x v="3"/>
    <x v="3"/>
    <n v="265.47674418604652"/>
    <n v="0.15264333581533873"/>
    <n v="6852"/>
    <n v="-0.95534150612959723"/>
    <d v="2022-04-28T00:00:00"/>
    <n v="640"/>
    <d v="2025-08-20T00:00:00"/>
    <x v="248"/>
    <x v="3"/>
    <m/>
  </r>
  <r>
    <n v="826"/>
    <n v="352"/>
    <n v="391"/>
    <n v="1"/>
    <n v="391"/>
    <d v="2023-06-22T00:00:00"/>
    <s v="Билла"/>
    <n v="367"/>
    <x v="9"/>
    <x v="33"/>
    <n v="263.25423728813558"/>
    <n v="0.48525624517125943"/>
    <n v="4970"/>
    <n v="-0.92132796780684101"/>
    <d v="2022-11-02T00:00:00"/>
    <n v="232"/>
    <d v="2025-08-20T00:00:00"/>
    <x v="18"/>
    <x v="4"/>
    <m/>
  </r>
  <r>
    <n v="827"/>
    <n v="305"/>
    <n v="252"/>
    <n v="1"/>
    <n v="252"/>
    <d v="2024-05-01T00:00:00"/>
    <s v="Лента"/>
    <n v="172"/>
    <x v="2"/>
    <x v="45"/>
    <n v="283.468085106383"/>
    <n v="-0.11101103355100206"/>
    <n v="3538"/>
    <n v="-0.9287733182589033"/>
    <d v="2022-06-25T00:00:00"/>
    <n v="676"/>
    <d v="2025-08-20T00:00:00"/>
    <x v="115"/>
    <x v="2"/>
    <m/>
  </r>
  <r>
    <n v="828"/>
    <n v="269"/>
    <n v="398"/>
    <n v="4"/>
    <n v="1592"/>
    <d v="2023-05-05T00:00:00"/>
    <s v="Ароматный Мир"/>
    <n v="466"/>
    <x v="0"/>
    <x v="44"/>
    <n v="254.58333333333334"/>
    <n v="0.56333878887070377"/>
    <n v="4988"/>
    <n v="-0.92020850040096236"/>
    <d v="2022-07-30T00:00:00"/>
    <n v="279"/>
    <d v="2025-08-20T00:00:00"/>
    <x v="173"/>
    <x v="1"/>
    <m/>
  </r>
  <r>
    <n v="829"/>
    <n v="380"/>
    <n v="100"/>
    <n v="2"/>
    <n v="200"/>
    <d v="2023-06-05T00:00:00"/>
    <s v="Гиперглобус"/>
    <n v="57"/>
    <x v="17"/>
    <x v="35"/>
    <n v="267.85483870967744"/>
    <n v="-0.62666345516950683"/>
    <n v="6757"/>
    <n v="-0.98520053278081987"/>
    <d v="2022-04-18T00:00:00"/>
    <n v="413"/>
    <d v="2025-08-20T00:00:00"/>
    <x v="182"/>
    <x v="2"/>
    <m/>
  </r>
  <r>
    <n v="394"/>
    <n v="206"/>
    <n v="226"/>
    <n v="2"/>
    <n v="452"/>
    <d v="2023-12-04T00:00:00"/>
    <s v="Мосмарт"/>
    <n v="357"/>
    <x v="15"/>
    <x v="65"/>
    <n v="294.95238095238096"/>
    <n v="0.16968033580884723"/>
    <n v="4946"/>
    <n v="-0.95430651031136271"/>
    <d v="2022-12-18T00:00:00"/>
    <n v="351"/>
    <d v="2025-08-20T00:00:00"/>
    <x v="243"/>
    <x v="0"/>
    <m/>
  </r>
  <r>
    <n v="831"/>
    <n v="183"/>
    <n v="286"/>
    <n v="2"/>
    <n v="572"/>
    <d v="2023-02-26T00:00:00"/>
    <s v="О'кей"/>
    <n v="11"/>
    <x v="17"/>
    <x v="35"/>
    <n v="267.85483870967744"/>
    <n v="6.774251821521049E-2"/>
    <n v="6757"/>
    <n v="-0.95767352375314485"/>
    <d v="2022-05-09T00:00:00"/>
    <n v="293"/>
    <d v="2025-08-20T00:00:00"/>
    <x v="68"/>
    <x v="4"/>
    <m/>
  </r>
  <r>
    <n v="832"/>
    <n v="65"/>
    <n v="201"/>
    <n v="2"/>
    <n v="402"/>
    <d v="2024-01-05T00:00:00"/>
    <s v="Дикси"/>
    <n v="125"/>
    <x v="16"/>
    <x v="23"/>
    <n v="300.31818181818181"/>
    <n v="-0.33070985318601487"/>
    <n v="4226"/>
    <n v="-0.95243729294841462"/>
    <d v="2022-05-20T00:00:00"/>
    <n v="595"/>
    <d v="2025-08-20T00:00:00"/>
    <x v="120"/>
    <x v="2"/>
    <m/>
  </r>
  <r>
    <n v="833"/>
    <n v="425"/>
    <n v="258"/>
    <n v="4"/>
    <n v="1032"/>
    <d v="2023-07-21T00:00:00"/>
    <s v="Ароматный Мир"/>
    <n v="72"/>
    <x v="1"/>
    <x v="13"/>
    <n v="264.8679245283019"/>
    <n v="-2.5929619603932252E-2"/>
    <n v="4171"/>
    <n v="-0.93814432989690721"/>
    <d v="2022-12-11T00:00:00"/>
    <n v="222"/>
    <d v="2025-08-20T00:00:00"/>
    <x v="186"/>
    <x v="4"/>
    <m/>
  </r>
  <r>
    <n v="834"/>
    <n v="230"/>
    <n v="179"/>
    <n v="4"/>
    <n v="716"/>
    <d v="2024-04-13T00:00:00"/>
    <s v="Азбука Вкуса"/>
    <n v="68"/>
    <x v="5"/>
    <x v="5"/>
    <n v="268.60344827586209"/>
    <n v="-0.33359008922267164"/>
    <n v="9023"/>
    <n v="-0.98016180871107172"/>
    <d v="2022-11-17T00:00:00"/>
    <n v="513"/>
    <d v="2025-08-20T00:00:00"/>
    <x v="57"/>
    <x v="0"/>
    <m/>
  </r>
  <r>
    <n v="835"/>
    <n v="497"/>
    <n v="113"/>
    <n v="2"/>
    <n v="226"/>
    <d v="2023-11-13T00:00:00"/>
    <s v="Седьмой Континент"/>
    <n v="219"/>
    <x v="17"/>
    <x v="35"/>
    <n v="267.85483870967744"/>
    <n v="-0.57812970434154276"/>
    <n v="6757"/>
    <n v="-0.98327660204232648"/>
    <d v="2022-01-24T00:00:00"/>
    <n v="658"/>
    <d v="2025-08-20T00:00:00"/>
    <x v="73"/>
    <x v="4"/>
    <m/>
  </r>
  <r>
    <n v="836"/>
    <n v="82"/>
    <n v="73"/>
    <n v="1"/>
    <n v="73"/>
    <d v="2023-08-21T00:00:00"/>
    <s v="Перекресток"/>
    <n v="218"/>
    <x v="11"/>
    <x v="61"/>
    <n v="261.03225806451616"/>
    <n v="-0.72034107760751365"/>
    <n v="504"/>
    <n v="-0.85515873015873012"/>
    <d v="2022-06-09T00:00:00"/>
    <n v="438"/>
    <d v="2025-08-20T00:00:00"/>
    <x v="226"/>
    <x v="0"/>
    <m/>
  </r>
  <r>
    <n v="837"/>
    <n v="104"/>
    <n v="420"/>
    <n v="2"/>
    <n v="840"/>
    <d v="2024-05-15T00:00:00"/>
    <s v="Городской Супермаркет"/>
    <n v="26"/>
    <x v="9"/>
    <x v="9"/>
    <n v="263.25423728813558"/>
    <n v="0.59541591552923001"/>
    <n v="5929"/>
    <n v="-0.92916174734356549"/>
    <d v="2022-09-15T00:00:00"/>
    <n v="608"/>
    <d v="2025-08-20T00:00:00"/>
    <x v="187"/>
    <x v="4"/>
    <m/>
  </r>
  <r>
    <n v="838"/>
    <n v="364"/>
    <n v="496"/>
    <n v="1"/>
    <n v="496"/>
    <d v="2023-05-14T00:00:00"/>
    <s v="Городской Супермаркет"/>
    <n v="417"/>
    <x v="0"/>
    <x v="44"/>
    <n v="254.58333333333334"/>
    <n v="0.94828150572831427"/>
    <n v="4988"/>
    <n v="-0.90056134723336001"/>
    <d v="2022-02-16T00:00:00"/>
    <n v="452"/>
    <d v="2025-08-20T00:00:00"/>
    <x v="41"/>
    <x v="4"/>
    <m/>
  </r>
  <r>
    <n v="483"/>
    <n v="334"/>
    <n v="309"/>
    <n v="5"/>
    <n v="1545"/>
    <d v="2023-03-18T00:00:00"/>
    <s v="Мосмарт"/>
    <n v="39"/>
    <x v="15"/>
    <x v="65"/>
    <n v="294.95238095238096"/>
    <n v="-0.30836293186955122"/>
    <n v="4946"/>
    <n v="-0.93752527294783661"/>
    <d v="2022-04-02T00:00:00"/>
    <n v="350"/>
    <d v="2025-08-20T00:00:00"/>
    <x v="23"/>
    <x v="1"/>
    <m/>
  </r>
  <r>
    <n v="840"/>
    <n v="356"/>
    <n v="97"/>
    <n v="2"/>
    <n v="194"/>
    <d v="2023-04-16T00:00:00"/>
    <s v="Верный"/>
    <n v="491"/>
    <x v="2"/>
    <x v="45"/>
    <n v="283.468085106383"/>
    <n v="-0.65780980259701272"/>
    <n v="3538"/>
    <n v="-0.97258338044092707"/>
    <d v="2022-07-10T00:00:00"/>
    <n v="280"/>
    <d v="2025-08-20T00:00:00"/>
    <x v="171"/>
    <x v="2"/>
    <m/>
  </r>
  <r>
    <n v="841"/>
    <n v="446"/>
    <n v="445"/>
    <n v="5"/>
    <n v="2225"/>
    <d v="2023-03-08T00:00:00"/>
    <s v="Ароматный Мир"/>
    <n v="307"/>
    <x v="14"/>
    <x v="43"/>
    <n v="273.72549019607845"/>
    <n v="0.62571633237822333"/>
    <n v="2244"/>
    <n v="-0.80169340463458116"/>
    <d v="2022-07-22T00:00:00"/>
    <n v="229"/>
    <d v="2025-08-20T00:00:00"/>
    <x v="177"/>
    <x v="1"/>
    <m/>
  </r>
  <r>
    <n v="842"/>
    <n v="88"/>
    <n v="206"/>
    <n v="4"/>
    <n v="824"/>
    <d v="2023-11-07T00:00:00"/>
    <s v="Ароматный Мир"/>
    <n v="492"/>
    <x v="18"/>
    <x v="34"/>
    <n v="255.11627906976744"/>
    <n v="-0.1925250683682771"/>
    <n v="3254"/>
    <n v="-0.93669330055316535"/>
    <d v="2022-05-07T00:00:00"/>
    <n v="549"/>
    <d v="2025-08-20T00:00:00"/>
    <x v="217"/>
    <x v="3"/>
    <m/>
  </r>
  <r>
    <n v="843"/>
    <n v="347"/>
    <n v="265"/>
    <n v="1"/>
    <n v="265"/>
    <d v="2024-04-08T00:00:00"/>
    <s v="Метро"/>
    <n v="264"/>
    <x v="3"/>
    <x v="16"/>
    <n v="265.47674418604652"/>
    <n v="-1.7958039507687262E-3"/>
    <n v="10237"/>
    <n v="-0.97411350981732925"/>
    <d v="2022-12-12T00:00:00"/>
    <n v="483"/>
    <d v="2025-08-20T00:00:00"/>
    <x v="242"/>
    <x v="1"/>
    <m/>
  </r>
  <r>
    <n v="844"/>
    <n v="342"/>
    <n v="269"/>
    <n v="4"/>
    <n v="1076"/>
    <d v="2023-06-16T00:00:00"/>
    <s v="Пятерочка"/>
    <n v="190"/>
    <x v="4"/>
    <x v="24"/>
    <n v="250.48780487804879"/>
    <n v="7.3904576436222058E-2"/>
    <n v="5165"/>
    <n v="-0.94791868344627295"/>
    <d v="2022-05-08T00:00:00"/>
    <n v="404"/>
    <d v="2025-08-20T00:00:00"/>
    <x v="24"/>
    <x v="1"/>
    <m/>
  </r>
  <r>
    <n v="941"/>
    <n v="44"/>
    <n v="439"/>
    <n v="5"/>
    <n v="2195"/>
    <d v="2023-03-23T00:00:00"/>
    <s v="Мираторг"/>
    <n v="469"/>
    <x v="15"/>
    <x v="58"/>
    <n v="294.95238095238096"/>
    <n v="5.1017113335485975E-2"/>
    <n v="3548"/>
    <n v="-0.87626832018038336"/>
    <d v="2022-04-08T00:00:00"/>
    <n v="349"/>
    <d v="2025-08-20T00:00:00"/>
    <x v="249"/>
    <x v="2"/>
    <m/>
  </r>
  <r>
    <n v="846"/>
    <n v="69"/>
    <n v="197"/>
    <n v="2"/>
    <n v="394"/>
    <d v="2023-09-26T00:00:00"/>
    <s v="Пятерочка"/>
    <n v="125"/>
    <x v="14"/>
    <x v="62"/>
    <n v="273.72549019607845"/>
    <n v="-0.28030085959885398"/>
    <n v="2929"/>
    <n v="-0.93274155001707071"/>
    <d v="2022-05-20T00:00:00"/>
    <n v="494"/>
    <d v="2025-08-20T00:00:00"/>
    <x v="120"/>
    <x v="2"/>
    <m/>
  </r>
  <r>
    <n v="715"/>
    <n v="369"/>
    <n v="202"/>
    <n v="5"/>
    <n v="1010"/>
    <d v="2023-06-23T00:00:00"/>
    <s v="Пятерочка"/>
    <n v="321"/>
    <x v="15"/>
    <x v="65"/>
    <n v="294.95238095238096"/>
    <n v="0.34258960284145945"/>
    <n v="4946"/>
    <n v="-0.95915891629599681"/>
    <d v="2022-07-14T00:00:00"/>
    <n v="344"/>
    <d v="2025-08-20T00:00:00"/>
    <x v="19"/>
    <x v="4"/>
    <m/>
  </r>
  <r>
    <n v="848"/>
    <n v="319"/>
    <n v="193"/>
    <n v="1"/>
    <n v="193"/>
    <d v="2024-04-14T00:00:00"/>
    <s v="Мосмарт"/>
    <n v="43"/>
    <x v="9"/>
    <x v="33"/>
    <n v="263.25423728813558"/>
    <n v="-0.26686840072109197"/>
    <n v="4970"/>
    <n v="-0.96116700201207239"/>
    <d v="2022-12-17T00:00:00"/>
    <n v="484"/>
    <d v="2025-08-20T00:00:00"/>
    <x v="204"/>
    <x v="2"/>
    <m/>
  </r>
  <r>
    <n v="849"/>
    <n v="59"/>
    <n v="150"/>
    <n v="4"/>
    <n v="600"/>
    <d v="2023-07-27T00:00:00"/>
    <s v="Гиперглобус"/>
    <n v="343"/>
    <x v="0"/>
    <x v="0"/>
    <n v="254.58333333333334"/>
    <n v="-0.41080196399345337"/>
    <n v="5172"/>
    <n v="-0.97099767981438512"/>
    <d v="2022-11-09T00:00:00"/>
    <n v="260"/>
    <d v="2025-08-20T00:00:00"/>
    <x v="246"/>
    <x v="3"/>
    <m/>
  </r>
  <r>
    <n v="850"/>
    <n v="16"/>
    <n v="207"/>
    <n v="2"/>
    <n v="414"/>
    <d v="2023-11-21T00:00:00"/>
    <s v="Верный"/>
    <n v="26"/>
    <x v="11"/>
    <x v="46"/>
    <n v="261.03225806451616"/>
    <n v="-0.20699456253089477"/>
    <n v="8943"/>
    <n v="-0.97685340489768535"/>
    <d v="2022-09-15T00:00:00"/>
    <n v="432"/>
    <d v="2025-08-20T00:00:00"/>
    <x v="187"/>
    <x v="4"/>
    <m/>
  </r>
  <r>
    <n v="851"/>
    <n v="220"/>
    <n v="305"/>
    <n v="4"/>
    <n v="1220"/>
    <d v="2023-05-10T00:00:00"/>
    <s v="Мираторг"/>
    <n v="306"/>
    <x v="8"/>
    <x v="47"/>
    <n v="271.18181818181819"/>
    <n v="0.12470667113643974"/>
    <n v="1127"/>
    <n v="-0.72937000887311454"/>
    <d v="2022-11-07T00:00:00"/>
    <n v="184"/>
    <d v="2025-08-20T00:00:00"/>
    <x v="201"/>
    <x v="3"/>
    <m/>
  </r>
  <r>
    <n v="761"/>
    <n v="151"/>
    <n v="239"/>
    <n v="2"/>
    <n v="478"/>
    <d v="2023-05-10T00:00:00"/>
    <s v="Мираторг"/>
    <n v="386"/>
    <x v="15"/>
    <x v="58"/>
    <n v="294.95238095238096"/>
    <n v="-5.0694220213109542E-2"/>
    <n v="3548"/>
    <n v="-0.93263810597519725"/>
    <d v="2022-06-22T00:00:00"/>
    <n v="322"/>
    <d v="2025-08-20T00:00:00"/>
    <x v="96"/>
    <x v="0"/>
    <m/>
  </r>
  <r>
    <n v="853"/>
    <n v="118"/>
    <n v="466"/>
    <n v="3"/>
    <n v="1398"/>
    <d v="2023-02-23T00:00:00"/>
    <s v="О'кей"/>
    <n v="188"/>
    <x v="0"/>
    <x v="0"/>
    <n v="254.58333333333334"/>
    <n v="0.83044189852700478"/>
    <n v="5172"/>
    <n v="-0.90989945862335653"/>
    <d v="2022-08-28T00:00:00"/>
    <n v="179"/>
    <d v="2025-08-20T00:00:00"/>
    <x v="237"/>
    <x v="4"/>
    <m/>
  </r>
  <r>
    <n v="854"/>
    <n v="207"/>
    <n v="57"/>
    <n v="2"/>
    <n v="114"/>
    <d v="2024-02-22T00:00:00"/>
    <s v="Пятерочка"/>
    <n v="152"/>
    <x v="0"/>
    <x v="68"/>
    <n v="254.58333333333334"/>
    <n v="-0.77610474631751225"/>
    <n v="1511"/>
    <n v="-0.96227663798808738"/>
    <d v="2022-08-18T00:00:00"/>
    <n v="553"/>
    <d v="2025-08-20T00:00:00"/>
    <x v="193"/>
    <x v="1"/>
    <m/>
  </r>
  <r>
    <n v="855"/>
    <n v="239"/>
    <n v="397"/>
    <n v="2"/>
    <n v="794"/>
    <d v="2024-04-16T00:00:00"/>
    <s v="Мираторг"/>
    <n v="65"/>
    <x v="9"/>
    <x v="33"/>
    <n v="263.25423728813558"/>
    <n v="0.50804790110739129"/>
    <n v="4970"/>
    <n v="-0.9201207243460765"/>
    <d v="2022-03-03T00:00:00"/>
    <n v="775"/>
    <d v="2025-08-20T00:00:00"/>
    <x v="124"/>
    <x v="3"/>
    <m/>
  </r>
  <r>
    <n v="856"/>
    <n v="367"/>
    <n v="289"/>
    <n v="1"/>
    <n v="289"/>
    <d v="2023-04-25T00:00:00"/>
    <s v="Дикси"/>
    <n v="281"/>
    <x v="19"/>
    <x v="40"/>
    <n v="286.92307692307691"/>
    <n v="7.238605898123307E-3"/>
    <n v="3283"/>
    <n v="-0.91197075845263476"/>
    <d v="2022-05-30T00:00:00"/>
    <n v="330"/>
    <d v="2025-08-20T00:00:00"/>
    <x v="92"/>
    <x v="0"/>
    <m/>
  </r>
  <r>
    <n v="857"/>
    <n v="87"/>
    <n v="191"/>
    <n v="3"/>
    <n v="573"/>
    <d v="2023-07-18T00:00:00"/>
    <s v="Ашан"/>
    <n v="430"/>
    <x v="7"/>
    <x v="7"/>
    <n v="249.02380952380952"/>
    <n v="-0.23300506740606175"/>
    <n v="5248"/>
    <n v="-0.96360518292682928"/>
    <d v="2022-08-26T00:00:00"/>
    <n v="326"/>
    <d v="2025-08-20T00:00:00"/>
    <x v="207"/>
    <x v="4"/>
    <m/>
  </r>
  <r>
    <n v="858"/>
    <n v="309"/>
    <n v="244"/>
    <n v="3"/>
    <n v="732"/>
    <d v="2024-03-23T00:00:00"/>
    <s v="Азбука Вкуса"/>
    <n v="299"/>
    <x v="17"/>
    <x v="27"/>
    <n v="267.85483870967744"/>
    <n v="-8.9058830613596762E-2"/>
    <n v="6053"/>
    <n v="-0.95968941020981335"/>
    <d v="2022-04-15T00:00:00"/>
    <n v="708"/>
    <d v="2025-08-20T00:00:00"/>
    <x v="167"/>
    <x v="3"/>
    <m/>
  </r>
  <r>
    <n v="859"/>
    <n v="271"/>
    <n v="392"/>
    <n v="3"/>
    <n v="1176"/>
    <d v="2023-06-26T00:00:00"/>
    <s v="Метро"/>
    <n v="132"/>
    <x v="11"/>
    <x v="46"/>
    <n v="261.03225806451616"/>
    <n v="0.50173010380622829"/>
    <n v="8943"/>
    <n v="-0.95616683439561667"/>
    <d v="2022-02-09T00:00:00"/>
    <n v="502"/>
    <d v="2025-08-20T00:00:00"/>
    <x v="85"/>
    <x v="3"/>
    <m/>
  </r>
  <r>
    <n v="860"/>
    <n v="354"/>
    <n v="493"/>
    <n v="2"/>
    <n v="986"/>
    <d v="2024-01-29T00:00:00"/>
    <s v="Магнит"/>
    <n v="68"/>
    <x v="8"/>
    <x v="14"/>
    <n v="271.18181818181819"/>
    <n v="0.81796848809922884"/>
    <n v="4943"/>
    <n v="-0.90026299817924338"/>
    <d v="2022-11-17T00:00:00"/>
    <n v="438"/>
    <d v="2025-08-20T00:00:00"/>
    <x v="57"/>
    <x v="0"/>
    <m/>
  </r>
  <r>
    <n v="861"/>
    <n v="266"/>
    <n v="339"/>
    <n v="5"/>
    <n v="1695"/>
    <d v="2024-03-07T00:00:00"/>
    <s v="Дикси"/>
    <n v="42"/>
    <x v="6"/>
    <x v="6"/>
    <n v="258.5128205128205"/>
    <n v="0.31134695496925224"/>
    <n v="4431"/>
    <n v="-0.92349356804333105"/>
    <d v="2022-08-10T00:00:00"/>
    <n v="575"/>
    <d v="2025-08-20T00:00:00"/>
    <x v="61"/>
    <x v="4"/>
    <m/>
  </r>
  <r>
    <n v="862"/>
    <n v="441"/>
    <n v="316"/>
    <n v="4"/>
    <n v="1264"/>
    <d v="2024-04-28T00:00:00"/>
    <s v="О'кей"/>
    <n v="488"/>
    <x v="8"/>
    <x v="14"/>
    <n v="271.18181818181819"/>
    <n v="0.16526986255447529"/>
    <n v="4943"/>
    <n v="-0.93607121181468744"/>
    <d v="2022-06-26T00:00:00"/>
    <n v="672"/>
    <d v="2025-08-20T00:00:00"/>
    <x v="6"/>
    <x v="1"/>
    <m/>
  </r>
  <r>
    <n v="863"/>
    <n v="245"/>
    <n v="284"/>
    <n v="4"/>
    <n v="1136"/>
    <d v="2024-04-23T00:00:00"/>
    <s v="Мосмарт"/>
    <n v="324"/>
    <x v="0"/>
    <x v="0"/>
    <n v="254.58333333333334"/>
    <n v="0.11554828150572827"/>
    <n v="5172"/>
    <n v="-0.94508894044856917"/>
    <d v="2022-07-19T00:00:00"/>
    <n v="644"/>
    <d v="2025-08-20T00:00:00"/>
    <x v="32"/>
    <x v="0"/>
    <m/>
  </r>
  <r>
    <n v="903"/>
    <n v="369"/>
    <n v="379"/>
    <n v="5"/>
    <n v="1895"/>
    <d v="2023-09-20T00:00:00"/>
    <s v="Магнит"/>
    <n v="267"/>
    <x v="15"/>
    <x v="65"/>
    <n v="294.95238095238096"/>
    <n v="0.6951888924765901"/>
    <n v="4946"/>
    <n v="-0.92337242215932069"/>
    <d v="2022-12-15T00:00:00"/>
    <n v="279"/>
    <d v="2025-08-20T00:00:00"/>
    <x v="39"/>
    <x v="2"/>
    <m/>
  </r>
  <r>
    <n v="865"/>
    <n v="176"/>
    <n v="217"/>
    <n v="4"/>
    <n v="868"/>
    <d v="2023-07-28T00:00:00"/>
    <s v="Спар"/>
    <n v="313"/>
    <x v="0"/>
    <x v="0"/>
    <n v="254.58333333333334"/>
    <n v="-0.14762684124386261"/>
    <n v="5172"/>
    <n v="-0.95804331013147714"/>
    <d v="2022-12-01T00:00:00"/>
    <n v="239"/>
    <d v="2025-08-20T00:00:00"/>
    <x v="76"/>
    <x v="0"/>
    <m/>
  </r>
  <r>
    <n v="866"/>
    <n v="467"/>
    <n v="72"/>
    <n v="2"/>
    <n v="144"/>
    <d v="2023-05-04T00:00:00"/>
    <s v="Карусель"/>
    <n v="233"/>
    <x v="3"/>
    <x v="3"/>
    <n v="265.47674418604652"/>
    <n v="-0.72878980333756727"/>
    <n v="6852"/>
    <n v="-0.989492119089317"/>
    <d v="2022-02-24T00:00:00"/>
    <n v="434"/>
    <d v="2025-08-20T00:00:00"/>
    <x v="122"/>
    <x v="4"/>
    <m/>
  </r>
  <r>
    <n v="867"/>
    <n v="237"/>
    <n v="121"/>
    <n v="3"/>
    <n v="363"/>
    <d v="2023-11-10T00:00:00"/>
    <s v="Ашан"/>
    <n v="77"/>
    <x v="17"/>
    <x v="27"/>
    <n v="267.85483870967744"/>
    <n v="-0.54826278075510326"/>
    <n v="6053"/>
    <n v="-0.98000991244011237"/>
    <d v="2022-03-24T00:00:00"/>
    <n v="596"/>
    <d v="2025-08-20T00:00:00"/>
    <x v="151"/>
    <x v="2"/>
    <m/>
  </r>
  <r>
    <n v="868"/>
    <n v="300"/>
    <n v="140"/>
    <n v="4"/>
    <n v="560"/>
    <d v="2024-01-26T00:00:00"/>
    <s v="Гиперглобус"/>
    <n v="107"/>
    <x v="0"/>
    <x v="0"/>
    <n v="254.58333333333334"/>
    <n v="-0.45008183306055649"/>
    <n v="5172"/>
    <n v="-0.97293116782675948"/>
    <d v="2022-07-02T00:00:00"/>
    <n v="573"/>
    <d v="2025-08-20T00:00:00"/>
    <x v="147"/>
    <x v="4"/>
    <m/>
  </r>
  <r>
    <n v="869"/>
    <n v="137"/>
    <n v="295"/>
    <n v="2"/>
    <n v="590"/>
    <d v="2023-07-04T00:00:00"/>
    <s v="Пятерочка"/>
    <n v="375"/>
    <x v="12"/>
    <x v="18"/>
    <n v="274.16279069767444"/>
    <n v="7.6003053694121636E-2"/>
    <n v="4059"/>
    <n v="-0.92732200049273217"/>
    <d v="2022-04-23T00:00:00"/>
    <n v="437"/>
    <d v="2025-08-20T00:00:00"/>
    <x v="160"/>
    <x v="2"/>
    <m/>
  </r>
  <r>
    <n v="870"/>
    <n v="194"/>
    <n v="325"/>
    <n v="4"/>
    <n v="1300"/>
    <d v="2024-01-28T00:00:00"/>
    <s v="Билла"/>
    <n v="62"/>
    <x v="1"/>
    <x v="69"/>
    <n v="264.8679245283019"/>
    <n v="0.22702664197179079"/>
    <n v="2737"/>
    <n v="-0.88125685056631342"/>
    <d v="2022-04-20T00:00:00"/>
    <n v="648"/>
    <d v="2025-08-20T00:00:00"/>
    <x v="134"/>
    <x v="2"/>
    <m/>
  </r>
  <r>
    <n v="871"/>
    <n v="215"/>
    <n v="147"/>
    <n v="3"/>
    <n v="441"/>
    <d v="2023-09-04T00:00:00"/>
    <s v="Карусель"/>
    <n v="368"/>
    <x v="5"/>
    <x v="5"/>
    <n v="268.60344827586209"/>
    <n v="-0.45272482187560181"/>
    <n v="9023"/>
    <n v="-0.98370830100853379"/>
    <d v="2022-11-07T00:00:00"/>
    <n v="301"/>
    <d v="2025-08-20T00:00:00"/>
    <x v="201"/>
    <x v="0"/>
    <m/>
  </r>
  <r>
    <n v="872"/>
    <n v="307"/>
    <n v="419"/>
    <n v="1"/>
    <n v="419"/>
    <d v="2023-09-20T00:00:00"/>
    <s v="Седьмой Континент"/>
    <n v="64"/>
    <x v="11"/>
    <x v="17"/>
    <n v="261.03225806451616"/>
    <n v="0.60516559565002459"/>
    <n v="2802"/>
    <n v="-0.8504639543183441"/>
    <d v="2022-05-26T00:00:00"/>
    <n v="482"/>
    <d v="2025-08-20T00:00:00"/>
    <x v="35"/>
    <x v="0"/>
    <m/>
  </r>
  <r>
    <n v="873"/>
    <n v="424"/>
    <n v="457"/>
    <n v="1"/>
    <n v="457"/>
    <d v="2023-06-22T00:00:00"/>
    <s v="Лента"/>
    <n v="286"/>
    <x v="2"/>
    <x v="31"/>
    <n v="283.468085106383"/>
    <n v="0.61217443518726999"/>
    <n v="4200"/>
    <n v="-0.8911904761904762"/>
    <d v="2022-01-02T00:00:00"/>
    <n v="536"/>
    <d v="2025-08-20T00:00:00"/>
    <x v="22"/>
    <x v="4"/>
    <m/>
  </r>
  <r>
    <n v="874"/>
    <n v="439"/>
    <n v="392"/>
    <n v="2"/>
    <n v="784"/>
    <d v="2023-07-28T00:00:00"/>
    <s v="Мосмарт"/>
    <n v="74"/>
    <x v="5"/>
    <x v="28"/>
    <n v="268.60344827586209"/>
    <n v="0.45940047499839509"/>
    <n v="2671"/>
    <n v="-0.85323848745788089"/>
    <d v="2022-10-23T00:00:00"/>
    <n v="278"/>
    <d v="2025-08-20T00:00:00"/>
    <x v="31"/>
    <x v="2"/>
    <m/>
  </r>
  <r>
    <n v="875"/>
    <n v="83"/>
    <n v="282"/>
    <n v="5"/>
    <n v="1410"/>
    <d v="2023-02-13T00:00:00"/>
    <s v="Спар"/>
    <n v="6"/>
    <x v="5"/>
    <x v="32"/>
    <n v="268.60344827586209"/>
    <n v="4.9874831503947448E-2"/>
    <n v="2796"/>
    <n v="-0.89914163090128751"/>
    <d v="2022-05-29T00:00:00"/>
    <n v="260"/>
    <d v="2025-08-20T00:00:00"/>
    <x v="56"/>
    <x v="3"/>
    <m/>
  </r>
  <r>
    <n v="876"/>
    <n v="329"/>
    <n v="265"/>
    <n v="2"/>
    <n v="530"/>
    <d v="2024-05-01T00:00:00"/>
    <s v="О'кей"/>
    <n v="258"/>
    <x v="1"/>
    <x v="63"/>
    <n v="264.8679245283019"/>
    <n v="4.9864653084474853E-4"/>
    <n v="2843"/>
    <n v="-0.90678860358775937"/>
    <d v="2022-06-05T00:00:00"/>
    <n v="696"/>
    <d v="2025-08-20T00:00:00"/>
    <x v="106"/>
    <x v="3"/>
    <m/>
  </r>
  <r>
    <n v="877"/>
    <n v="91"/>
    <n v="146"/>
    <n v="1"/>
    <n v="146"/>
    <d v="2023-04-06T00:00:00"/>
    <s v="Магнит"/>
    <n v="138"/>
    <x v="11"/>
    <x v="46"/>
    <n v="261.03225806451616"/>
    <n v="-0.44068215521502729"/>
    <n v="8943"/>
    <n v="-0.98367438219836745"/>
    <d v="2022-06-11T00:00:00"/>
    <n v="299"/>
    <d v="2025-08-20T00:00:00"/>
    <x v="202"/>
    <x v="3"/>
    <m/>
  </r>
  <r>
    <n v="878"/>
    <n v="296"/>
    <n v="58"/>
    <n v="2"/>
    <n v="116"/>
    <d v="2024-04-19T00:00:00"/>
    <s v="Бристоль"/>
    <n v="419"/>
    <x v="18"/>
    <x v="34"/>
    <n v="255.11627906976744"/>
    <n v="-0.7726526891522334"/>
    <n v="3254"/>
    <n v="-0.9821757836508912"/>
    <d v="2022-11-04T00:00:00"/>
    <n v="532"/>
    <d v="2025-08-20T00:00:00"/>
    <x v="157"/>
    <x v="4"/>
    <m/>
  </r>
  <r>
    <n v="879"/>
    <n v="437"/>
    <n v="379"/>
    <n v="2"/>
    <n v="758"/>
    <d v="2024-03-30T00:00:00"/>
    <s v="Седьмой Континент"/>
    <n v="148"/>
    <x v="8"/>
    <x v="47"/>
    <n v="271.18181818181819"/>
    <n v="0.39758632249413339"/>
    <n v="1127"/>
    <n v="-0.66370896184560779"/>
    <d v="2022-05-19T00:00:00"/>
    <n v="681"/>
    <d v="2025-08-20T00:00:00"/>
    <x v="198"/>
    <x v="2"/>
    <m/>
  </r>
  <r>
    <n v="880"/>
    <n v="193"/>
    <n v="201"/>
    <n v="4"/>
    <n v="804"/>
    <d v="2023-10-04T00:00:00"/>
    <s v="Мираторг"/>
    <n v="105"/>
    <x v="1"/>
    <x v="69"/>
    <n v="264.8679245283019"/>
    <n v="-0.24113121527283088"/>
    <n v="2737"/>
    <n v="-0.92656192911947388"/>
    <d v="2022-12-23T00:00:00"/>
    <n v="285"/>
    <d v="2025-08-20T00:00:00"/>
    <x v="192"/>
    <x v="0"/>
    <m/>
  </r>
  <r>
    <n v="881"/>
    <n v="144"/>
    <n v="337"/>
    <n v="3"/>
    <n v="1011"/>
    <d v="2023-04-23T00:00:00"/>
    <s v="Магнит"/>
    <n v="365"/>
    <x v="3"/>
    <x v="29"/>
    <n v="265.47674418604652"/>
    <n v="0.2694143927116639"/>
    <n v="2120"/>
    <n v="-0.84103773584905661"/>
    <d v="2022-10-07T00:00:00"/>
    <n v="198"/>
    <d v="2025-08-20T00:00:00"/>
    <x v="71"/>
    <x v="1"/>
    <m/>
  </r>
  <r>
    <n v="882"/>
    <n v="27"/>
    <n v="160"/>
    <n v="1"/>
    <n v="160"/>
    <d v="2023-12-16T00:00:00"/>
    <s v="Перекресток"/>
    <n v="416"/>
    <x v="3"/>
    <x v="16"/>
    <n v="265.47674418604652"/>
    <n v="-0.39731067408348297"/>
    <n v="10237"/>
    <n v="-0.98437042102178374"/>
    <d v="2022-05-22T00:00:00"/>
    <n v="573"/>
    <d v="2025-08-20T00:00:00"/>
    <x v="121"/>
    <x v="4"/>
    <m/>
  </r>
  <r>
    <n v="883"/>
    <n v="375"/>
    <n v="197"/>
    <n v="5"/>
    <n v="985"/>
    <d v="2024-03-17T00:00:00"/>
    <s v="Мосмарт"/>
    <n v="315"/>
    <x v="3"/>
    <x v="3"/>
    <n v="265.47674418604652"/>
    <n v="-0.25793876746528843"/>
    <n v="6852"/>
    <n v="-0.97124927028604791"/>
    <d v="2022-07-05T00:00:00"/>
    <n v="621"/>
    <d v="2025-08-20T00:00:00"/>
    <x v="0"/>
    <x v="0"/>
    <m/>
  </r>
  <r>
    <n v="884"/>
    <n v="453"/>
    <n v="437"/>
    <n v="2"/>
    <n v="874"/>
    <d v="2024-04-12T00:00:00"/>
    <s v="Седьмой Континент"/>
    <n v="81"/>
    <x v="3"/>
    <x v="19"/>
    <n v="265.47674418604652"/>
    <n v="0.64609522140948705"/>
    <n v="3622"/>
    <n v="-0.87934842628382115"/>
    <d v="2022-09-21T00:00:00"/>
    <n v="569"/>
    <d v="2025-08-20T00:00:00"/>
    <x v="181"/>
    <x v="2"/>
    <m/>
  </r>
  <r>
    <n v="885"/>
    <n v="388"/>
    <n v="205"/>
    <n v="2"/>
    <n v="410"/>
    <d v="2024-04-22T00:00:00"/>
    <s v="Пятерочка"/>
    <n v="262"/>
    <x v="6"/>
    <x v="6"/>
    <n v="258.5128205128205"/>
    <n v="-0.20700257885340201"/>
    <n v="4431"/>
    <n v="-0.95373504852177837"/>
    <d v="2022-08-05T00:00:00"/>
    <n v="626"/>
    <d v="2025-08-20T00:00:00"/>
    <x v="241"/>
    <x v="4"/>
    <m/>
  </r>
  <r>
    <n v="886"/>
    <n v="312"/>
    <n v="476"/>
    <n v="2"/>
    <n v="952"/>
    <d v="2023-07-06T00:00:00"/>
    <s v="Магнит"/>
    <n v="239"/>
    <x v="16"/>
    <x v="50"/>
    <n v="300.31818181818181"/>
    <n v="0.58498562131073117"/>
    <n v="3974"/>
    <n v="-0.88022143935581276"/>
    <d v="2022-07-25T00:00:00"/>
    <n v="346"/>
    <d v="2025-08-20T00:00:00"/>
    <x v="37"/>
    <x v="0"/>
    <m/>
  </r>
  <r>
    <n v="887"/>
    <n v="486"/>
    <n v="230"/>
    <n v="2"/>
    <n v="460"/>
    <d v="2023-10-08T00:00:00"/>
    <s v="Дикси"/>
    <n v="358"/>
    <x v="1"/>
    <x v="1"/>
    <n v="264.8679245283019"/>
    <n v="-0.13164268414304037"/>
    <n v="4287"/>
    <n v="-0.94634942850478188"/>
    <d v="2022-07-29T00:00:00"/>
    <n v="436"/>
    <d v="2025-08-20T00:00:00"/>
    <x v="119"/>
    <x v="3"/>
    <m/>
  </r>
  <r>
    <n v="888"/>
    <n v="295"/>
    <n v="219"/>
    <n v="5"/>
    <n v="1095"/>
    <d v="2023-08-27T00:00:00"/>
    <s v="Метро"/>
    <n v="331"/>
    <x v="2"/>
    <x v="36"/>
    <n v="283.468085106383"/>
    <n v="-0.22742625534789462"/>
    <n v="3493"/>
    <n v="-0.93730317778413974"/>
    <d v="2022-09-09T00:00:00"/>
    <n v="352"/>
    <d v="2025-08-20T00:00:00"/>
    <x v="234"/>
    <x v="0"/>
    <m/>
  </r>
  <r>
    <n v="889"/>
    <n v="1"/>
    <n v="206"/>
    <n v="3"/>
    <n v="618"/>
    <d v="2023-03-01T00:00:00"/>
    <s v="Карусель"/>
    <n v="31"/>
    <x v="18"/>
    <x v="72"/>
    <n v="255.11627906976744"/>
    <n v="-0.1925250683682771"/>
    <n v="2773"/>
    <n v="-0.92571222502704653"/>
    <d v="2022-01-19T00:00:00"/>
    <n v="406"/>
    <d v="2025-08-20T00:00:00"/>
    <x v="149"/>
    <x v="3"/>
    <m/>
  </r>
  <r>
    <n v="890"/>
    <n v="347"/>
    <n v="343"/>
    <n v="3"/>
    <n v="1029"/>
    <d v="2023-01-11T00:00:00"/>
    <s v="Городской Супермаркет"/>
    <n v="74"/>
    <x v="3"/>
    <x v="16"/>
    <n v="265.47674418604652"/>
    <n v="0.29201524243353338"/>
    <n v="10237"/>
    <n v="-0.96649409006544884"/>
    <d v="2022-10-23T00:00:00"/>
    <n v="80"/>
    <d v="2025-08-20T00:00:00"/>
    <x v="31"/>
    <x v="2"/>
    <m/>
  </r>
  <r>
    <n v="891"/>
    <n v="308"/>
    <n v="147"/>
    <n v="2"/>
    <n v="294"/>
    <d v="2023-12-01T00:00:00"/>
    <s v="Метро"/>
    <n v="80"/>
    <x v="17"/>
    <x v="35"/>
    <n v="267.85483870967744"/>
    <n v="-0.45119527909917512"/>
    <n v="6757"/>
    <n v="-0.97824478318780528"/>
    <d v="2022-03-03T00:00:00"/>
    <n v="638"/>
    <d v="2025-08-20T00:00:00"/>
    <x v="124"/>
    <x v="1"/>
    <m/>
  </r>
  <r>
    <n v="892"/>
    <n v="52"/>
    <n v="423"/>
    <n v="3"/>
    <n v="1269"/>
    <d v="2024-03-27T00:00:00"/>
    <s v="Мираторг"/>
    <n v="496"/>
    <x v="1"/>
    <x v="1"/>
    <n v="264.8679245283019"/>
    <n v="0.59702236785866925"/>
    <n v="4287"/>
    <n v="-0.90132960111966409"/>
    <d v="2022-11-02T00:00:00"/>
    <n v="511"/>
    <d v="2025-08-20T00:00:00"/>
    <x v="18"/>
    <x v="3"/>
    <m/>
  </r>
  <r>
    <n v="893"/>
    <n v="75"/>
    <n v="494"/>
    <n v="4"/>
    <n v="1976"/>
    <d v="2023-04-14T00:00:00"/>
    <s v="Верный"/>
    <n v="477"/>
    <x v="2"/>
    <x v="36"/>
    <n v="283.468085106383"/>
    <n v="0.7427005929595436"/>
    <n v="3493"/>
    <n v="-0.85857429144002295"/>
    <d v="2022-06-26T00:00:00"/>
    <n v="292"/>
    <d v="2025-08-20T00:00:00"/>
    <x v="6"/>
    <x v="0"/>
    <m/>
  </r>
  <r>
    <n v="894"/>
    <n v="148"/>
    <n v="270"/>
    <n v="2"/>
    <n v="540"/>
    <d v="2023-10-07T00:00:00"/>
    <s v="Карусель"/>
    <n v="196"/>
    <x v="5"/>
    <x v="5"/>
    <n v="268.60344827586209"/>
    <n v="5.199306759098743E-3"/>
    <n v="9023"/>
    <n v="-0.97007647124016405"/>
    <d v="2022-10-01T00:00:00"/>
    <n v="371"/>
    <d v="2025-08-20T00:00:00"/>
    <x v="235"/>
    <x v="2"/>
    <m/>
  </r>
  <r>
    <n v="895"/>
    <n v="481"/>
    <n v="470"/>
    <n v="2"/>
    <n v="940"/>
    <d v="2023-06-24T00:00:00"/>
    <s v="Дикси"/>
    <n v="400"/>
    <x v="14"/>
    <x v="21"/>
    <n v="273.72549019607845"/>
    <n v="0.71704871060171915"/>
    <n v="5885"/>
    <n v="-0.92013593882752764"/>
    <d v="2022-07-23T00:00:00"/>
    <n v="336"/>
    <d v="2025-08-20T00:00:00"/>
    <x v="250"/>
    <x v="1"/>
    <m/>
  </r>
  <r>
    <n v="896"/>
    <n v="194"/>
    <n v="278"/>
    <n v="4"/>
    <n v="1112"/>
    <d v="2023-12-26T00:00:00"/>
    <s v="Гиперглобус"/>
    <n v="271"/>
    <x v="1"/>
    <x v="69"/>
    <n v="264.8679245283019"/>
    <n v="4.9579712209716353E-2"/>
    <n v="2737"/>
    <n v="-0.89842893679210811"/>
    <d v="2022-11-27T00:00:00"/>
    <n v="394"/>
    <d v="2025-08-20T00:00:00"/>
    <x v="36"/>
    <x v="1"/>
    <m/>
  </r>
  <r>
    <n v="897"/>
    <n v="422"/>
    <n v="244"/>
    <n v="3"/>
    <n v="732"/>
    <d v="2024-03-19T00:00:00"/>
    <s v="Карусель"/>
    <n v="265"/>
    <x v="7"/>
    <x v="57"/>
    <n v="249.02380952380952"/>
    <n v="-2.0174012811932318E-2"/>
    <n v="2569"/>
    <n v="-0.90502140910860263"/>
    <d v="2022-07-14T00:00:00"/>
    <n v="614"/>
    <d v="2025-08-20T00:00:00"/>
    <x v="19"/>
    <x v="0"/>
    <m/>
  </r>
  <r>
    <n v="898"/>
    <n v="52"/>
    <n v="142"/>
    <n v="3"/>
    <n v="426"/>
    <d v="2023-01-03T00:00:00"/>
    <s v="Лента"/>
    <n v="366"/>
    <x v="1"/>
    <x v="1"/>
    <n v="264.8679245283019"/>
    <n v="-0.46388374412309452"/>
    <n v="4287"/>
    <n v="-0.96687660368556094"/>
    <d v="2022-09-23T00:00:00"/>
    <n v="102"/>
    <d v="2025-08-20T00:00:00"/>
    <x v="42"/>
    <x v="0"/>
    <m/>
  </r>
  <r>
    <n v="899"/>
    <n v="73"/>
    <n v="160"/>
    <n v="4"/>
    <n v="640"/>
    <d v="2023-08-25T00:00:00"/>
    <s v="Спар"/>
    <n v="302"/>
    <x v="16"/>
    <x v="38"/>
    <n v="300.31818181818181"/>
    <n v="-0.46723172392916601"/>
    <n v="1848"/>
    <n v="-0.91341991341991347"/>
    <d v="2022-10-25T00:00:00"/>
    <n v="304"/>
    <d v="2025-08-20T00:00:00"/>
    <x v="155"/>
    <x v="2"/>
    <m/>
  </r>
  <r>
    <n v="900"/>
    <n v="208"/>
    <n v="476"/>
    <n v="5"/>
    <n v="2380"/>
    <d v="2023-12-02T00:00:00"/>
    <s v="Ашан"/>
    <n v="326"/>
    <x v="17"/>
    <x v="70"/>
    <n v="267.85483870967744"/>
    <n v="0.77708195339314745"/>
    <n v="1608"/>
    <n v="-0.70398009950248763"/>
    <d v="2022-04-04T00:00:00"/>
    <n v="607"/>
    <d v="2025-08-20T00:00:00"/>
    <x v="150"/>
    <x v="2"/>
    <m/>
  </r>
  <r>
    <n v="901"/>
    <n v="458"/>
    <n v="343"/>
    <n v="3"/>
    <n v="1029"/>
    <d v="2023-03-20T00:00:00"/>
    <s v="Билла"/>
    <n v="282"/>
    <x v="3"/>
    <x v="3"/>
    <n v="265.47674418604652"/>
    <n v="0.29201524243353338"/>
    <n v="6852"/>
    <n v="-0.94994162288382955"/>
    <d v="2022-06-23T00:00:00"/>
    <n v="270"/>
    <d v="2025-08-20T00:00:00"/>
    <x v="251"/>
    <x v="0"/>
    <m/>
  </r>
  <r>
    <n v="902"/>
    <n v="444"/>
    <n v="328"/>
    <n v="3"/>
    <n v="984"/>
    <d v="2023-06-25T00:00:00"/>
    <s v="Азбука Вкуса"/>
    <n v="292"/>
    <x v="9"/>
    <x v="33"/>
    <n v="263.25423728813558"/>
    <n v="0.24594385784187489"/>
    <n v="4970"/>
    <n v="-0.93400402414486927"/>
    <d v="2022-02-16T00:00:00"/>
    <n v="494"/>
    <d v="2025-08-20T00:00:00"/>
    <x v="41"/>
    <x v="2"/>
    <m/>
  </r>
  <r>
    <n v="264"/>
    <n v="222"/>
    <n v="500"/>
    <n v="2"/>
    <n v="1000"/>
    <d v="2023-08-19T00:00:00"/>
    <s v="Ашан"/>
    <n v="9"/>
    <x v="15"/>
    <x v="22"/>
    <n v="294.95238095238096"/>
    <n v="0.55618340329350979"/>
    <n v="3507"/>
    <n v="-0.85742800114057593"/>
    <d v="2022-12-05T00:00:00"/>
    <n v="257"/>
    <d v="2025-08-20T00:00:00"/>
    <x v="43"/>
    <x v="4"/>
    <m/>
  </r>
  <r>
    <n v="904"/>
    <n v="6"/>
    <n v="70"/>
    <n v="5"/>
    <n v="350"/>
    <d v="2024-03-13T00:00:00"/>
    <s v="Спар"/>
    <n v="433"/>
    <x v="12"/>
    <x v="49"/>
    <n v="274.16279069767444"/>
    <n v="-0.74467724149631009"/>
    <n v="2526"/>
    <n v="-0.97228820269200322"/>
    <d v="2022-09-28T00:00:00"/>
    <n v="532"/>
    <d v="2025-08-20T00:00:00"/>
    <x v="60"/>
    <x v="4"/>
    <m/>
  </r>
  <r>
    <n v="852"/>
    <n v="474"/>
    <n v="171"/>
    <n v="3"/>
    <n v="513"/>
    <d v="2023-02-28T00:00:00"/>
    <s v="Верный"/>
    <n v="260"/>
    <x v="15"/>
    <x v="22"/>
    <n v="294.95238095238096"/>
    <n v="-0.18969970939618985"/>
    <n v="3507"/>
    <n v="-0.95124037639007697"/>
    <d v="2022-06-17T00:00:00"/>
    <n v="256"/>
    <d v="2025-08-20T00:00:00"/>
    <x v="239"/>
    <x v="3"/>
    <m/>
  </r>
  <r>
    <n v="906"/>
    <n v="269"/>
    <n v="315"/>
    <n v="1"/>
    <n v="315"/>
    <d v="2024-03-04T00:00:00"/>
    <s v="Городской Супермаркет"/>
    <n v="41"/>
    <x v="0"/>
    <x v="44"/>
    <n v="254.58333333333334"/>
    <n v="0.2373158756137479"/>
    <n v="4988"/>
    <n v="-0.93684843624699277"/>
    <d v="2022-10-08T00:00:00"/>
    <n v="513"/>
    <d v="2025-08-20T00:00:00"/>
    <x v="2"/>
    <x v="2"/>
    <m/>
  </r>
  <r>
    <n v="907"/>
    <n v="55"/>
    <n v="353"/>
    <n v="1"/>
    <n v="353"/>
    <d v="2024-05-01T00:00:00"/>
    <s v="Азбука Вкуса"/>
    <n v="129"/>
    <x v="18"/>
    <x v="60"/>
    <n v="255.11627906976744"/>
    <n v="0.38368277119416594"/>
    <n v="1920"/>
    <n v="-0.81614583333333335"/>
    <d v="2022-11-03T00:00:00"/>
    <n v="545"/>
    <d v="2025-08-20T00:00:00"/>
    <x v="188"/>
    <x v="1"/>
    <m/>
  </r>
  <r>
    <n v="908"/>
    <n v="327"/>
    <n v="342"/>
    <n v="2"/>
    <n v="684"/>
    <d v="2023-12-24T00:00:00"/>
    <s v="Дикси"/>
    <n v="335"/>
    <x v="19"/>
    <x v="73"/>
    <n v="286.92307692307691"/>
    <n v="0.19195710455764092"/>
    <n v="1281"/>
    <n v="-0.73302107728337229"/>
    <d v="2022-02-27T00:00:00"/>
    <n v="665"/>
    <d v="2025-08-20T00:00:00"/>
    <x v="7"/>
    <x v="0"/>
    <m/>
  </r>
  <r>
    <n v="909"/>
    <n v="364"/>
    <n v="299"/>
    <n v="3"/>
    <n v="897"/>
    <d v="2023-01-06T00:00:00"/>
    <s v="О'кей"/>
    <n v="194"/>
    <x v="0"/>
    <x v="44"/>
    <n v="254.58333333333334"/>
    <n v="0.1744680851063829"/>
    <n v="4988"/>
    <n v="-0.94005613472333605"/>
    <d v="2022-12-29T00:00:00"/>
    <n v="8"/>
    <d v="2025-08-20T00:00:00"/>
    <x v="38"/>
    <x v="2"/>
    <m/>
  </r>
  <r>
    <n v="910"/>
    <n v="378"/>
    <n v="397"/>
    <n v="1"/>
    <n v="397"/>
    <d v="2023-03-15T00:00:00"/>
    <s v="Карусель"/>
    <n v="56"/>
    <x v="5"/>
    <x v="5"/>
    <n v="268.60344827586209"/>
    <n v="0.47801527697541557"/>
    <n v="9023"/>
    <n v="-0.95600132993461151"/>
    <d v="2022-04-11T00:00:00"/>
    <n v="338"/>
    <d v="2025-08-20T00:00:00"/>
    <x v="184"/>
    <x v="4"/>
    <m/>
  </r>
  <r>
    <n v="911"/>
    <n v="462"/>
    <n v="231"/>
    <n v="2"/>
    <n v="462"/>
    <d v="2023-01-24T00:00:00"/>
    <s v="Ашан"/>
    <n v="493"/>
    <x v="13"/>
    <x v="20"/>
    <n v="258.375"/>
    <n v="-0.10595065312046448"/>
    <n v="4585"/>
    <n v="-0.94961832061068707"/>
    <d v="2022-10-21T00:00:00"/>
    <n v="95"/>
    <d v="2025-08-20T00:00:00"/>
    <x v="48"/>
    <x v="3"/>
    <m/>
  </r>
  <r>
    <n v="912"/>
    <n v="89"/>
    <n v="120"/>
    <n v="5"/>
    <n v="600"/>
    <d v="2023-02-05T00:00:00"/>
    <s v="Азбука Вкуса"/>
    <n v="222"/>
    <x v="17"/>
    <x v="27"/>
    <n v="267.85483870967744"/>
    <n v="-0.5519961462034082"/>
    <n v="6053"/>
    <n v="-0.98017511977531802"/>
    <d v="2022-05-13T00:00:00"/>
    <n v="268"/>
    <d v="2025-08-20T00:00:00"/>
    <x v="50"/>
    <x v="3"/>
    <m/>
  </r>
  <r>
    <n v="913"/>
    <n v="465"/>
    <n v="177"/>
    <n v="1"/>
    <n v="177"/>
    <d v="2023-07-15T00:00:00"/>
    <s v="Перекресток"/>
    <n v="167"/>
    <x v="9"/>
    <x v="9"/>
    <n v="263.25423728813558"/>
    <n v="-0.32764614988411023"/>
    <n v="5929"/>
    <n v="-0.97014673638050264"/>
    <d v="2022-01-02T00:00:00"/>
    <n v="559"/>
    <d v="2025-08-20T00:00:00"/>
    <x v="22"/>
    <x v="0"/>
    <m/>
  </r>
  <r>
    <n v="914"/>
    <n v="208"/>
    <n v="412"/>
    <n v="4"/>
    <n v="1648"/>
    <d v="2024-01-28T00:00:00"/>
    <s v="Мираторг"/>
    <n v="212"/>
    <x v="17"/>
    <x v="70"/>
    <n v="267.85483870967744"/>
    <n v="0.53814656470163169"/>
    <n v="1608"/>
    <n v="-0.74378109452736318"/>
    <d v="2022-09-11T00:00:00"/>
    <n v="504"/>
    <d v="2025-08-20T00:00:00"/>
    <x v="67"/>
    <x v="0"/>
    <m/>
  </r>
  <r>
    <n v="915"/>
    <n v="357"/>
    <n v="279"/>
    <n v="2"/>
    <n v="558"/>
    <d v="2023-12-06T00:00:00"/>
    <s v="Ароматный Мир"/>
    <n v="499"/>
    <x v="10"/>
    <x v="37"/>
    <n v="271.74545454545455"/>
    <n v="2.6696105981533602E-2"/>
    <n v="4630"/>
    <n v="-0.93974082073434129"/>
    <d v="2022-08-25T00:00:00"/>
    <n v="468"/>
    <d v="2025-08-20T00:00:00"/>
    <x v="145"/>
    <x v="1"/>
    <m/>
  </r>
  <r>
    <n v="916"/>
    <n v="416"/>
    <n v="472"/>
    <n v="1"/>
    <n v="472"/>
    <d v="2024-02-17T00:00:00"/>
    <s v="Азбука Вкуса"/>
    <n v="401"/>
    <x v="6"/>
    <x v="6"/>
    <n v="258.5128205128205"/>
    <n v="0.82582820868875229"/>
    <n v="4431"/>
    <n v="-0.8934777702550214"/>
    <d v="2022-10-22T00:00:00"/>
    <n v="483"/>
    <d v="2025-08-20T00:00:00"/>
    <x v="206"/>
    <x v="2"/>
    <m/>
  </r>
  <r>
    <n v="917"/>
    <n v="374"/>
    <n v="52"/>
    <n v="3"/>
    <n v="156"/>
    <d v="2023-04-10T00:00:00"/>
    <s v="Ашан"/>
    <n v="463"/>
    <x v="7"/>
    <x v="76"/>
    <n v="249.02380952380952"/>
    <n v="-0.79118462568123149"/>
    <n v="420"/>
    <n v="-0.87619047619047619"/>
    <d v="2022-11-04T00:00:00"/>
    <n v="157"/>
    <d v="2025-08-20T00:00:00"/>
    <x v="157"/>
    <x v="3"/>
    <m/>
  </r>
  <r>
    <n v="918"/>
    <n v="145"/>
    <n v="144"/>
    <n v="5"/>
    <n v="720"/>
    <d v="2024-01-21T00:00:00"/>
    <s v="Бристоль"/>
    <n v="347"/>
    <x v="4"/>
    <x v="74"/>
    <n v="250.48780487804879"/>
    <n v="-0.42512171372930874"/>
    <n v="2080"/>
    <n v="-0.93076923076923079"/>
    <d v="2022-01-27T00:00:00"/>
    <n v="724"/>
    <d v="2025-08-20T00:00:00"/>
    <x v="135"/>
    <x v="4"/>
    <m/>
  </r>
  <r>
    <n v="919"/>
    <n v="289"/>
    <n v="258"/>
    <n v="2"/>
    <n v="516"/>
    <d v="2024-04-10T00:00:00"/>
    <s v="Дикси"/>
    <n v="54"/>
    <x v="5"/>
    <x v="28"/>
    <n v="268.60344827586209"/>
    <n v="-3.9476217985750184E-2"/>
    <n v="2671"/>
    <n v="-0.90340696368401352"/>
    <d v="2022-10-13T00:00:00"/>
    <n v="545"/>
    <d v="2025-08-20T00:00:00"/>
    <x v="219"/>
    <x v="1"/>
    <m/>
  </r>
  <r>
    <n v="920"/>
    <n v="173"/>
    <n v="173"/>
    <n v="2"/>
    <n v="346"/>
    <d v="2023-06-20T00:00:00"/>
    <s v="Ашан"/>
    <n v="246"/>
    <x v="5"/>
    <x v="5"/>
    <n v="268.60344827586209"/>
    <n v="-0.35592785159509599"/>
    <n v="9023"/>
    <n v="-0.98082677601684587"/>
    <d v="2022-09-01T00:00:00"/>
    <n v="292"/>
    <d v="2025-08-20T00:00:00"/>
    <x v="180"/>
    <x v="0"/>
    <m/>
  </r>
  <r>
    <n v="921"/>
    <n v="390"/>
    <n v="494"/>
    <n v="3"/>
    <n v="1482"/>
    <d v="2023-09-27T00:00:00"/>
    <s v="Метро"/>
    <n v="65"/>
    <x v="5"/>
    <x v="32"/>
    <n v="268.60344827586209"/>
    <n v="0.83914243532961019"/>
    <n v="2796"/>
    <n v="-0.82331902718168815"/>
    <d v="2022-03-03T00:00:00"/>
    <n v="573"/>
    <d v="2025-08-20T00:00:00"/>
    <x v="124"/>
    <x v="3"/>
    <m/>
  </r>
  <r>
    <n v="922"/>
    <n v="482"/>
    <n v="198"/>
    <n v="2"/>
    <n v="396"/>
    <d v="2023-09-28T00:00:00"/>
    <s v="Ашан"/>
    <n v="44"/>
    <x v="18"/>
    <x v="34"/>
    <n v="255.11627906976744"/>
    <n v="-0.22388331814038287"/>
    <n v="3254"/>
    <n v="-0.93915181315304241"/>
    <d v="2022-05-20T00:00:00"/>
    <n v="496"/>
    <d v="2025-08-20T00:00:00"/>
    <x v="120"/>
    <x v="1"/>
    <m/>
  </r>
  <r>
    <n v="923"/>
    <n v="465"/>
    <n v="71"/>
    <n v="5"/>
    <n v="355"/>
    <d v="2023-11-23T00:00:00"/>
    <s v="Перекресток"/>
    <n v="321"/>
    <x v="9"/>
    <x v="9"/>
    <n v="263.25423728813558"/>
    <n v="-0.73029873808910639"/>
    <n v="5929"/>
    <n v="-0.98802496205093604"/>
    <d v="2022-07-14T00:00:00"/>
    <n v="497"/>
    <d v="2025-08-20T00:00:00"/>
    <x v="19"/>
    <x v="4"/>
    <m/>
  </r>
  <r>
    <n v="924"/>
    <n v="114"/>
    <n v="228"/>
    <n v="2"/>
    <n v="456"/>
    <d v="2023-09-06T00:00:00"/>
    <s v="О'кей"/>
    <n v="50"/>
    <x v="11"/>
    <x v="46"/>
    <n v="261.03225806451616"/>
    <n v="-0.12654473554127543"/>
    <n v="8943"/>
    <n v="-0.97450519959745052"/>
    <d v="2022-01-15T00:00:00"/>
    <n v="599"/>
    <d v="2025-08-20T00:00:00"/>
    <x v="99"/>
    <x v="0"/>
    <m/>
  </r>
  <r>
    <n v="925"/>
    <n v="46"/>
    <n v="290"/>
    <n v="3"/>
    <n v="870"/>
    <d v="2023-05-13T00:00:00"/>
    <s v="Карусель"/>
    <n v="460"/>
    <x v="9"/>
    <x v="53"/>
    <n v="263.25423728813558"/>
    <n v="0.10159670357970652"/>
    <n v="1762"/>
    <n v="-0.8354143019296254"/>
    <d v="2022-09-17T00:00:00"/>
    <n v="238"/>
    <d v="2025-08-20T00:00:00"/>
    <x v="86"/>
    <x v="2"/>
    <m/>
  </r>
  <r>
    <n v="157"/>
    <n v="498"/>
    <n v="430"/>
    <n v="5"/>
    <n v="2150"/>
    <d v="2023-06-29T00:00:00"/>
    <s v="Седьмой Континент"/>
    <n v="250"/>
    <x v="15"/>
    <x v="65"/>
    <n v="294.95238095238096"/>
    <n v="-0.43041653212786568"/>
    <n v="4946"/>
    <n v="-0.91306105944197335"/>
    <d v="2022-10-22T00:00:00"/>
    <n v="250"/>
    <d v="2025-08-20T00:00:00"/>
    <x v="206"/>
    <x v="2"/>
    <m/>
  </r>
  <r>
    <n v="927"/>
    <n v="210"/>
    <n v="374"/>
    <n v="2"/>
    <n v="748"/>
    <d v="2023-05-06T00:00:00"/>
    <s v="Перекресток"/>
    <n v="209"/>
    <x v="19"/>
    <x v="40"/>
    <n v="286.92307692307691"/>
    <n v="0.30348525469168908"/>
    <n v="3283"/>
    <n v="-0.88607980505635087"/>
    <d v="2022-03-08T00:00:00"/>
    <n v="424"/>
    <d v="2025-08-20T00:00:00"/>
    <x v="170"/>
    <x v="2"/>
    <m/>
  </r>
  <r>
    <n v="928"/>
    <n v="399"/>
    <n v="67"/>
    <n v="2"/>
    <n v="134"/>
    <d v="2023-01-25T00:00:00"/>
    <s v="Ашан"/>
    <n v="451"/>
    <x v="16"/>
    <x v="23"/>
    <n v="300.31818181818181"/>
    <n v="-0.77690328439533829"/>
    <n v="4226"/>
    <n v="-0.98414576431613821"/>
    <d v="2022-01-23T00:00:00"/>
    <n v="367"/>
    <d v="2025-08-20T00:00:00"/>
    <x v="78"/>
    <x v="2"/>
    <m/>
  </r>
  <r>
    <n v="724"/>
    <n v="400"/>
    <n v="358"/>
    <n v="4"/>
    <n v="1432"/>
    <d v="2023-06-26T00:00:00"/>
    <s v="Городской Супермаркет"/>
    <n v="9"/>
    <x v="15"/>
    <x v="58"/>
    <n v="294.95238095238096"/>
    <n v="-0.47788182111721023"/>
    <n v="3548"/>
    <n v="-0.89909808342728303"/>
    <d v="2022-12-05T00:00:00"/>
    <n v="203"/>
    <d v="2025-08-20T00:00:00"/>
    <x v="43"/>
    <x v="4"/>
    <m/>
  </r>
  <r>
    <n v="930"/>
    <n v="170"/>
    <n v="312"/>
    <n v="1"/>
    <n v="312"/>
    <d v="2023-05-26T00:00:00"/>
    <s v="Метро"/>
    <n v="162"/>
    <x v="17"/>
    <x v="70"/>
    <n v="267.85483870967744"/>
    <n v="0.16481001987113864"/>
    <n v="1608"/>
    <n v="-0.80597014925373134"/>
    <d v="2022-03-19T00:00:00"/>
    <n v="433"/>
    <d v="2025-08-20T00:00:00"/>
    <x v="83"/>
    <x v="4"/>
    <m/>
  </r>
  <r>
    <n v="931"/>
    <n v="205"/>
    <n v="212"/>
    <n v="4"/>
    <n v="848"/>
    <d v="2023-04-04T00:00:00"/>
    <s v="Гиперглобус"/>
    <n v="414"/>
    <x v="3"/>
    <x v="3"/>
    <n v="265.47674418604652"/>
    <n v="-0.20143664316061494"/>
    <n v="6852"/>
    <n v="-0.96906012842965561"/>
    <d v="2022-08-21T00:00:00"/>
    <n v="226"/>
    <d v="2025-08-20T00:00:00"/>
    <x v="13"/>
    <x v="1"/>
    <m/>
  </r>
  <r>
    <n v="695"/>
    <n v="400"/>
    <n v="474"/>
    <n v="4"/>
    <n v="1896"/>
    <d v="2023-03-07T00:00:00"/>
    <s v="Гиперглобус"/>
    <n v="191"/>
    <x v="15"/>
    <x v="58"/>
    <n v="294.95238095238096"/>
    <n v="0.61381982563771387"/>
    <n v="3548"/>
    <n v="-0.86640360766629088"/>
    <d v="2022-11-01T00:00:00"/>
    <n v="126"/>
    <d v="2025-08-20T00:00:00"/>
    <x v="169"/>
    <x v="3"/>
    <m/>
  </r>
  <r>
    <n v="933"/>
    <n v="246"/>
    <n v="400"/>
    <n v="4"/>
    <n v="1600"/>
    <d v="2024-03-25T00:00:00"/>
    <s v="Ароматный Мир"/>
    <n v="191"/>
    <x v="11"/>
    <x v="26"/>
    <n v="261.03225806451616"/>
    <n v="0.53237765694513084"/>
    <n v="3935"/>
    <n v="-0.8983481575603558"/>
    <d v="2022-11-01T00:00:00"/>
    <n v="510"/>
    <d v="2025-08-20T00:00:00"/>
    <x v="169"/>
    <x v="3"/>
    <m/>
  </r>
  <r>
    <n v="934"/>
    <n v="187"/>
    <n v="168"/>
    <n v="3"/>
    <n v="504"/>
    <d v="2023-01-20T00:00:00"/>
    <s v="О'кей"/>
    <n v="126"/>
    <x v="3"/>
    <x v="16"/>
    <n v="265.47674418604652"/>
    <n v="-0.36717620778765714"/>
    <n v="10237"/>
    <n v="-0.98358894207287295"/>
    <d v="2022-09-18T00:00:00"/>
    <n v="124"/>
    <d v="2025-08-20T00:00:00"/>
    <x v="81"/>
    <x v="0"/>
    <m/>
  </r>
  <r>
    <n v="935"/>
    <n v="9"/>
    <n v="321"/>
    <n v="1"/>
    <n v="321"/>
    <d v="2023-09-04T00:00:00"/>
    <s v="Ароматный Мир"/>
    <n v="217"/>
    <x v="9"/>
    <x v="42"/>
    <n v="263.25423728813558"/>
    <n v="0.21935359258305431"/>
    <n v="2871"/>
    <n v="-0.88819226750261238"/>
    <d v="2022-09-22T00:00:00"/>
    <n v="347"/>
    <d v="2025-08-20T00:00:00"/>
    <x v="168"/>
    <x v="2"/>
    <m/>
  </r>
  <r>
    <n v="384"/>
    <n v="480"/>
    <n v="70"/>
    <n v="1"/>
    <n v="70"/>
    <d v="2023-01-19T00:00:00"/>
    <s v="Городской Супермаркет"/>
    <n v="464"/>
    <x v="15"/>
    <x v="58"/>
    <n v="294.95238095238096"/>
    <n v="-0.17274782047142401"/>
    <n v="3548"/>
    <n v="-0.98027057497181513"/>
    <d v="2022-09-23T00:00:00"/>
    <n v="118"/>
    <d v="2025-08-20T00:00:00"/>
    <x v="42"/>
    <x v="2"/>
    <m/>
  </r>
  <r>
    <n v="937"/>
    <n v="166"/>
    <n v="166"/>
    <n v="5"/>
    <n v="830"/>
    <d v="2023-11-22T00:00:00"/>
    <s v="Спар"/>
    <n v="407"/>
    <x v="5"/>
    <x v="28"/>
    <n v="268.60344827586209"/>
    <n v="-0.38198857436292455"/>
    <n v="2671"/>
    <n v="-0.93785099213777612"/>
    <d v="2022-03-01T00:00:00"/>
    <n v="631"/>
    <d v="2025-08-20T00:00:00"/>
    <x v="47"/>
    <x v="1"/>
    <m/>
  </r>
  <r>
    <n v="938"/>
    <n v="329"/>
    <n v="71"/>
    <n v="2"/>
    <n v="142"/>
    <d v="2023-07-31T00:00:00"/>
    <s v="Спар"/>
    <n v="117"/>
    <x v="1"/>
    <x v="63"/>
    <n v="264.8679245283019"/>
    <n v="-0.73194187206154726"/>
    <n v="2843"/>
    <n v="-0.97502638058389024"/>
    <d v="2022-05-25T00:00:00"/>
    <n v="432"/>
    <d v="2025-08-20T00:00:00"/>
    <x v="143"/>
    <x v="3"/>
    <m/>
  </r>
  <r>
    <n v="939"/>
    <n v="35"/>
    <n v="345"/>
    <n v="2"/>
    <n v="690"/>
    <d v="2023-06-01T00:00:00"/>
    <s v="Метро"/>
    <n v="91"/>
    <x v="18"/>
    <x v="34"/>
    <n v="255.11627906976744"/>
    <n v="0.35232452142206006"/>
    <n v="3254"/>
    <n v="-0.8939766441303012"/>
    <d v="2022-05-06T00:00:00"/>
    <n v="391"/>
    <d v="2025-08-20T00:00:00"/>
    <x v="247"/>
    <x v="2"/>
    <m/>
  </r>
  <r>
    <n v="940"/>
    <n v="342"/>
    <n v="259"/>
    <n v="5"/>
    <n v="1295"/>
    <d v="2024-02-27T00:00:00"/>
    <s v="Гиперглобус"/>
    <n v="380"/>
    <x v="4"/>
    <x v="24"/>
    <n v="250.48780487804879"/>
    <n v="3.3982473222979426E-2"/>
    <n v="5165"/>
    <n v="-0.94985479186834465"/>
    <d v="2022-01-02T00:00:00"/>
    <n v="786"/>
    <d v="2025-08-20T00:00:00"/>
    <x v="22"/>
    <x v="2"/>
    <m/>
  </r>
  <r>
    <n v="830"/>
    <n v="44"/>
    <n v="310"/>
    <n v="3"/>
    <n v="930"/>
    <d v="2023-02-14T00:00:00"/>
    <s v="Мосмарт"/>
    <n v="48"/>
    <x v="15"/>
    <x v="58"/>
    <n v="294.95238095238096"/>
    <n v="-0.23377462060058118"/>
    <n v="3548"/>
    <n v="-0.91262683201803829"/>
    <d v="2022-10-22T00:00:00"/>
    <n v="115"/>
    <d v="2025-08-20T00:00:00"/>
    <x v="206"/>
    <x v="0"/>
    <m/>
  </r>
  <r>
    <n v="942"/>
    <n v="128"/>
    <n v="246"/>
    <n v="4"/>
    <n v="984"/>
    <d v="2024-01-19T00:00:00"/>
    <s v="Городской Супермаркет"/>
    <n v="479"/>
    <x v="10"/>
    <x v="15"/>
    <n v="271.74545454545455"/>
    <n v="-9.4741067844239302E-2"/>
    <n v="3799"/>
    <n v="-0.93524611739931562"/>
    <d v="2022-08-20T00:00:00"/>
    <n v="517"/>
    <d v="2025-08-20T00:00:00"/>
    <x v="126"/>
    <x v="2"/>
    <m/>
  </r>
  <r>
    <n v="943"/>
    <n v="447"/>
    <n v="118"/>
    <n v="3"/>
    <n v="354"/>
    <d v="2024-02-15T00:00:00"/>
    <s v="Перекресток"/>
    <n v="9"/>
    <x v="9"/>
    <x v="33"/>
    <n v="263.25423728813558"/>
    <n v="-0.55176409992274011"/>
    <n v="4970"/>
    <n v="-0.97625754527162978"/>
    <d v="2022-12-05T00:00:00"/>
    <n v="437"/>
    <d v="2025-08-20T00:00:00"/>
    <x v="43"/>
    <x v="4"/>
    <m/>
  </r>
  <r>
    <n v="944"/>
    <n v="48"/>
    <n v="116"/>
    <n v="5"/>
    <n v="580"/>
    <d v="2023-04-18T00:00:00"/>
    <s v="Седьмой Континент"/>
    <n v="477"/>
    <x v="12"/>
    <x v="64"/>
    <n v="274.16279069767444"/>
    <n v="-0.57689371447959958"/>
    <n v="3358"/>
    <n v="-0.96545562835020848"/>
    <d v="2022-06-26T00:00:00"/>
    <n v="296"/>
    <d v="2025-08-20T00:00:00"/>
    <x v="6"/>
    <x v="0"/>
    <m/>
  </r>
  <r>
    <n v="945"/>
    <n v="415"/>
    <n v="307"/>
    <n v="3"/>
    <n v="921"/>
    <d v="2023-12-30T00:00:00"/>
    <s v="Ашан"/>
    <n v="498"/>
    <x v="14"/>
    <x v="21"/>
    <n v="273.72549019607845"/>
    <n v="0.12156160458452714"/>
    <n v="5885"/>
    <n v="-0.94783347493627867"/>
    <d v="2022-06-09T00:00:00"/>
    <n v="569"/>
    <d v="2025-08-20T00:00:00"/>
    <x v="226"/>
    <x v="3"/>
    <m/>
  </r>
  <r>
    <n v="946"/>
    <n v="298"/>
    <n v="84"/>
    <n v="5"/>
    <n v="420"/>
    <d v="2024-02-13T00:00:00"/>
    <s v="Городской Супермаркет"/>
    <n v="93"/>
    <x v="18"/>
    <x v="67"/>
    <n v="255.11627906976744"/>
    <n v="-0.67073837739288966"/>
    <n v="3023"/>
    <n v="-0.97221303341051934"/>
    <d v="2022-12-10T00:00:00"/>
    <n v="430"/>
    <d v="2025-08-20T00:00:00"/>
    <x v="137"/>
    <x v="3"/>
    <m/>
  </r>
  <r>
    <n v="947"/>
    <n v="3"/>
    <n v="180"/>
    <n v="3"/>
    <n v="540"/>
    <d v="2023-01-14T00:00:00"/>
    <s v="Лента"/>
    <n v="200"/>
    <x v="18"/>
    <x v="72"/>
    <n v="255.11627906976744"/>
    <n v="-0.29443938012762083"/>
    <n v="2773"/>
    <n v="-0.93508835196538043"/>
    <d v="2022-08-10T00:00:00"/>
    <n v="157"/>
    <d v="2025-08-20T00:00:00"/>
    <x v="61"/>
    <x v="0"/>
    <m/>
  </r>
  <r>
    <n v="948"/>
    <n v="60"/>
    <n v="334"/>
    <n v="1"/>
    <n v="334"/>
    <d v="2023-09-27T00:00:00"/>
    <s v="Седьмой Континент"/>
    <n v="381"/>
    <x v="7"/>
    <x v="7"/>
    <n v="249.02380952380952"/>
    <n v="0.34123721197055179"/>
    <n v="5248"/>
    <n v="-0.93635670731707321"/>
    <d v="2022-06-02T00:00:00"/>
    <n v="482"/>
    <d v="2025-08-20T00:00:00"/>
    <x v="77"/>
    <x v="0"/>
    <m/>
  </r>
  <r>
    <n v="949"/>
    <n v="59"/>
    <n v="234"/>
    <n v="2"/>
    <n v="468"/>
    <d v="2023-06-24T00:00:00"/>
    <s v="Мираторг"/>
    <n v="18"/>
    <x v="0"/>
    <x v="0"/>
    <n v="254.58333333333334"/>
    <n v="-8.085106382978724E-2"/>
    <n v="5172"/>
    <n v="-0.95475638051044087"/>
    <d v="2022-01-17T00:00:00"/>
    <n v="523"/>
    <d v="2025-08-20T00:00:00"/>
    <x v="28"/>
    <x v="3"/>
    <m/>
  </r>
  <r>
    <n v="950"/>
    <n v="119"/>
    <n v="426"/>
    <n v="1"/>
    <n v="426"/>
    <d v="2023-06-17T00:00:00"/>
    <s v="Мосмарт"/>
    <n v="327"/>
    <x v="2"/>
    <x v="31"/>
    <n v="283.468085106383"/>
    <n v="0.50281468137806784"/>
    <n v="4200"/>
    <n v="-0.89857142857142858"/>
    <d v="2022-01-04T00:00:00"/>
    <n v="529"/>
    <d v="2025-08-20T00:00:00"/>
    <x v="127"/>
    <x v="4"/>
    <m/>
  </r>
  <r>
    <n v="951"/>
    <n v="199"/>
    <n v="494"/>
    <n v="1"/>
    <n v="494"/>
    <d v="2023-11-22T00:00:00"/>
    <s v="Городской Супермаркет"/>
    <n v="340"/>
    <x v="3"/>
    <x v="3"/>
    <n v="265.47674418604652"/>
    <n v="0.86080329376724629"/>
    <n v="6852"/>
    <n v="-0.92790426152948047"/>
    <d v="2022-12-01T00:00:00"/>
    <n v="356"/>
    <d v="2025-08-20T00:00:00"/>
    <x v="76"/>
    <x v="2"/>
    <m/>
  </r>
  <r>
    <n v="952"/>
    <n v="272"/>
    <n v="353"/>
    <n v="3"/>
    <n v="1059"/>
    <d v="2023-03-04T00:00:00"/>
    <s v="Ароматный Мир"/>
    <n v="490"/>
    <x v="18"/>
    <x v="72"/>
    <n v="255.11627906976744"/>
    <n v="0.38368277119416594"/>
    <n v="2773"/>
    <n v="-0.87270104579877383"/>
    <d v="2022-02-11T00:00:00"/>
    <n v="386"/>
    <d v="2025-08-20T00:00:00"/>
    <x v="16"/>
    <x v="2"/>
    <m/>
  </r>
  <r>
    <n v="953"/>
    <n v="386"/>
    <n v="288"/>
    <n v="2"/>
    <n v="576"/>
    <d v="2023-12-25T00:00:00"/>
    <s v="О'кей"/>
    <n v="67"/>
    <x v="18"/>
    <x v="67"/>
    <n v="255.11627906976744"/>
    <n v="0.12889699179580671"/>
    <n v="3023"/>
    <n v="-0.9047304002646378"/>
    <d v="2022-06-19T00:00:00"/>
    <n v="554"/>
    <d v="2025-08-20T00:00:00"/>
    <x v="211"/>
    <x v="0"/>
    <m/>
  </r>
  <r>
    <n v="954"/>
    <n v="464"/>
    <n v="430"/>
    <n v="2"/>
    <n v="860"/>
    <d v="2023-08-10T00:00:00"/>
    <s v="Ашан"/>
    <n v="132"/>
    <x v="11"/>
    <x v="46"/>
    <n v="261.03225806451616"/>
    <n v="0.64730598121601557"/>
    <n v="8943"/>
    <n v="-0.9519177009951918"/>
    <d v="2022-02-09T00:00:00"/>
    <n v="547"/>
    <d v="2025-08-20T00:00:00"/>
    <x v="85"/>
    <x v="3"/>
    <m/>
  </r>
  <r>
    <n v="955"/>
    <n v="494"/>
    <n v="471"/>
    <n v="5"/>
    <n v="2355"/>
    <d v="2023-12-29T00:00:00"/>
    <s v="Бристоль"/>
    <n v="95"/>
    <x v="11"/>
    <x v="46"/>
    <n v="261.03225806451616"/>
    <n v="0.8043746910528915"/>
    <n v="8943"/>
    <n v="-0.94733310969473328"/>
    <d v="2022-05-23T00:00:00"/>
    <n v="585"/>
    <d v="2025-08-20T00:00:00"/>
    <x v="166"/>
    <x v="0"/>
    <m/>
  </r>
  <r>
    <n v="956"/>
    <n v="242"/>
    <n v="313"/>
    <n v="3"/>
    <n v="939"/>
    <d v="2023-11-19T00:00:00"/>
    <s v="Седьмой Континент"/>
    <n v="75"/>
    <x v="4"/>
    <x v="24"/>
    <n v="250.48780487804879"/>
    <n v="0.24956183057448866"/>
    <n v="5165"/>
    <n v="-0.93939980638915777"/>
    <d v="2022-08-23T00:00:00"/>
    <n v="453"/>
    <d v="2025-08-20T00:00:00"/>
    <x v="74"/>
    <x v="3"/>
    <m/>
  </r>
  <r>
    <n v="957"/>
    <n v="434"/>
    <n v="340"/>
    <n v="4"/>
    <n v="1360"/>
    <d v="2023-01-11T00:00:00"/>
    <s v="Гиперглобус"/>
    <n v="419"/>
    <x v="11"/>
    <x v="46"/>
    <n v="261.03225806451616"/>
    <n v="0.30252100840336116"/>
    <n v="8943"/>
    <n v="-0.96198143799619817"/>
    <d v="2022-11-04T00:00:00"/>
    <n v="68"/>
    <d v="2025-08-20T00:00:00"/>
    <x v="157"/>
    <x v="4"/>
    <m/>
  </r>
  <r>
    <n v="958"/>
    <n v="110"/>
    <n v="148"/>
    <n v="2"/>
    <n v="296"/>
    <d v="2023-03-10T00:00:00"/>
    <s v="Городской Супермаркет"/>
    <n v="42"/>
    <x v="3"/>
    <x v="16"/>
    <n v="265.47674418604652"/>
    <n v="-0.44251237352722173"/>
    <n v="10237"/>
    <n v="-0.98554263944514997"/>
    <d v="2022-08-10T00:00:00"/>
    <n v="212"/>
    <d v="2025-08-20T00:00:00"/>
    <x v="61"/>
    <x v="4"/>
    <m/>
  </r>
  <r>
    <n v="959"/>
    <n v="168"/>
    <n v="391"/>
    <n v="2"/>
    <n v="782"/>
    <d v="2023-08-05T00:00:00"/>
    <s v="Ашан"/>
    <n v="316"/>
    <x v="18"/>
    <x v="72"/>
    <n v="255.11627906976744"/>
    <n v="0.53263445761166817"/>
    <n v="2773"/>
    <n v="-0.858997475658132"/>
    <d v="2022-08-14T00:00:00"/>
    <n v="356"/>
    <d v="2025-08-20T00:00:00"/>
    <x v="132"/>
    <x v="4"/>
    <m/>
  </r>
  <r>
    <n v="960"/>
    <n v="13"/>
    <n v="181"/>
    <n v="4"/>
    <n v="724"/>
    <d v="2024-04-16T00:00:00"/>
    <s v="Ароматный Мир"/>
    <n v="117"/>
    <x v="3"/>
    <x v="16"/>
    <n v="265.47674418604652"/>
    <n v="-0.3182077000569401"/>
    <n v="10237"/>
    <n v="-0.98231903878089288"/>
    <d v="2022-05-25T00:00:00"/>
    <n v="692"/>
    <d v="2025-08-20T00:00:00"/>
    <x v="143"/>
    <x v="3"/>
    <m/>
  </r>
  <r>
    <n v="961"/>
    <n v="141"/>
    <n v="279"/>
    <n v="1"/>
    <n v="279"/>
    <d v="2024-02-02T00:00:00"/>
    <s v="Городской Супермаркет"/>
    <n v="243"/>
    <x v="12"/>
    <x v="64"/>
    <n v="274.16279069767444"/>
    <n v="1.7643566036135372E-2"/>
    <n v="3358"/>
    <n v="-0.91691483025610476"/>
    <d v="2022-04-30T00:00:00"/>
    <n v="643"/>
    <d v="2025-08-20T00:00:00"/>
    <x v="229"/>
    <x v="2"/>
    <m/>
  </r>
  <r>
    <n v="962"/>
    <n v="120"/>
    <n v="229"/>
    <n v="5"/>
    <n v="1145"/>
    <d v="2023-01-04T00:00:00"/>
    <s v="Седьмой Континент"/>
    <n v="6"/>
    <x v="16"/>
    <x v="38"/>
    <n v="300.31818181818181"/>
    <n v="-0.23747540487361884"/>
    <n v="1848"/>
    <n v="-0.87608225108225113"/>
    <d v="2022-05-29T00:00:00"/>
    <n v="220"/>
    <d v="2025-08-20T00:00:00"/>
    <x v="56"/>
    <x v="3"/>
    <m/>
  </r>
  <r>
    <n v="963"/>
    <n v="316"/>
    <n v="97"/>
    <n v="4"/>
    <n v="388"/>
    <d v="2023-01-06T00:00:00"/>
    <s v="Гиперглобус"/>
    <n v="283"/>
    <x v="3"/>
    <x v="3"/>
    <n v="265.47674418604652"/>
    <n v="-0.63461959616311159"/>
    <n v="6852"/>
    <n v="-0.98584354932866314"/>
    <d v="2022-11-24T00:00:00"/>
    <n v="43"/>
    <d v="2025-08-20T00:00:00"/>
    <x v="93"/>
    <x v="4"/>
    <m/>
  </r>
  <r>
    <n v="964"/>
    <n v="448"/>
    <n v="484"/>
    <n v="1"/>
    <n v="484"/>
    <d v="2024-01-10T00:00:00"/>
    <s v="Городской Супермаркет"/>
    <n v="404"/>
    <x v="9"/>
    <x v="9"/>
    <n v="263.25423728813558"/>
    <n v="0.83852691218130326"/>
    <n v="5929"/>
    <n v="-0.91836734693877553"/>
    <d v="2022-12-18T00:00:00"/>
    <n v="388"/>
    <d v="2025-08-20T00:00:00"/>
    <x v="243"/>
    <x v="3"/>
    <m/>
  </r>
  <r>
    <n v="965"/>
    <n v="143"/>
    <n v="200"/>
    <n v="4"/>
    <n v="800"/>
    <d v="2024-01-15T00:00:00"/>
    <s v="Бристоль"/>
    <n v="379"/>
    <x v="0"/>
    <x v="68"/>
    <n v="254.58333333333334"/>
    <n v="-0.21440261865793786"/>
    <n v="1511"/>
    <n v="-0.86763732627399071"/>
    <d v="2022-01-20T00:00:00"/>
    <n v="725"/>
    <d v="2025-08-20T00:00:00"/>
    <x v="98"/>
    <x v="4"/>
    <m/>
  </r>
  <r>
    <n v="966"/>
    <n v="168"/>
    <n v="206"/>
    <n v="4"/>
    <n v="824"/>
    <d v="2023-11-13T00:00:00"/>
    <s v="О'кей"/>
    <n v="136"/>
    <x v="18"/>
    <x v="72"/>
    <n v="255.11627906976744"/>
    <n v="-0.1925250683682771"/>
    <n v="2773"/>
    <n v="-0.92571222502704653"/>
    <d v="2022-10-26T00:00:00"/>
    <n v="383"/>
    <d v="2025-08-20T00:00:00"/>
    <x v="100"/>
    <x v="3"/>
    <m/>
  </r>
  <r>
    <n v="967"/>
    <n v="435"/>
    <n v="116"/>
    <n v="4"/>
    <n v="464"/>
    <d v="2023-04-21T00:00:00"/>
    <s v="О'кей"/>
    <n v="20"/>
    <x v="10"/>
    <x v="37"/>
    <n v="271.74545454545455"/>
    <n v="-0.57312993443061688"/>
    <n v="4630"/>
    <n v="-0.97494600431965439"/>
    <d v="2022-05-10T00:00:00"/>
    <n v="346"/>
    <d v="2025-08-20T00:00:00"/>
    <x v="162"/>
    <x v="0"/>
    <m/>
  </r>
  <r>
    <n v="968"/>
    <n v="375"/>
    <n v="212"/>
    <n v="3"/>
    <n v="636"/>
    <d v="2023-03-24T00:00:00"/>
    <s v="Азбука Вкуса"/>
    <n v="369"/>
    <x v="3"/>
    <x v="3"/>
    <n v="265.47674418604652"/>
    <n v="-0.20143664316061494"/>
    <n v="6852"/>
    <n v="-0.96906012842965561"/>
    <d v="2022-04-27T00:00:00"/>
    <n v="331"/>
    <d v="2025-08-20T00:00:00"/>
    <x v="15"/>
    <x v="2"/>
    <m/>
  </r>
  <r>
    <n v="969"/>
    <n v="416"/>
    <n v="202"/>
    <n v="4"/>
    <n v="808"/>
    <d v="2023-12-25T00:00:00"/>
    <s v="Верный"/>
    <n v="499"/>
    <x v="6"/>
    <x v="6"/>
    <n v="258.5128205128205"/>
    <n v="-0.21860741916286441"/>
    <n v="4431"/>
    <n v="-0.95441209659219139"/>
    <d v="2022-08-25T00:00:00"/>
    <n v="487"/>
    <d v="2025-08-20T00:00:00"/>
    <x v="145"/>
    <x v="1"/>
    <m/>
  </r>
  <r>
    <n v="970"/>
    <n v="25"/>
    <n v="332"/>
    <n v="3"/>
    <n v="996"/>
    <d v="2023-08-26T00:00:00"/>
    <s v="Гиперглобус"/>
    <n v="153"/>
    <x v="14"/>
    <x v="56"/>
    <n v="273.72549019607845"/>
    <n v="0.21289398280802274"/>
    <n v="2902"/>
    <n v="-0.88559614059269465"/>
    <d v="2022-08-29T00:00:00"/>
    <n v="362"/>
    <d v="2025-08-20T00:00:00"/>
    <x v="110"/>
    <x v="2"/>
    <m/>
  </r>
  <r>
    <n v="971"/>
    <n v="236"/>
    <n v="420"/>
    <n v="5"/>
    <n v="2100"/>
    <d v="2023-11-30T00:00:00"/>
    <s v="Лента"/>
    <n v="34"/>
    <x v="2"/>
    <x v="45"/>
    <n v="283.468085106383"/>
    <n v="0.48164827741499661"/>
    <n v="3538"/>
    <n v="-0.88128886376483884"/>
    <d v="2022-04-03T00:00:00"/>
    <n v="606"/>
    <d v="2025-08-20T00:00:00"/>
    <x v="10"/>
    <x v="4"/>
    <m/>
  </r>
  <r>
    <n v="972"/>
    <n v="418"/>
    <n v="139"/>
    <n v="2"/>
    <n v="278"/>
    <d v="2024-04-13T00:00:00"/>
    <s v="Седьмой Континент"/>
    <n v="337"/>
    <x v="12"/>
    <x v="75"/>
    <n v="274.16279069767444"/>
    <n v="-0.49300195097124444"/>
    <n v="1846"/>
    <n v="-0.92470205850487541"/>
    <d v="2022-11-10T00:00:00"/>
    <n v="520"/>
    <d v="2025-08-20T00:00:00"/>
    <x v="108"/>
    <x v="2"/>
    <m/>
  </r>
  <r>
    <n v="973"/>
    <n v="141"/>
    <n v="112"/>
    <n v="4"/>
    <n v="448"/>
    <d v="2023-04-16T00:00:00"/>
    <s v="Пятерочка"/>
    <n v="200"/>
    <x v="12"/>
    <x v="64"/>
    <n v="274.16279069767444"/>
    <n v="-0.59148358639409615"/>
    <n v="3358"/>
    <n v="-0.96664681357951165"/>
    <d v="2022-08-10T00:00:00"/>
    <n v="249"/>
    <d v="2025-08-20T00:00:00"/>
    <x v="61"/>
    <x v="0"/>
    <m/>
  </r>
  <r>
    <n v="974"/>
    <n v="294"/>
    <n v="485"/>
    <n v="3"/>
    <n v="1455"/>
    <d v="2024-02-08T00:00:00"/>
    <s v="Ашан"/>
    <n v="8"/>
    <x v="5"/>
    <x v="5"/>
    <n v="268.60344827586209"/>
    <n v="0.80563579177097355"/>
    <n v="9023"/>
    <n v="-0.94624847611659091"/>
    <d v="2022-11-18T00:00:00"/>
    <n v="447"/>
    <d v="2025-08-20T00:00:00"/>
    <x v="101"/>
    <x v="1"/>
    <m/>
  </r>
  <r>
    <n v="975"/>
    <n v="497"/>
    <n v="120"/>
    <n v="1"/>
    <n v="120"/>
    <d v="2023-12-24T00:00:00"/>
    <s v="О'кей"/>
    <n v="280"/>
    <x v="17"/>
    <x v="35"/>
    <n v="267.85483870967744"/>
    <n v="-0.5519961462034082"/>
    <n v="6757"/>
    <n v="-0.98224063933698391"/>
    <d v="2022-01-02T00:00:00"/>
    <n v="721"/>
    <d v="2025-08-20T00:00:00"/>
    <x v="22"/>
    <x v="2"/>
    <m/>
  </r>
  <r>
    <n v="976"/>
    <n v="359"/>
    <n v="359"/>
    <n v="4"/>
    <n v="1436"/>
    <d v="2024-03-31T00:00:00"/>
    <s v="Карусель"/>
    <n v="94"/>
    <x v="10"/>
    <x v="15"/>
    <n v="271.74545454545455"/>
    <n v="0.32108925465007365"/>
    <n v="3799"/>
    <n v="-0.90550144774940777"/>
    <d v="2022-06-11T00:00:00"/>
    <n v="659"/>
    <d v="2025-08-20T00:00:00"/>
    <x v="202"/>
    <x v="3"/>
    <m/>
  </r>
  <r>
    <n v="977"/>
    <n v="175"/>
    <n v="198"/>
    <n v="3"/>
    <n v="594"/>
    <d v="2023-08-07T00:00:00"/>
    <s v="Верный"/>
    <n v="331"/>
    <x v="4"/>
    <x v="74"/>
    <n v="250.48780487804879"/>
    <n v="-0.2095423563777995"/>
    <n v="2080"/>
    <n v="-0.90480769230769231"/>
    <d v="2022-09-09T00:00:00"/>
    <n v="332"/>
    <d v="2025-08-20T00:00:00"/>
    <x v="234"/>
    <x v="0"/>
    <m/>
  </r>
  <r>
    <n v="978"/>
    <n v="236"/>
    <n v="363"/>
    <n v="4"/>
    <n v="1452"/>
    <d v="2023-08-30T00:00:00"/>
    <s v="Дикси"/>
    <n v="405"/>
    <x v="2"/>
    <x v="45"/>
    <n v="283.468085106383"/>
    <n v="0.28056743976581844"/>
    <n v="3538"/>
    <n v="-0.89739966082532507"/>
    <d v="2022-08-25T00:00:00"/>
    <n v="370"/>
    <d v="2025-08-20T00:00:00"/>
    <x v="145"/>
    <x v="3"/>
    <m/>
  </r>
  <r>
    <n v="979"/>
    <n v="195"/>
    <n v="103"/>
    <n v="1"/>
    <n v="103"/>
    <d v="2023-03-12T00:00:00"/>
    <s v="Мосмарт"/>
    <n v="42"/>
    <x v="16"/>
    <x v="50"/>
    <n v="300.31818181818181"/>
    <n v="-0.65703042227940056"/>
    <n v="3974"/>
    <n v="-0.97408152994464015"/>
    <d v="2022-08-10T00:00:00"/>
    <n v="214"/>
    <d v="2025-08-20T00:00:00"/>
    <x v="61"/>
    <x v="4"/>
    <m/>
  </r>
  <r>
    <n v="980"/>
    <n v="364"/>
    <n v="401"/>
    <n v="2"/>
    <n v="802"/>
    <d v="2023-06-04T00:00:00"/>
    <s v="Седьмой Континент"/>
    <n v="271"/>
    <x v="0"/>
    <x v="44"/>
    <n v="254.58333333333334"/>
    <n v="0.57512274959083465"/>
    <n v="4988"/>
    <n v="-0.9196070569366479"/>
    <d v="2022-11-27T00:00:00"/>
    <n v="189"/>
    <d v="2025-08-20T00:00:00"/>
    <x v="36"/>
    <x v="1"/>
    <m/>
  </r>
  <r>
    <n v="981"/>
    <n v="347"/>
    <n v="139"/>
    <n v="1"/>
    <n v="139"/>
    <d v="2024-01-27T00:00:00"/>
    <s v="Пятерочка"/>
    <n v="56"/>
    <x v="3"/>
    <x v="16"/>
    <n v="265.47674418604652"/>
    <n v="-0.47641364811002584"/>
    <n v="10237"/>
    <n v="-0.98642180326267459"/>
    <d v="2022-04-11T00:00:00"/>
    <n v="656"/>
    <d v="2025-08-20T00:00:00"/>
    <x v="184"/>
    <x v="4"/>
    <m/>
  </r>
  <r>
    <n v="982"/>
    <n v="149"/>
    <n v="468"/>
    <n v="1"/>
    <n v="468"/>
    <d v="2024-03-26T00:00:00"/>
    <s v="Городской Супермаркет"/>
    <n v="427"/>
    <x v="17"/>
    <x v="35"/>
    <n v="267.85483870967744"/>
    <n v="0.74721502980670795"/>
    <n v="6757"/>
    <n v="-0.93073849341423709"/>
    <d v="2022-09-30T00:00:00"/>
    <n v="543"/>
    <d v="2025-08-20T00:00:00"/>
    <x v="252"/>
    <x v="2"/>
    <m/>
  </r>
  <r>
    <n v="983"/>
    <n v="384"/>
    <n v="100"/>
    <n v="4"/>
    <n v="400"/>
    <d v="2024-01-27T00:00:00"/>
    <s v="Верный"/>
    <n v="323"/>
    <x v="0"/>
    <x v="11"/>
    <n v="254.58333333333334"/>
    <n v="-0.60720130932896899"/>
    <n v="3604"/>
    <n v="-0.97225305216426194"/>
    <d v="2022-09-17T00:00:00"/>
    <n v="497"/>
    <d v="2025-08-20T00:00:00"/>
    <x v="86"/>
    <x v="4"/>
    <m/>
  </r>
  <r>
    <n v="984"/>
    <n v="404"/>
    <n v="304"/>
    <n v="5"/>
    <n v="1520"/>
    <d v="2023-12-28T00:00:00"/>
    <s v="Верный"/>
    <n v="17"/>
    <x v="9"/>
    <x v="9"/>
    <n v="263.25423728813558"/>
    <n v="0.15477723409734745"/>
    <n v="5929"/>
    <n v="-0.94872659807724746"/>
    <d v="2022-11-12T00:00:00"/>
    <n v="411"/>
    <d v="2025-08-20T00:00:00"/>
    <x v="208"/>
    <x v="4"/>
    <m/>
  </r>
  <r>
    <n v="985"/>
    <n v="469"/>
    <n v="357"/>
    <n v="4"/>
    <n v="1428"/>
    <d v="2024-03-26T00:00:00"/>
    <s v="Магнит"/>
    <n v="165"/>
    <x v="0"/>
    <x v="11"/>
    <n v="254.58333333333334"/>
    <n v="0.4022913256955809"/>
    <n v="3604"/>
    <n v="-0.90094339622641506"/>
    <d v="2022-02-07T00:00:00"/>
    <n v="778"/>
    <d v="2025-08-20T00:00:00"/>
    <x v="87"/>
    <x v="4"/>
    <m/>
  </r>
  <r>
    <n v="986"/>
    <n v="134"/>
    <n v="89"/>
    <n v="5"/>
    <n v="445"/>
    <d v="2023-02-26T00:00:00"/>
    <s v="Азбука Вкуса"/>
    <n v="403"/>
    <x v="6"/>
    <x v="6"/>
    <n v="258.5128205128205"/>
    <n v="-0.65572307081928183"/>
    <n v="4431"/>
    <n v="-0.97991424057774767"/>
    <d v="2022-02-02T00:00:00"/>
    <n v="389"/>
    <d v="2025-08-20T00:00:00"/>
    <x v="227"/>
    <x v="2"/>
    <m/>
  </r>
  <r>
    <n v="987"/>
    <n v="361"/>
    <n v="283"/>
    <n v="5"/>
    <n v="1415"/>
    <d v="2023-07-26T00:00:00"/>
    <s v="Бристоль"/>
    <n v="274"/>
    <x v="10"/>
    <x v="12"/>
    <n v="271.74545454545455"/>
    <n v="4.141576341496056E-2"/>
    <n v="3405"/>
    <n v="-0.91688693098384733"/>
    <d v="2022-02-15T00:00:00"/>
    <n v="526"/>
    <d v="2025-08-20T00:00:00"/>
    <x v="128"/>
    <x v="2"/>
    <m/>
  </r>
  <r>
    <n v="988"/>
    <n v="110"/>
    <n v="280"/>
    <n v="3"/>
    <n v="840"/>
    <d v="2023-07-14T00:00:00"/>
    <s v="Гиперглобус"/>
    <n v="61"/>
    <x v="3"/>
    <x v="16"/>
    <n v="265.47674418604652"/>
    <n v="5.4706320353904658E-2"/>
    <n v="10237"/>
    <n v="-0.97264823678812151"/>
    <d v="2022-07-27T00:00:00"/>
    <n v="352"/>
    <d v="2025-08-20T00:00:00"/>
    <x v="72"/>
    <x v="4"/>
    <m/>
  </r>
  <r>
    <n v="989"/>
    <n v="280"/>
    <n v="459"/>
    <n v="4"/>
    <n v="1836"/>
    <d v="2023-12-13T00:00:00"/>
    <s v="Метро"/>
    <n v="262"/>
    <x v="11"/>
    <x v="26"/>
    <n v="261.03225806451616"/>
    <n v="0.75840336134453756"/>
    <n v="3935"/>
    <n v="-0.88335451080050831"/>
    <d v="2022-08-05T00:00:00"/>
    <n v="495"/>
    <d v="2025-08-20T00:00:00"/>
    <x v="241"/>
    <x v="4"/>
    <m/>
  </r>
  <r>
    <n v="990"/>
    <n v="43"/>
    <n v="244"/>
    <n v="4"/>
    <n v="976"/>
    <d v="2024-04-10T00:00:00"/>
    <s v="О'кей"/>
    <n v="323"/>
    <x v="2"/>
    <x v="31"/>
    <n v="283.468085106383"/>
    <n v="-0.13923290550176393"/>
    <n v="4200"/>
    <n v="-0.94190476190476191"/>
    <d v="2022-09-17T00:00:00"/>
    <n v="571"/>
    <d v="2025-08-20T00:00:00"/>
    <x v="86"/>
    <x v="4"/>
    <m/>
  </r>
  <r>
    <n v="991"/>
    <n v="434"/>
    <n v="299"/>
    <n v="2"/>
    <n v="598"/>
    <d v="2023-08-06T00:00:00"/>
    <s v="Ароматный Мир"/>
    <n v="481"/>
    <x v="11"/>
    <x v="46"/>
    <n v="261.03225806451616"/>
    <n v="0.14545229856648523"/>
    <n v="8943"/>
    <n v="-0.96656602929665658"/>
    <d v="2022-07-14T00:00:00"/>
    <n v="388"/>
    <d v="2025-08-20T00:00:00"/>
    <x v="19"/>
    <x v="1"/>
    <m/>
  </r>
  <r>
    <n v="992"/>
    <n v="183"/>
    <n v="73"/>
    <n v="5"/>
    <n v="365"/>
    <d v="2024-01-26T00:00:00"/>
    <s v="Пятерочка"/>
    <n v="478"/>
    <x v="17"/>
    <x v="35"/>
    <n v="267.85483870967744"/>
    <n v="-0.72746432227374003"/>
    <n v="6757"/>
    <n v="-0.9891963889299985"/>
    <d v="2022-06-14T00:00:00"/>
    <n v="591"/>
    <d v="2025-08-20T00:00:00"/>
    <x v="139"/>
    <x v="3"/>
    <m/>
  </r>
  <r>
    <n v="993"/>
    <n v="224"/>
    <n v="421"/>
    <n v="3"/>
    <n v="1263"/>
    <d v="2023-06-16T00:00:00"/>
    <s v="Метро"/>
    <n v="497"/>
    <x v="14"/>
    <x v="21"/>
    <n v="273.72549019607845"/>
    <n v="0.53803724928366758"/>
    <n v="5885"/>
    <n v="-0.92846219201359392"/>
    <d v="2022-09-22T00:00:00"/>
    <n v="267"/>
    <d v="2025-08-20T00:00:00"/>
    <x v="168"/>
    <x v="0"/>
    <m/>
  </r>
  <r>
    <n v="994"/>
    <n v="235"/>
    <n v="345"/>
    <n v="3"/>
    <n v="1035"/>
    <d v="2024-01-10T00:00:00"/>
    <s v="Бристоль"/>
    <n v="406"/>
    <x v="16"/>
    <x v="55"/>
    <n v="300.31818181818181"/>
    <n v="0.14878159527773582"/>
    <n v="3166"/>
    <n v="-0.89102969046114966"/>
    <d v="2022-11-30T00:00:00"/>
    <n v="406"/>
    <d v="2025-08-20T00:00:00"/>
    <x v="183"/>
    <x v="3"/>
    <m/>
  </r>
  <r>
    <n v="995"/>
    <n v="477"/>
    <n v="50"/>
    <n v="1"/>
    <n v="50"/>
    <d v="2023-08-07T00:00:00"/>
    <s v="Мосмарт"/>
    <n v="58"/>
    <x v="3"/>
    <x v="3"/>
    <n v="265.47674418604652"/>
    <n v="-0.81165958565108842"/>
    <n v="6852"/>
    <n v="-0.99270286047869238"/>
    <d v="2022-03-08T00:00:00"/>
    <n v="517"/>
    <d v="2025-08-20T00:00:00"/>
    <x v="170"/>
    <x v="1"/>
    <m/>
  </r>
  <r>
    <n v="996"/>
    <n v="242"/>
    <n v="441"/>
    <n v="1"/>
    <n v="441"/>
    <d v="2023-01-08T00:00:00"/>
    <s v="Седьмой Континент"/>
    <n v="312"/>
    <x v="4"/>
    <x v="24"/>
    <n v="250.48780487804879"/>
    <n v="0.76056475170399218"/>
    <n v="5165"/>
    <n v="-0.91461761858664081"/>
    <d v="2022-11-21T00:00:00"/>
    <n v="48"/>
    <d v="2025-08-20T00:00:00"/>
    <x v="133"/>
    <x v="2"/>
    <m/>
  </r>
  <r>
    <n v="997"/>
    <n v="423"/>
    <n v="187"/>
    <n v="5"/>
    <n v="935"/>
    <d v="2023-11-17T00:00:00"/>
    <s v="Бристоль"/>
    <n v="136"/>
    <x v="14"/>
    <x v="21"/>
    <n v="273.72549019607845"/>
    <n v="-0.31683381088825224"/>
    <n v="5885"/>
    <n v="-0.96822429906542051"/>
    <d v="2022-10-26T00:00:00"/>
    <n v="387"/>
    <d v="2025-08-20T00:00:00"/>
    <x v="100"/>
    <x v="3"/>
    <m/>
  </r>
  <r>
    <n v="998"/>
    <n v="414"/>
    <n v="170"/>
    <n v="1"/>
    <n v="170"/>
    <d v="2023-11-18T00:00:00"/>
    <s v="Спар"/>
    <n v="328"/>
    <x v="12"/>
    <x v="18"/>
    <n v="274.16279069767444"/>
    <n v="-0.37993044363389605"/>
    <n v="4059"/>
    <n v="-0.95811776299581175"/>
    <d v="2022-01-07T00:00:00"/>
    <n v="680"/>
    <d v="2025-08-20T00:00:00"/>
    <x v="55"/>
    <x v="2"/>
    <m/>
  </r>
  <r>
    <n v="999"/>
    <n v="110"/>
    <n v="114"/>
    <n v="3"/>
    <n v="342"/>
    <d v="2023-03-05T00:00:00"/>
    <s v="О'кей"/>
    <n v="172"/>
    <x v="3"/>
    <x v="16"/>
    <n v="265.47674418604652"/>
    <n v="-0.57058385528448163"/>
    <n v="10237"/>
    <n v="-0.98886392497802089"/>
    <d v="2022-06-25T00:00:00"/>
    <n v="253"/>
    <d v="2025-08-20T00:00:00"/>
    <x v="115"/>
    <x v="2"/>
    <m/>
  </r>
  <r>
    <n v="1000"/>
    <n v="296"/>
    <n v="453"/>
    <n v="1"/>
    <n v="453"/>
    <d v="2023-12-05T00:00:00"/>
    <s v="Мосмарт"/>
    <n v="167"/>
    <x v="18"/>
    <x v="34"/>
    <n v="255.11627906976744"/>
    <n v="0.7756608933454876"/>
    <n v="3254"/>
    <n v="-0.86078672403196066"/>
    <d v="2022-01-02T00:00:00"/>
    <n v="702"/>
    <d v="2025-08-20T00:00:00"/>
    <x v="22"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n v="249"/>
    <s v="+7 974-088-4889"/>
    <s v="Абрамов Адриан Фролович"/>
    <x v="0"/>
    <d v="2022-08-08T00:00:00"/>
    <s v="+7"/>
    <x v="0"/>
    <s v="Россия"/>
    <s v="Абрамов"/>
    <s v=" Адриан"/>
    <s v="Фролович"/>
  </r>
  <r>
    <n v="343"/>
    <s v="+380 606-168-8976"/>
    <s v="Абрамов Амвросий Богданович"/>
    <x v="1"/>
    <d v="2022-11-09T00:00:00"/>
    <s v="+380"/>
    <x v="1"/>
    <s v="Украина"/>
    <s v="Абрамов"/>
    <s v=" Амвросий"/>
    <s v="Богданович"/>
  </r>
  <r>
    <n v="34"/>
    <s v="+992 266-481-3942"/>
    <s v="Абрамова Евдокия Егоровна"/>
    <x v="1"/>
    <d v="2022-04-03T00:00:00"/>
    <s v="+992"/>
    <x v="2"/>
    <s v="Таджикистан"/>
    <s v="Абрамова"/>
    <s v=" Евдокия"/>
    <s v="Егоровна"/>
  </r>
  <r>
    <n v="365"/>
    <s v="+375 260-927-0999"/>
    <s v="Абрамова Елизавета Эдуардовна"/>
    <x v="1"/>
    <d v="2022-10-07T00:00:00"/>
    <s v="+375"/>
    <x v="3"/>
    <s v="Беларусь"/>
    <s v="Абрамова"/>
    <s v=" Елизавета"/>
    <s v="Эдуардовна"/>
  </r>
  <r>
    <n v="413"/>
    <s v="+7 063-931-5918"/>
    <s v="Август Вячеславович Брагин"/>
    <x v="1"/>
    <d v="2022-05-18T00:00:00"/>
    <s v="+7"/>
    <x v="0"/>
    <s v="Россия"/>
    <s v="Август"/>
    <s v=" Вячеславович"/>
    <s v="Брагин"/>
  </r>
  <r>
    <n v="93"/>
    <s v="+380 686-730-6702"/>
    <s v="Авдеев Олимпий Жанович"/>
    <x v="1"/>
    <d v="2022-12-10T00:00:00"/>
    <s v="+380"/>
    <x v="1"/>
    <s v="Украина"/>
    <s v="Авдеев"/>
    <s v=" Олимпий"/>
    <s v="Жанович"/>
  </r>
  <r>
    <n v="349"/>
    <s v="+7 048-020-5515"/>
    <s v="Авдеев Филипп Елисеевич"/>
    <x v="1"/>
    <d v="2022-04-22T00:00:00"/>
    <s v="+7"/>
    <x v="0"/>
    <s v="Россия"/>
    <s v="Авдеев"/>
    <s v=" Филипп"/>
    <s v="Елисеевич"/>
  </r>
  <r>
    <n v="362"/>
    <s v="+7 739-924-9444"/>
    <s v="Авдей Брониславович Владимиров"/>
    <x v="1"/>
    <d v="2022-12-21T00:00:00"/>
    <s v="+7"/>
    <x v="0"/>
    <s v="Россия"/>
    <s v="Авдей"/>
    <s v=" Брониславович"/>
    <s v="Владимиров"/>
  </r>
  <r>
    <n v="389"/>
    <s v="+7 524-093-8464"/>
    <s v="Автоном Терентьевич Филиппов"/>
    <x v="0"/>
    <d v="2022-11-11T00:00:00"/>
    <s v="+7"/>
    <x v="0"/>
    <s v="Россия"/>
    <s v="Автоном"/>
    <s v=" Терентьевич"/>
    <s v="Филиппов"/>
  </r>
  <r>
    <n v="226"/>
    <s v="+7 685-361-2926"/>
    <s v="Агап Валерьевич Логинов"/>
    <x v="0"/>
    <d v="2022-05-21T00:00:00"/>
    <s v="+7"/>
    <x v="0"/>
    <s v="Россия"/>
    <s v="Агап"/>
    <s v=" Валерьевич"/>
    <s v="Логинов"/>
  </r>
  <r>
    <n v="142"/>
    <s v="+7 600-803-0627"/>
    <s v="Агата Геннадьевна Колесникова"/>
    <x v="1"/>
    <d v="2022-05-02T00:00:00"/>
    <s v="+7"/>
    <x v="0"/>
    <s v="Россия"/>
    <s v="Агата"/>
    <s v=" Геннадьевна"/>
    <s v="Колесникова"/>
  </r>
  <r>
    <n v="443"/>
    <s v="+7 210-575-0459"/>
    <s v="Агата Олеговна Мартынова"/>
    <x v="0"/>
    <d v="2022-03-29T00:00:00"/>
    <s v="+7"/>
    <x v="0"/>
    <s v="Россия"/>
    <s v="Агата"/>
    <s v=" Олеговна"/>
    <s v="Мартынова"/>
  </r>
  <r>
    <n v="332"/>
    <s v="+998 350-816-0031"/>
    <s v="Агата Юрьевна Галкина"/>
    <x v="1"/>
    <d v="2022-10-24T00:00:00"/>
    <s v="+998"/>
    <x v="4"/>
    <s v="Узбекистан"/>
    <s v="Агата"/>
    <s v=" Юрьевна"/>
    <s v="Галкина"/>
  </r>
  <r>
    <n v="27"/>
    <s v="+380 922-338-1312"/>
    <s v="Аггей Валентинович Артемьев"/>
    <x v="1"/>
    <d v="2022-01-25T00:00:00"/>
    <s v="+380"/>
    <x v="1"/>
    <s v="Украина"/>
    <s v="Аггей"/>
    <s v=" Валентинович"/>
    <s v="Артемьев"/>
  </r>
  <r>
    <n v="25"/>
    <s v="+992 508-269-1094"/>
    <s v="Аггей Терентьевич Волков"/>
    <x v="0"/>
    <d v="2022-01-21T00:00:00"/>
    <s v="+992"/>
    <x v="2"/>
    <s v="Таджикистан"/>
    <s v="Аггей"/>
    <s v=" Терентьевич"/>
    <s v="Волков"/>
  </r>
  <r>
    <n v="218"/>
    <s v="+998 692-163-4083"/>
    <s v="Алевтина Алексеевна Исакова"/>
    <x v="1"/>
    <d v="2022-06-09T00:00:00"/>
    <s v="+998"/>
    <x v="4"/>
    <s v="Узбекистан"/>
    <s v="Алевтина"/>
    <s v=" Алексеевна"/>
    <s v="Исакова"/>
  </r>
  <r>
    <n v="341"/>
    <s v="+7 456-978-0873"/>
    <s v="Алевтина Архиповна Ефимова"/>
    <x v="1"/>
    <d v="2022-06-12T00:00:00"/>
    <s v="+7"/>
    <x v="0"/>
    <s v="Россия"/>
    <s v="Алевтина"/>
    <s v=" Архиповна"/>
    <s v="Ефимова"/>
  </r>
  <r>
    <n v="460"/>
    <s v="+7 981-245-0102"/>
    <s v="Алевтина Егоровна Кузнецова"/>
    <x v="1"/>
    <d v="2022-09-17T00:00:00"/>
    <s v="+7"/>
    <x v="0"/>
    <s v="Россия"/>
    <s v="Алевтина"/>
    <s v=" Егоровна"/>
    <s v="Кузнецова"/>
  </r>
  <r>
    <n v="425"/>
    <s v="+998 965-511-3258"/>
    <s v="Алевтина Ефимовна Белякова"/>
    <x v="1"/>
    <d v="2022-08-09T00:00:00"/>
    <s v="+998"/>
    <x v="4"/>
    <s v="Узбекистан"/>
    <s v="Алевтина"/>
    <s v=" Ефимовна"/>
    <s v="Белякова"/>
  </r>
  <r>
    <n v="259"/>
    <s v="+375 890-614-0667"/>
    <s v="Алевтина Михайловна Зыкова"/>
    <x v="0"/>
    <d v="2022-05-26T00:00:00"/>
    <s v="+375"/>
    <x v="3"/>
    <s v="Беларусь"/>
    <s v="Алевтина"/>
    <s v=" Михайловна"/>
    <s v="Зыкова"/>
  </r>
  <r>
    <n v="483"/>
    <s v="+7 319-073-7259"/>
    <s v="Александр Архипович Гущин"/>
    <x v="0"/>
    <d v="2022-10-21T00:00:00"/>
    <s v="+7"/>
    <x v="0"/>
    <s v="Россия"/>
    <s v="Александр"/>
    <s v=" Архипович"/>
    <s v="Гущин"/>
  </r>
  <r>
    <n v="474"/>
    <s v="+7 430-487-6579"/>
    <s v="Александра Владиславовна Беляева"/>
    <x v="1"/>
    <d v="2022-02-13T00:00:00"/>
    <s v="+7"/>
    <x v="0"/>
    <s v="Россия"/>
    <s v="Александра"/>
    <s v=" Владиславовна"/>
    <s v="Беляева"/>
  </r>
  <r>
    <n v="338"/>
    <s v="+992 869-966-7816"/>
    <s v="Александра Геннадиевна Филатова"/>
    <x v="1"/>
    <d v="2022-01-16T00:00:00"/>
    <s v="+992"/>
    <x v="2"/>
    <s v="Таджикистан"/>
    <s v="Александра"/>
    <s v=" Геннадиевна"/>
    <s v="Филатова"/>
  </r>
  <r>
    <n v="471"/>
    <s v="+380 669-437-2066"/>
    <s v="Александра Матвеевна Артемьева"/>
    <x v="0"/>
    <d v="2022-01-16T00:00:00"/>
    <s v="+380"/>
    <x v="1"/>
    <s v="Украина"/>
    <s v="Александра"/>
    <s v=" Матвеевна"/>
    <s v="Артемьева"/>
  </r>
  <r>
    <n v="324"/>
    <s v="+998 752-893-8536"/>
    <s v="Алексеев Касьян Ефимович"/>
    <x v="1"/>
    <d v="2022-07-19T00:00:00"/>
    <s v="+998"/>
    <x v="4"/>
    <s v="Узбекистан"/>
    <s v="Алексеев"/>
    <s v=" Касьян"/>
    <s v="Ефимович"/>
  </r>
  <r>
    <n v="15"/>
    <s v="+380 001-347-5456"/>
    <s v="Алексей Трифонович Блинов"/>
    <x v="1"/>
    <d v="2022-05-30T00:00:00"/>
    <s v="+380"/>
    <x v="1"/>
    <s v="Украина"/>
    <s v="Алексей"/>
    <s v=" Трифонович"/>
    <s v="Блинов"/>
  </r>
  <r>
    <n v="382"/>
    <s v="+375 960-328-1316"/>
    <s v="Алина Михайловна Шестакова"/>
    <x v="0"/>
    <d v="2022-10-16T00:00:00"/>
    <s v="+375"/>
    <x v="3"/>
    <s v="Беларусь"/>
    <s v="Алина"/>
    <s v=" Михайловна"/>
    <s v="Шестакова"/>
  </r>
  <r>
    <n v="67"/>
    <s v="+998 090-420-2619"/>
    <s v="Алла Геннадьевна Фомина"/>
    <x v="0"/>
    <d v="2022-06-19T00:00:00"/>
    <s v="+998"/>
    <x v="4"/>
    <s v="Узбекистан"/>
    <s v="Алла"/>
    <s v=" Геннадьевна"/>
    <s v="Фомина"/>
  </r>
  <r>
    <n v="108"/>
    <s v="+998 313-336-2516"/>
    <s v="Алла Рудольфовна Сидорова"/>
    <x v="0"/>
    <d v="2022-10-01T00:00:00"/>
    <s v="+998"/>
    <x v="4"/>
    <s v="Узбекистан"/>
    <s v="Алла"/>
    <s v=" Рудольфовна"/>
    <s v="Сидорова"/>
  </r>
  <r>
    <n v="40"/>
    <s v="+7 875-362-2366"/>
    <s v="Амвросий Артемьевич Гаврилов"/>
    <x v="1"/>
    <d v="2022-10-21T00:00:00"/>
    <s v="+7"/>
    <x v="0"/>
    <s v="Россия"/>
    <s v="Амвросий"/>
    <s v=" Артемьевич"/>
    <s v="Гаврилов"/>
  </r>
  <r>
    <n v="20"/>
    <s v="+998 678-480-0704"/>
    <s v="Амвросий Игнатович Юдин"/>
    <x v="1"/>
    <d v="2022-05-10T00:00:00"/>
    <s v="+998"/>
    <x v="4"/>
    <s v="Узбекистан"/>
    <s v="Амвросий"/>
    <s v=" Игнатович"/>
    <s v="Юдин"/>
  </r>
  <r>
    <n v="212"/>
    <s v="+998 662-959-7800"/>
    <s v="Амос Гордеевич Евсеев"/>
    <x v="1"/>
    <d v="2022-09-11T00:00:00"/>
    <s v="+998"/>
    <x v="4"/>
    <s v="Узбекистан"/>
    <s v="Амос"/>
    <s v=" Гордеевич"/>
    <s v="Евсеев"/>
  </r>
  <r>
    <n v="144"/>
    <s v="+380 960-351-2387"/>
    <s v="Анастасия Альбертовна Фролова"/>
    <x v="0"/>
    <d v="2022-05-24T00:00:00"/>
    <s v="+380"/>
    <x v="1"/>
    <s v="Украина"/>
    <s v="Анастасия"/>
    <s v=" Альбертовна"/>
    <s v="Фролова"/>
  </r>
  <r>
    <n v="432"/>
    <s v="+992 976-290-1474"/>
    <s v="Анастасия Игоревна Белова"/>
    <x v="1"/>
    <d v="2022-06-06T00:00:00"/>
    <s v="+992"/>
    <x v="2"/>
    <s v="Таджикистан"/>
    <s v="Анастасия"/>
    <s v=" Игоревна"/>
    <s v="Белова"/>
  </r>
  <r>
    <n v="275"/>
    <s v="+992 403-930-8580"/>
    <s v="Андрон Валерьевич Морозов"/>
    <x v="1"/>
    <d v="2022-03-31T00:00:00"/>
    <s v="+992"/>
    <x v="2"/>
    <s v="Таджикистан"/>
    <s v="Андрон"/>
    <s v=" Валерьевич"/>
    <s v="Морозов"/>
  </r>
  <r>
    <n v="354"/>
    <s v="+998 777-844-5783"/>
    <s v="Анжела Ивановна Григорьева"/>
    <x v="1"/>
    <d v="2022-09-07T00:00:00"/>
    <s v="+998"/>
    <x v="4"/>
    <s v="Узбекистан"/>
    <s v="Анжела"/>
    <s v=" Ивановна"/>
    <s v="Григорьева"/>
  </r>
  <r>
    <n v="269"/>
    <s v="+7 858-333-4042"/>
    <s v="Анжела Филипповна Новикова"/>
    <x v="1"/>
    <d v="2022-06-08T00:00:00"/>
    <s v="+7"/>
    <x v="0"/>
    <s v="Россия"/>
    <s v="Анжела"/>
    <s v=" Филипповна"/>
    <s v="Новикова"/>
  </r>
  <r>
    <n v="448"/>
    <s v="+7 984-361-4421"/>
    <s v="Анжелика Валериевна Рожкова"/>
    <x v="1"/>
    <d v="2022-07-28T00:00:00"/>
    <s v="+7"/>
    <x v="0"/>
    <s v="Россия"/>
    <s v="Анжелика"/>
    <s v=" Валериевна"/>
    <s v="Рожкова"/>
  </r>
  <r>
    <n v="366"/>
    <s v="+998 381-147-6466"/>
    <s v="Анна Альбертовна Никифорова"/>
    <x v="1"/>
    <d v="2022-09-23T00:00:00"/>
    <s v="+998"/>
    <x v="4"/>
    <s v="Узбекистан"/>
    <s v="Анна"/>
    <s v=" Альбертовна"/>
    <s v="Никифорова"/>
  </r>
  <r>
    <n v="53"/>
    <s v="+7 189-378-6167"/>
    <s v="Антонина Борисовна Жданова"/>
    <x v="1"/>
    <d v="2022-02-01T00:00:00"/>
    <s v="+7"/>
    <x v="0"/>
    <s v="Россия"/>
    <s v="Антонина"/>
    <s v=" Борисовна"/>
    <s v="Жданова"/>
  </r>
  <r>
    <n v="61"/>
    <s v="+992 862-124-2046"/>
    <s v="Арсений Вилорович Лобанов"/>
    <x v="1"/>
    <d v="2022-07-27T00:00:00"/>
    <s v="+992"/>
    <x v="2"/>
    <s v="Таджикистан"/>
    <s v="Арсений"/>
    <s v=" Вилорович"/>
    <s v="Лобанов"/>
  </r>
  <r>
    <n v="219"/>
    <s v="+992 412-286-2797"/>
    <s v="Арсений Ермолаевич Емельянов"/>
    <x v="0"/>
    <d v="2022-01-24T00:00:00"/>
    <s v="+992"/>
    <x v="2"/>
    <s v="Таджикистан"/>
    <s v="Арсений"/>
    <s v=" Ермолаевич"/>
    <s v="Емельянов"/>
  </r>
  <r>
    <n v="314"/>
    <s v="+7 772-932-9839"/>
    <s v="Артемьева София Ильинична"/>
    <x v="1"/>
    <d v="2022-12-04T00:00:00"/>
    <s v="+7"/>
    <x v="0"/>
    <s v="Россия"/>
    <s v="Артемьева"/>
    <s v=" София"/>
    <s v="Ильинична"/>
  </r>
  <r>
    <n v="347"/>
    <s v="+992 145-030-4792"/>
    <s v="Афанасьев Кузьма Исидорович"/>
    <x v="0"/>
    <d v="2022-01-27T00:00:00"/>
    <s v="+992"/>
    <x v="2"/>
    <s v="Таджикистан"/>
    <s v="Афанасьев"/>
    <s v=" Кузьма"/>
    <s v="Исидорович"/>
  </r>
  <r>
    <n v="171"/>
    <s v="+7 638-478-8735"/>
    <s v="Бажен Дмитриевич Исаков"/>
    <x v="0"/>
    <d v="2022-05-29T00:00:00"/>
    <s v="+7"/>
    <x v="0"/>
    <s v="Россия"/>
    <s v="Бажен"/>
    <s v=" Дмитриевич"/>
    <s v="Исаков"/>
  </r>
  <r>
    <n v="265"/>
    <s v="+998 438-329-1521"/>
    <s v="Баранов Эраст Терентьевич"/>
    <x v="1"/>
    <d v="2022-07-14T00:00:00"/>
    <s v="+998"/>
    <x v="4"/>
    <s v="Узбекистан"/>
    <s v="Баранов"/>
    <s v=" Эраст"/>
    <s v="Терентьевич"/>
  </r>
  <r>
    <n v="7"/>
    <s v="+7 022-690-6735"/>
    <s v="Баранова Раиса Эльдаровна"/>
    <x v="0"/>
    <d v="2022-11-28T00:00:00"/>
    <s v="+7"/>
    <x v="0"/>
    <s v="Россия"/>
    <s v="Баранова"/>
    <s v=" Раиса"/>
    <s v="Эльдаровна"/>
  </r>
  <r>
    <n v="156"/>
    <s v="+380 270-120-1119"/>
    <s v="Белов Симон Иосипович"/>
    <x v="0"/>
    <d v="2022-12-10T00:00:00"/>
    <s v="+380"/>
    <x v="1"/>
    <s v="Украина"/>
    <s v="Белов"/>
    <s v=" Симон"/>
    <s v="Иосипович"/>
  </r>
  <r>
    <n v="16"/>
    <s v="+380 828-307-7136"/>
    <s v="Белозеров Лука Харлампьевич"/>
    <x v="1"/>
    <d v="2022-06-01T00:00:00"/>
    <s v="+380"/>
    <x v="1"/>
    <s v="Украина"/>
    <s v="Белозеров"/>
    <s v=" Лука"/>
    <s v="Харлампьевич"/>
  </r>
  <r>
    <n v="95"/>
    <s v="+998 662-556-3959"/>
    <s v="Белоусова Жанна Кузьминична"/>
    <x v="1"/>
    <d v="2022-05-23T00:00:00"/>
    <s v="+998"/>
    <x v="4"/>
    <s v="Узбекистан"/>
    <s v="Белоусова"/>
    <s v=" Жанна"/>
    <s v="Кузьминична"/>
  </r>
  <r>
    <n v="39"/>
    <s v="+375 226-887-4565"/>
    <s v="Бирюков Олимпий Иосифович"/>
    <x v="0"/>
    <d v="2022-04-02T00:00:00"/>
    <s v="+375"/>
    <x v="3"/>
    <s v="Беларусь"/>
    <s v="Бирюков"/>
    <s v=" Олимпий"/>
    <s v="Иосифович"/>
  </r>
  <r>
    <n v="147"/>
    <s v="+7 412-542-8365"/>
    <s v="Бирюкова Агафья Артемовна"/>
    <x v="0"/>
    <d v="2022-09-23T00:00:00"/>
    <s v="+7"/>
    <x v="0"/>
    <s v="Россия"/>
    <s v="Бирюкова"/>
    <s v=" Агафья"/>
    <s v="Артемовна"/>
  </r>
  <r>
    <n v="321"/>
    <s v="+992 861-842-9595"/>
    <s v="Блинов Натан Всеволодович"/>
    <x v="1"/>
    <d v="2022-07-14T00:00:00"/>
    <s v="+992"/>
    <x v="2"/>
    <s v="Таджикистан"/>
    <s v="Блинов"/>
    <s v=" Натан"/>
    <s v="Всеволодович"/>
  </r>
  <r>
    <n v="333"/>
    <s v="+7 962-495-5040"/>
    <s v="Бобылев Никодим Виленович"/>
    <x v="0"/>
    <d v="2022-10-23T00:00:00"/>
    <s v="+7"/>
    <x v="0"/>
    <s v="Россия"/>
    <s v="Бобылев"/>
    <s v=" Никодим"/>
    <s v="Виленович"/>
  </r>
  <r>
    <n v="36"/>
    <s v="+7 894-636-1225"/>
    <s v="Бобылева Анна Мироновна"/>
    <x v="1"/>
    <d v="2022-05-19T00:00:00"/>
    <s v="+7"/>
    <x v="0"/>
    <s v="Россия"/>
    <s v="Бобылева"/>
    <s v=" Анна"/>
    <s v="Мироновна"/>
  </r>
  <r>
    <n v="107"/>
    <s v="+992 943-140-9489"/>
    <s v="Большаков Антип Тихонович"/>
    <x v="1"/>
    <d v="2022-07-02T00:00:00"/>
    <s v="+992"/>
    <x v="2"/>
    <s v="Таджикистан"/>
    <s v="Большаков"/>
    <s v=" Антип"/>
    <s v="Тихонович"/>
  </r>
  <r>
    <n v="375"/>
    <s v="+7 231-022-9731"/>
    <s v="Боян Дорофеевич Калашников"/>
    <x v="0"/>
    <d v="2022-04-23T00:00:00"/>
    <s v="+7"/>
    <x v="0"/>
    <s v="Россия"/>
    <s v="Боян"/>
    <s v=" Дорофеевич"/>
    <s v="Калашников"/>
  </r>
  <r>
    <n v="293"/>
    <s v="+375 156-538-5529"/>
    <s v="Брагин Любомир Гертрудович"/>
    <x v="0"/>
    <d v="2022-01-12T00:00:00"/>
    <s v="+375"/>
    <x v="3"/>
    <s v="Беларусь"/>
    <s v="Брагин"/>
    <s v=" Любомир"/>
    <s v="Гертрудович"/>
  </r>
  <r>
    <n v="316"/>
    <s v="+992 330-173-6947"/>
    <s v="Брагина Полина Евгеньевна"/>
    <x v="0"/>
    <d v="2022-08-14T00:00:00"/>
    <s v="+992"/>
    <x v="2"/>
    <s v="Таджикистан"/>
    <s v="Брагина"/>
    <s v=" Полина"/>
    <s v="Евгеньевна"/>
  </r>
  <r>
    <n v="380"/>
    <s v="+7 669-661-5797"/>
    <s v="Бурова Марфа Игоревна"/>
    <x v="0"/>
    <d v="2022-01-02T00:00:00"/>
    <s v="+7"/>
    <x v="0"/>
    <s v="Россия"/>
    <s v="Бурова"/>
    <s v=" Марфа"/>
    <s v="Игоревна"/>
  </r>
  <r>
    <n v="165"/>
    <s v="+992 204-182-8433"/>
    <s v="Вадим Артёмович Анисимов"/>
    <x v="0"/>
    <d v="2022-02-07T00:00:00"/>
    <s v="+992"/>
    <x v="2"/>
    <s v="Таджикистан"/>
    <s v="Вадим"/>
    <s v=" Артёмович"/>
    <s v="Анисимов"/>
  </r>
  <r>
    <n v="190"/>
    <s v="+375 284-418-1233"/>
    <s v="Валентина Захаровна Боброва"/>
    <x v="1"/>
    <d v="2022-05-08T00:00:00"/>
    <s v="+375"/>
    <x v="3"/>
    <s v="Беларусь"/>
    <s v="Валентина"/>
    <s v=" Захаровна"/>
    <s v="Боброва"/>
  </r>
  <r>
    <n v="17"/>
    <s v="+992 124-441-2478"/>
    <s v="Валентина Кирилловна Семенова"/>
    <x v="1"/>
    <d v="2022-11-12T00:00:00"/>
    <s v="+992"/>
    <x v="2"/>
    <s v="Таджикистан"/>
    <s v="Валентина"/>
    <s v=" Кирилловна"/>
    <s v="Семенова"/>
  </r>
  <r>
    <n v="457"/>
    <s v="+992 644-743-9326"/>
    <s v="Валерия Владимировна Медведева"/>
    <x v="1"/>
    <d v="2022-02-03T00:00:00"/>
    <s v="+992"/>
    <x v="2"/>
    <s v="Таджикистан"/>
    <s v="Валерия"/>
    <s v=" Владимировна"/>
    <s v="Медведева"/>
  </r>
  <r>
    <n v="175"/>
    <s v="+7 670-667-8381"/>
    <s v="Валерия Семеновна Потапова"/>
    <x v="1"/>
    <d v="2022-01-04T00:00:00"/>
    <s v="+7"/>
    <x v="0"/>
    <s v="Россия"/>
    <s v="Валерия"/>
    <s v=" Семеновна"/>
    <s v="Потапова"/>
  </r>
  <r>
    <n v="497"/>
    <s v="+998 247-862-3690"/>
    <s v="Валерьян Федосеевич Цветков"/>
    <x v="1"/>
    <d v="2022-09-22T00:00:00"/>
    <s v="+998"/>
    <x v="4"/>
    <s v="Узбекистан"/>
    <s v="Валерьян"/>
    <s v=" Федосеевич"/>
    <s v="Цветков"/>
  </r>
  <r>
    <n v="258"/>
    <s v="+380 174-160-6456"/>
    <s v="Василиса Леоновна Назарова"/>
    <x v="0"/>
    <d v="2022-06-05T00:00:00"/>
    <s v="+380"/>
    <x v="1"/>
    <s v="Украина"/>
    <s v="Василиса"/>
    <s v=" Леоновна"/>
    <s v="Назарова"/>
  </r>
  <r>
    <n v="325"/>
    <s v="+992 979-262-5049"/>
    <s v="Васильев Милован Георгиевич"/>
    <x v="1"/>
    <d v="2022-11-10T00:00:00"/>
    <s v="+992"/>
    <x v="2"/>
    <s v="Таджикистан"/>
    <s v="Васильев"/>
    <s v=" Милован"/>
    <s v="Георгиевич"/>
  </r>
  <r>
    <n v="79"/>
    <s v="+992 654-311-2893"/>
    <s v="Васильева Анжелика Наумовна"/>
    <x v="1"/>
    <d v="2022-06-04T00:00:00"/>
    <s v="+992"/>
    <x v="2"/>
    <s v="Таджикистан"/>
    <s v="Васильева"/>
    <s v=" Анжелика"/>
    <s v="Наумовна"/>
  </r>
  <r>
    <n v="120"/>
    <s v="+7 225-063-9920"/>
    <s v="Велимир Игоревич Макаров"/>
    <x v="0"/>
    <d v="2022-05-10T00:00:00"/>
    <s v="+7"/>
    <x v="0"/>
    <s v="Россия"/>
    <s v="Велимир"/>
    <s v=" Игоревич"/>
    <s v="Макаров"/>
  </r>
  <r>
    <n v="253"/>
    <s v="+375 796-304-7865"/>
    <s v="Вера Георгиевна Некрасова"/>
    <x v="0"/>
    <d v="2022-07-08T00:00:00"/>
    <s v="+375"/>
    <x v="3"/>
    <s v="Беларусь"/>
    <s v="Вера"/>
    <s v=" Георгиевна"/>
    <s v="Некрасова"/>
  </r>
  <r>
    <n v="391"/>
    <s v="+992 638-653-7931"/>
    <s v="Вероника Геннадьевна Воронова"/>
    <x v="0"/>
    <d v="2022-04-24T00:00:00"/>
    <s v="+992"/>
    <x v="2"/>
    <s v="Таджикистан"/>
    <s v="Вероника"/>
    <s v=" Геннадьевна"/>
    <s v="Воронова"/>
  </r>
  <r>
    <n v="223"/>
    <s v="+380 835-708-4433"/>
    <s v="Вероника Евгеньевна Федосеева"/>
    <x v="0"/>
    <d v="2022-11-28T00:00:00"/>
    <s v="+380"/>
    <x v="1"/>
    <s v="Украина"/>
    <s v="Вероника"/>
    <s v=" Евгеньевна"/>
    <s v="Федосеева"/>
  </r>
  <r>
    <n v="463"/>
    <s v="+380 286-003-5332"/>
    <s v="Вероника Руслановна Ефремова"/>
    <x v="1"/>
    <d v="2022-11-04T00:00:00"/>
    <s v="+380"/>
    <x v="1"/>
    <s v="Украина"/>
    <s v="Вероника"/>
    <s v=" Руслановна"/>
    <s v="Ефремова"/>
  </r>
  <r>
    <n v="152"/>
    <s v="+375 678-304-0891"/>
    <s v="Вероника Сергеевна Блинова"/>
    <x v="1"/>
    <d v="2022-08-18T00:00:00"/>
    <s v="+375"/>
    <x v="3"/>
    <s v="Беларусь"/>
    <s v="Вероника"/>
    <s v=" Сергеевна"/>
    <s v="Блинова"/>
  </r>
  <r>
    <n v="130"/>
    <s v="+992 326-136-2416"/>
    <s v="Виктор Жанович Никифоров"/>
    <x v="1"/>
    <d v="2022-10-29T00:00:00"/>
    <s v="+992"/>
    <x v="2"/>
    <s v="Таджикистан"/>
    <s v="Виктор"/>
    <s v=" Жанович"/>
    <s v="Никифоров"/>
  </r>
  <r>
    <n v="423"/>
    <s v="+375 074-074-0170"/>
    <s v="Виктор Марсович Игнатов"/>
    <x v="1"/>
    <d v="2022-10-07T00:00:00"/>
    <s v="+375"/>
    <x v="3"/>
    <s v="Беларусь"/>
    <s v="Виктор"/>
    <s v=" Марсович"/>
    <s v="Игнатов"/>
  </r>
  <r>
    <n v="163"/>
    <s v="+998 436-367-6830"/>
    <s v="Виктория Ильинична Соколова"/>
    <x v="0"/>
    <d v="2022-01-10T00:00:00"/>
    <s v="+998"/>
    <x v="4"/>
    <s v="Узбекистан"/>
    <s v="Виктория"/>
    <s v=" Ильинична"/>
    <s v="Соколова"/>
  </r>
  <r>
    <n v="377"/>
    <s v="+998 643-985-0175"/>
    <s v="Виктория Наумовна Никитина"/>
    <x v="1"/>
    <d v="2022-08-21T00:00:00"/>
    <s v="+998"/>
    <x v="4"/>
    <s v="Узбекистан"/>
    <s v="Виктория"/>
    <s v=" Наумовна"/>
    <s v="Никитина"/>
  </r>
  <r>
    <n v="422"/>
    <s v="+380 633-205-1404"/>
    <s v="Виноградов Карл Алексеевич"/>
    <x v="1"/>
    <d v="2022-08-11T00:00:00"/>
    <s v="+380"/>
    <x v="1"/>
    <s v="Украина"/>
    <s v="Виноградов"/>
    <s v=" Карл"/>
    <s v="Алексеевич"/>
  </r>
  <r>
    <n v="496"/>
    <s v="+380 030-138-6532"/>
    <s v="Вишняков Фома Викентьевич"/>
    <x v="0"/>
    <d v="2022-11-02T00:00:00"/>
    <s v="+380"/>
    <x v="1"/>
    <s v="Украина"/>
    <s v="Вишняков"/>
    <s v=" Фома"/>
    <s v="Викентьевич"/>
  </r>
  <r>
    <n v="29"/>
    <s v="+7 028-813-4020"/>
    <s v="Вишняков Ярослав Анатольевич"/>
    <x v="0"/>
    <d v="2022-05-23T00:00:00"/>
    <s v="+7"/>
    <x v="0"/>
    <s v="Россия"/>
    <s v="Вишняков"/>
    <s v=" Ярослав"/>
    <s v="Анатольевич"/>
  </r>
  <r>
    <n v="462"/>
    <s v="+7 915-487-8205"/>
    <s v="Владилен Иосифович Третьяков"/>
    <x v="0"/>
    <d v="2022-07-09T00:00:00"/>
    <s v="+7"/>
    <x v="0"/>
    <s v="Россия"/>
    <s v="Владилен"/>
    <s v=" Иосифович"/>
    <s v="Третьяков"/>
  </r>
  <r>
    <n v="141"/>
    <s v="+7 731-326-3751"/>
    <s v="Владимиров Орест Артемьевич"/>
    <x v="0"/>
    <d v="2022-07-01T00:00:00"/>
    <s v="+7"/>
    <x v="0"/>
    <s v="Россия"/>
    <s v="Владимиров"/>
    <s v=" Орест"/>
    <s v="Артемьевич"/>
  </r>
  <r>
    <n v="58"/>
    <s v="+375 524-220-8374"/>
    <s v="Владимирова Алина Феликсовна"/>
    <x v="1"/>
    <d v="2022-03-08T00:00:00"/>
    <s v="+375"/>
    <x v="3"/>
    <s v="Беларусь"/>
    <s v="Владимирова"/>
    <s v=" Алина"/>
    <s v="Феликсовна"/>
  </r>
  <r>
    <n v="213"/>
    <s v="+998 437-737-9329"/>
    <s v="Власов Адриан Чеславович"/>
    <x v="1"/>
    <d v="2022-06-21T00:00:00"/>
    <s v="+998"/>
    <x v="4"/>
    <s v="Узбекистан"/>
    <s v="Власов"/>
    <s v=" Адриан"/>
    <s v="Чеславович"/>
  </r>
  <r>
    <n v="486"/>
    <s v="+7 056-712-2591"/>
    <s v="Волков Викентий Герасимович"/>
    <x v="0"/>
    <d v="2022-06-11T00:00:00"/>
    <s v="+7"/>
    <x v="0"/>
    <s v="Россия"/>
    <s v="Волков"/>
    <s v=" Викентий"/>
    <s v="Герасимович"/>
  </r>
  <r>
    <n v="41"/>
    <s v="+7 661-552-6669"/>
    <s v="Волкова Валентина Николаевна"/>
    <x v="0"/>
    <d v="2022-10-08T00:00:00"/>
    <s v="+7"/>
    <x v="0"/>
    <s v="Россия"/>
    <s v="Волкова"/>
    <s v=" Валентина"/>
    <s v="Николаевна"/>
  </r>
  <r>
    <n v="200"/>
    <s v="+998 342-700-2159"/>
    <s v="Воробьева Анжела Аскольдовна"/>
    <x v="0"/>
    <d v="2022-08-10T00:00:00"/>
    <s v="+998"/>
    <x v="4"/>
    <s v="Узбекистан"/>
    <s v="Воробьева"/>
    <s v=" Анжела"/>
    <s v="Аскольдовна"/>
  </r>
  <r>
    <n v="173"/>
    <s v="+7 914-597-1350"/>
    <s v="Гаврилов Матвей Трифонович"/>
    <x v="1"/>
    <d v="2022-04-22T00:00:00"/>
    <s v="+7"/>
    <x v="0"/>
    <s v="Россия"/>
    <s v="Гаврилов"/>
    <s v=" Матвей"/>
    <s v="Трифонович"/>
  </r>
  <r>
    <n v="102"/>
    <s v="+998 087-830-4222"/>
    <s v="Галактион Жанович Новиков"/>
    <x v="1"/>
    <d v="2022-06-11T00:00:00"/>
    <s v="+998"/>
    <x v="4"/>
    <s v="Узбекистан"/>
    <s v="Галактион"/>
    <s v=" Жанович"/>
    <s v="Новиков"/>
  </r>
  <r>
    <n v="115"/>
    <s v="+375 523-528-4996"/>
    <s v="Галина Кирилловна Прохорова"/>
    <x v="0"/>
    <d v="2022-09-28T00:00:00"/>
    <s v="+375"/>
    <x v="3"/>
    <s v="Беларусь"/>
    <s v="Галина"/>
    <s v=" Кирилловна"/>
    <s v="Прохорова"/>
  </r>
  <r>
    <n v="99"/>
    <s v="+7 542-005-0327"/>
    <s v="Галина Семеновна Петухова"/>
    <x v="1"/>
    <d v="2022-11-21T00:00:00"/>
    <s v="+7"/>
    <x v="0"/>
    <s v="Россия"/>
    <s v="Галина"/>
    <s v=" Семеновна"/>
    <s v="Петухова"/>
  </r>
  <r>
    <n v="204"/>
    <s v="+7 181-799-6850"/>
    <s v="Герасимов Еремей Демидович"/>
    <x v="0"/>
    <d v="2022-11-02T00:00:00"/>
    <s v="+7"/>
    <x v="0"/>
    <s v="Россия"/>
    <s v="Герасимов"/>
    <s v=" Еремей"/>
    <s v="Демидович"/>
  </r>
  <r>
    <n v="383"/>
    <s v="+380 959-961-5281"/>
    <s v="Герасимов Родион Харитонович"/>
    <x v="1"/>
    <d v="2022-11-11T00:00:00"/>
    <s v="+380"/>
    <x v="1"/>
    <s v="Украина"/>
    <s v="Герасимов"/>
    <s v=" Родион"/>
    <s v="Харитонович"/>
  </r>
  <r>
    <n v="455"/>
    <s v="+380 315-815-3268"/>
    <s v="Герман Арсеньевич Калинин"/>
    <x v="0"/>
    <d v="2022-09-16T00:00:00"/>
    <s v="+380"/>
    <x v="1"/>
    <s v="Украина"/>
    <s v="Герман"/>
    <s v=" Арсеньевич"/>
    <s v="Калинин"/>
  </r>
  <r>
    <n v="262"/>
    <s v="+992 756-085-4605"/>
    <s v="г-жа Воробьева Иванна Юрьевна"/>
    <x v="0"/>
    <d v="2022-08-05T00:00:00"/>
    <s v="+992"/>
    <x v="2"/>
    <s v="Таджикистан"/>
    <s v="г-жа"/>
    <s v=" Воробьева"/>
    <s v="Иванна Юрьевна"/>
  </r>
  <r>
    <n v="494"/>
    <s v="+375 268-005-4917"/>
    <s v="г-жа Ефимова Анна Филипповна"/>
    <x v="1"/>
    <d v="2022-06-26T00:00:00"/>
    <s v="+375"/>
    <x v="3"/>
    <s v="Беларусь"/>
    <s v="г-жа"/>
    <s v=" Ефимова"/>
    <s v="Анна Филипповна"/>
  </r>
  <r>
    <n v="197"/>
    <s v="+380 255-745-0289"/>
    <s v="г-жа Миронова Клавдия Феликсовна"/>
    <x v="1"/>
    <d v="2022-08-12T00:00:00"/>
    <s v="+380"/>
    <x v="1"/>
    <s v="Украина"/>
    <s v="г-жа"/>
    <s v=" Миронова"/>
    <s v="Клавдия Феликсовна"/>
  </r>
  <r>
    <n v="52"/>
    <s v="+7 340-358-5907"/>
    <s v="Глафира Николаевна Мельникова"/>
    <x v="0"/>
    <d v="2022-12-22T00:00:00"/>
    <s v="+7"/>
    <x v="0"/>
    <s v="Россия"/>
    <s v="Глафира"/>
    <s v=" Николаевна"/>
    <s v="Мельникова"/>
  </r>
  <r>
    <n v="83"/>
    <s v="+992 377-961-6550"/>
    <s v="г-н Зуев Трифон Зиновьевич"/>
    <x v="0"/>
    <d v="2022-06-27T00:00:00"/>
    <s v="+992"/>
    <x v="2"/>
    <s v="Таджикистан"/>
    <s v="г-н"/>
    <s v=" Зуев"/>
    <s v="Трифон Зиновьевич"/>
  </r>
  <r>
    <n v="250"/>
    <s v="+7 981-183-3972"/>
    <s v="г-н Копылов Лаврентий Артемьевич"/>
    <x v="0"/>
    <d v="2022-10-22T00:00:00"/>
    <s v="+7"/>
    <x v="0"/>
    <s v="Россия"/>
    <s v="г-н"/>
    <s v=" Копылов"/>
    <s v="Лаврентий Артемьевич"/>
  </r>
  <r>
    <n v="280"/>
    <s v="+7 109-995-2846"/>
    <s v="г-н Рыбаков Автоном Антонович"/>
    <x v="1"/>
    <d v="2022-01-02T00:00:00"/>
    <s v="+7"/>
    <x v="0"/>
    <s v="Россия"/>
    <s v="г-н"/>
    <s v=" Рыбаков"/>
    <s v="Автоном Антонович"/>
  </r>
  <r>
    <n v="286"/>
    <s v="+992 292-122-7648"/>
    <s v="г-н Савельев Федосий Феоктистович"/>
    <x v="1"/>
    <d v="2022-01-02T00:00:00"/>
    <s v="+992"/>
    <x v="2"/>
    <s v="Таджикистан"/>
    <s v="г-н"/>
    <s v=" Савельев"/>
    <s v="Федосий Феоктистович"/>
  </r>
  <r>
    <n v="199"/>
    <s v="+998 455-746-0633"/>
    <s v="Горбунова Алевтина Максимовна"/>
    <x v="0"/>
    <d v="2022-06-03T00:00:00"/>
    <s v="+998"/>
    <x v="4"/>
    <s v="Узбекистан"/>
    <s v="Горбунова"/>
    <s v=" Алевтина"/>
    <s v="Максимовна"/>
  </r>
  <r>
    <n v="273"/>
    <s v="+998 876-305-1700"/>
    <s v="Горбунова Наина Филипповна"/>
    <x v="1"/>
    <d v="2022-02-07T00:00:00"/>
    <s v="+998"/>
    <x v="4"/>
    <s v="Узбекистан"/>
    <s v="Горбунова"/>
    <s v=" Наина"/>
    <s v="Филипповна"/>
  </r>
  <r>
    <n v="442"/>
    <s v="+992 774-047-4624"/>
    <s v="Гордей Матвеевич Медведев"/>
    <x v="1"/>
    <d v="2022-07-04T00:00:00"/>
    <s v="+992"/>
    <x v="2"/>
    <s v="Таджикистан"/>
    <s v="Гордей"/>
    <s v=" Матвеевич"/>
    <s v="Медведев"/>
  </r>
  <r>
    <n v="266"/>
    <s v="+7 963-508-8333"/>
    <s v="Горшкова Василиса Святославовна"/>
    <x v="1"/>
    <d v="2022-08-22T00:00:00"/>
    <s v="+7"/>
    <x v="0"/>
    <s v="Россия"/>
    <s v="Горшкова"/>
    <s v=" Василиса"/>
    <s v="Святославовна"/>
  </r>
  <r>
    <n v="63"/>
    <s v="+380 668-055-3546"/>
    <s v="Горшкова Клавдия Борисовна"/>
    <x v="0"/>
    <d v="2022-05-03T00:00:00"/>
    <s v="+380"/>
    <x v="1"/>
    <s v="Украина"/>
    <s v="Горшкова"/>
    <s v=" Клавдия"/>
    <s v="Борисовна"/>
  </r>
  <r>
    <n v="50"/>
    <s v="+998 220-798-0143"/>
    <s v="Гостомысл Фомич Одинцов"/>
    <x v="0"/>
    <d v="2022-01-15T00:00:00"/>
    <s v="+998"/>
    <x v="4"/>
    <s v="Узбекистан"/>
    <s v="Гостомысл"/>
    <s v=" Фомич"/>
    <s v="Одинцов"/>
  </r>
  <r>
    <n v="238"/>
    <s v="+380 245-175-6131"/>
    <s v="Григорьев Сократ Ануфриевич"/>
    <x v="0"/>
    <d v="2022-12-14T00:00:00"/>
    <s v="+380"/>
    <x v="1"/>
    <s v="Украина"/>
    <s v="Григорьев"/>
    <s v=" Сократ"/>
    <s v="Ануфриевич"/>
  </r>
  <r>
    <n v="336"/>
    <s v="+998 773-281-1360"/>
    <s v="Григорьева Ульяна Артемовна"/>
    <x v="1"/>
    <d v="2022-10-22T00:00:00"/>
    <s v="+998"/>
    <x v="4"/>
    <s v="Узбекистан"/>
    <s v="Григорьева"/>
    <s v=" Ульяна"/>
    <s v="Артемовна"/>
  </r>
  <r>
    <n v="86"/>
    <s v="+998 169-477-8408"/>
    <s v="Гуляева Раиса Кузьминична"/>
    <x v="0"/>
    <d v="2022-05-11T00:00:00"/>
    <s v="+998"/>
    <x v="4"/>
    <s v="Узбекистан"/>
    <s v="Гуляева"/>
    <s v=" Раиса"/>
    <s v="Кузьминична"/>
  </r>
  <r>
    <n v="353"/>
    <s v="+992 863-895-4307"/>
    <s v="Гурьев Влас Юлианович"/>
    <x v="0"/>
    <d v="2022-04-05T00:00:00"/>
    <s v="+992"/>
    <x v="2"/>
    <s v="Таджикистан"/>
    <s v="Гурьев"/>
    <s v=" Влас"/>
    <s v="Юлианович"/>
  </r>
  <r>
    <n v="281"/>
    <s v="+998 678-470-2329"/>
    <s v="Гурьев Евсей Гертрудович"/>
    <x v="1"/>
    <d v="2022-05-30T00:00:00"/>
    <s v="+998"/>
    <x v="4"/>
    <s v="Узбекистан"/>
    <s v="Гурьев"/>
    <s v=" Евсей"/>
    <s v="Гертрудович"/>
  </r>
  <r>
    <n v="109"/>
    <s v="+380 249-840-3292"/>
    <s v="Гурьева Людмила Владимировна"/>
    <x v="0"/>
    <d v="2022-06-20T00:00:00"/>
    <s v="+380"/>
    <x v="1"/>
    <s v="Украина"/>
    <s v="Гурьева"/>
    <s v=" Людмила"/>
    <s v="Владимировна"/>
  </r>
  <r>
    <n v="32"/>
    <s v="+998 265-405-9627"/>
    <s v="Гущин Ипполит Яковлевич"/>
    <x v="0"/>
    <d v="2022-12-27T00:00:00"/>
    <s v="+998"/>
    <x v="4"/>
    <s v="Узбекистан"/>
    <s v="Гущин"/>
    <s v=" Ипполит"/>
    <s v="Яковлевич"/>
  </r>
  <r>
    <n v="110"/>
    <s v="+998 838-480-9390"/>
    <s v="Давыд Фёдорович Белоусов"/>
    <x v="1"/>
    <d v="2022-01-19T00:00:00"/>
    <s v="+998"/>
    <x v="4"/>
    <s v="Узбекистан"/>
    <s v="Давыд"/>
    <s v=" Фёдорович"/>
    <s v="Белоусов"/>
  </r>
  <r>
    <n v="294"/>
    <s v="+380 363-690-1507"/>
    <s v="Давыд Филатович Мухин"/>
    <x v="0"/>
    <d v="2022-11-14T00:00:00"/>
    <s v="+380"/>
    <x v="1"/>
    <s v="Украина"/>
    <s v="Давыд"/>
    <s v=" Филатович"/>
    <s v="Мухин"/>
  </r>
  <r>
    <n v="10"/>
    <s v="+380 937-173-7394"/>
    <s v="Давыдов Амос Владиславович"/>
    <x v="1"/>
    <d v="2022-11-16T00:00:00"/>
    <s v="+380"/>
    <x v="1"/>
    <s v="Украина"/>
    <s v="Давыдов"/>
    <s v=" Амос"/>
    <s v="Владиславович"/>
  </r>
  <r>
    <n v="468"/>
    <s v="+998 783-609-3463"/>
    <s v="Дарья Степановна Потапова"/>
    <x v="0"/>
    <d v="2022-02-27T00:00:00"/>
    <s v="+998"/>
    <x v="4"/>
    <s v="Узбекистан"/>
    <s v="Дарья"/>
    <s v=" Степановна"/>
    <s v="Потапова"/>
  </r>
  <r>
    <n v="270"/>
    <s v="+992 110-427-6136"/>
    <s v="Дементий Антипович Мухин"/>
    <x v="0"/>
    <d v="2022-09-23T00:00:00"/>
    <s v="+992"/>
    <x v="2"/>
    <s v="Таджикистан"/>
    <s v="Дементий"/>
    <s v=" Антипович"/>
    <s v="Мухин"/>
  </r>
  <r>
    <n v="221"/>
    <s v="+992 520-869-0598"/>
    <s v="Демид Антонович Мясников"/>
    <x v="0"/>
    <d v="2022-09-16T00:00:00"/>
    <s v="+992"/>
    <x v="2"/>
    <s v="Таджикистан"/>
    <s v="Демид"/>
    <s v=" Антонович"/>
    <s v="Мясников"/>
  </r>
  <r>
    <n v="406"/>
    <s v="+380 469-601-0972"/>
    <s v="Дмитрий Трифонович Денисов"/>
    <x v="0"/>
    <d v="2022-11-30T00:00:00"/>
    <s v="+380"/>
    <x v="1"/>
    <s v="Украина"/>
    <s v="Дмитрий"/>
    <s v=" Трифонович"/>
    <s v="Денисов"/>
  </r>
  <r>
    <n v="359"/>
    <s v="+7 219-942-5792"/>
    <s v="Дорофеев Тимур Валерьянович"/>
    <x v="1"/>
    <d v="2022-01-23T00:00:00"/>
    <s v="+7"/>
    <x v="0"/>
    <s v="Россия"/>
    <s v="Дорофеев"/>
    <s v=" Тимур"/>
    <s v="Валерьянович"/>
  </r>
  <r>
    <n v="476"/>
    <s v="+380 737-667-7208"/>
    <s v="Дьячков Серафим Дорофеевич"/>
    <x v="0"/>
    <d v="2022-05-22T00:00:00"/>
    <s v="+380"/>
    <x v="1"/>
    <s v="Украина"/>
    <s v="Дьячков"/>
    <s v=" Серафим"/>
    <s v="Дорофеевич"/>
  </r>
  <r>
    <n v="84"/>
    <s v="+992 046-188-5111"/>
    <s v="Евгения Георгиевна Рожкова"/>
    <x v="1"/>
    <d v="2022-09-01T00:00:00"/>
    <s v="+992"/>
    <x v="2"/>
    <s v="Таджикистан"/>
    <s v="Евгения"/>
    <s v=" Георгиевна"/>
    <s v="Рожкова"/>
  </r>
  <r>
    <n v="166"/>
    <s v="+998 581-380-6694"/>
    <s v="Евдокимов Януарий Феликсович"/>
    <x v="0"/>
    <d v="2022-08-23T00:00:00"/>
    <s v="+998"/>
    <x v="4"/>
    <s v="Узбекистан"/>
    <s v="Евдокимов"/>
    <s v=" Януарий"/>
    <s v="Феликсович"/>
  </r>
  <r>
    <n v="465"/>
    <s v="+998 955-643-6256"/>
    <s v="Евдокия Ефимовна Карпова"/>
    <x v="1"/>
    <d v="2022-04-20T00:00:00"/>
    <s v="+998"/>
    <x v="4"/>
    <s v="Узбекистан"/>
    <s v="Евдокия"/>
    <s v=" Ефимовна"/>
    <s v="Карпова"/>
  </r>
  <r>
    <n v="94"/>
    <s v="+380 293-011-4872"/>
    <s v="Евдокия Эдуардовна Соловьева"/>
    <x v="0"/>
    <d v="2022-06-11T00:00:00"/>
    <s v="+380"/>
    <x v="1"/>
    <s v="Украина"/>
    <s v="Евдокия"/>
    <s v=" Эдуардовна"/>
    <s v="Соловьева"/>
  </r>
  <r>
    <n v="479"/>
    <s v="+7 836-233-8115"/>
    <s v="Евпраксия Федоровна Фомина"/>
    <x v="0"/>
    <d v="2022-08-20T00:00:00"/>
    <s v="+7"/>
    <x v="0"/>
    <s v="Россия"/>
    <s v="Евпраксия"/>
    <s v=" Федоровна"/>
    <s v="Фомина"/>
  </r>
  <r>
    <n v="261"/>
    <s v="+7 560-711-8976"/>
    <s v="Евсеев Ратмир Артемьевич"/>
    <x v="0"/>
    <d v="2022-10-14T00:00:00"/>
    <s v="+7"/>
    <x v="0"/>
    <s v="Россия"/>
    <s v="Евсеев"/>
    <s v=" Ратмир"/>
    <s v="Артемьевич"/>
  </r>
  <r>
    <n v="358"/>
    <s v="+380 383-190-2360"/>
    <s v="Евфросиния Петровна Чернова"/>
    <x v="0"/>
    <d v="2022-07-29T00:00:00"/>
    <s v="+380"/>
    <x v="1"/>
    <s v="Украина"/>
    <s v="Евфросиния"/>
    <s v=" Петровна"/>
    <s v="Чернова"/>
  </r>
  <r>
    <n v="246"/>
    <s v="+998 455-040-0995"/>
    <s v="Евфросиния Тимофеевна Миронова"/>
    <x v="1"/>
    <d v="2022-09-01T00:00:00"/>
    <s v="+998"/>
    <x v="4"/>
    <s v="Узбекистан"/>
    <s v="Евфросиния"/>
    <s v=" Тимофеевна"/>
    <s v="Миронова"/>
  </r>
  <r>
    <n v="401"/>
    <s v="+7 411-180-0061"/>
    <s v="Екатерина Рудольфовна Кулакова"/>
    <x v="1"/>
    <d v="2022-10-22T00:00:00"/>
    <s v="+7"/>
    <x v="0"/>
    <s v="Россия"/>
    <s v="Екатерина"/>
    <s v=" Рудольфовна"/>
    <s v="Кулакова"/>
  </r>
  <r>
    <n v="157"/>
    <s v="+7 502-802-5787"/>
    <s v="Елена Эдуардовна Кудряшова"/>
    <x v="1"/>
    <d v="2022-08-10T00:00:00"/>
    <s v="+7"/>
    <x v="0"/>
    <s v="Россия"/>
    <s v="Елена"/>
    <s v=" Эдуардовна"/>
    <s v="Кудряшова"/>
  </r>
  <r>
    <n v="237"/>
    <s v="+7 085-149-7713"/>
    <s v="Елизавета Артемовна Данилова"/>
    <x v="0"/>
    <d v="2022-11-21T00:00:00"/>
    <s v="+7"/>
    <x v="0"/>
    <s v="Россия"/>
    <s v="Елизавета"/>
    <s v=" Артемовна"/>
    <s v="Данилова"/>
  </r>
  <r>
    <n v="104"/>
    <s v="+998 583-835-9258"/>
    <s v="Елизавета Яковлевна Лапина"/>
    <x v="1"/>
    <d v="2022-07-30T00:00:00"/>
    <s v="+998"/>
    <x v="4"/>
    <s v="Узбекистан"/>
    <s v="Елизавета"/>
    <s v=" Яковлевна"/>
    <s v="Лапина"/>
  </r>
  <r>
    <n v="69"/>
    <s v="+992 403-485-6889"/>
    <s v="Елизар Архипович Щербаков"/>
    <x v="1"/>
    <d v="2022-01-26T00:00:00"/>
    <s v="+992"/>
    <x v="2"/>
    <s v="Таджикистан"/>
    <s v="Елизар"/>
    <s v=" Архипович"/>
    <s v="Щербаков"/>
  </r>
  <r>
    <n v="45"/>
    <s v="+998 714-433-6940"/>
    <s v="Елизар Харлампьевич Мамонтов"/>
    <x v="0"/>
    <d v="2022-04-11T00:00:00"/>
    <s v="+998"/>
    <x v="4"/>
    <s v="Узбекистан"/>
    <s v="Елизар"/>
    <s v=" Харлампьевич"/>
    <s v="Мамонтов"/>
  </r>
  <r>
    <n v="235"/>
    <s v="+998 766-764-4076"/>
    <s v="Елисей Игнатович Лобанов"/>
    <x v="1"/>
    <d v="2022-03-15T00:00:00"/>
    <s v="+998"/>
    <x v="4"/>
    <s v="Узбекистан"/>
    <s v="Елисей"/>
    <s v=" Игнатович"/>
    <s v="Лобанов"/>
  </r>
  <r>
    <n v="155"/>
    <s v="+380 950-384-1472"/>
    <s v="Емельянов Игорь Андреевич"/>
    <x v="1"/>
    <d v="2022-01-03T00:00:00"/>
    <s v="+380"/>
    <x v="1"/>
    <s v="Украина"/>
    <s v="Емельянов"/>
    <s v=" Игорь"/>
    <s v="Андреевич"/>
  </r>
  <r>
    <n v="146"/>
    <s v="+375 986-655-6691"/>
    <s v="Еремей Бориславович Воронов"/>
    <x v="1"/>
    <d v="2022-02-25T00:00:00"/>
    <s v="+375"/>
    <x v="3"/>
    <s v="Беларусь"/>
    <s v="Еремей"/>
    <s v=" Бориславович"/>
    <s v="Воронов"/>
  </r>
  <r>
    <n v="396"/>
    <s v="+380 667-385-3298"/>
    <s v="Ермаков Вадим Юлианович"/>
    <x v="1"/>
    <d v="2022-11-06T00:00:00"/>
    <s v="+380"/>
    <x v="1"/>
    <s v="Украина"/>
    <s v="Ермаков"/>
    <s v=" Вадим"/>
    <s v="Юлианович"/>
  </r>
  <r>
    <n v="123"/>
    <s v="+7 755-098-2625"/>
    <s v="Ермаков Всеслав Эдуардович"/>
    <x v="1"/>
    <d v="2022-02-08T00:00:00"/>
    <s v="+7"/>
    <x v="0"/>
    <s v="Россия"/>
    <s v="Ермаков"/>
    <s v=" Всеслав"/>
    <s v="Эдуардович"/>
  </r>
  <r>
    <n v="271"/>
    <s v="+375 972-832-7690"/>
    <s v="Ермаков Степан Егорович"/>
    <x v="1"/>
    <d v="2022-11-27T00:00:00"/>
    <s v="+375"/>
    <x v="3"/>
    <s v="Беларусь"/>
    <s v="Ермаков"/>
    <s v=" Степан"/>
    <s v="Егорович"/>
  </r>
  <r>
    <n v="231"/>
    <s v="+7 212-350-2928"/>
    <s v="Ермаков Ярослав Тихонович"/>
    <x v="1"/>
    <d v="2022-07-10T00:00:00"/>
    <s v="+7"/>
    <x v="0"/>
    <s v="Россия"/>
    <s v="Ермаков"/>
    <s v=" Ярослав"/>
    <s v="Тихонович"/>
  </r>
  <r>
    <n v="209"/>
    <s v="+7 816-795-8885"/>
    <s v="Ермакова Дарья Алексеевна"/>
    <x v="1"/>
    <d v="2022-03-08T00:00:00"/>
    <s v="+7"/>
    <x v="0"/>
    <s v="Россия"/>
    <s v="Ермакова"/>
    <s v=" Дарья"/>
    <s v="Алексеевна"/>
  </r>
  <r>
    <n v="424"/>
    <s v="+7 833-884-1180"/>
    <s v="Ефремов Епифан Ильич"/>
    <x v="0"/>
    <d v="2022-01-24T00:00:00"/>
    <s v="+7"/>
    <x v="0"/>
    <s v="Россия"/>
    <s v="Ефремов"/>
    <s v=" Епифан"/>
    <s v="Ильич"/>
  </r>
  <r>
    <n v="447"/>
    <s v="+992 443-164-9246"/>
    <s v="Жанна Станиславовна Семенова"/>
    <x v="0"/>
    <d v="2022-12-03T00:00:00"/>
    <s v="+992"/>
    <x v="2"/>
    <s v="Таджикистан"/>
    <s v="Жанна"/>
    <s v=" Станиславовна"/>
    <s v="Семенова"/>
  </r>
  <r>
    <n v="419"/>
    <s v="+992 908-969-9000"/>
    <s v="Жданов Аверьян Валерьевич"/>
    <x v="0"/>
    <d v="2022-11-04T00:00:00"/>
    <s v="+992"/>
    <x v="2"/>
    <s v="Таджикистан"/>
    <s v="Жданов"/>
    <s v=" Аверьян"/>
    <s v="Валерьевич"/>
  </r>
  <r>
    <n v="167"/>
    <s v="+998 388-311-1484"/>
    <s v="Жуков Никифор Фомич"/>
    <x v="0"/>
    <d v="2022-01-02T00:00:00"/>
    <s v="+998"/>
    <x v="4"/>
    <s v="Узбекистан"/>
    <s v="Жуков"/>
    <s v=" Никифор"/>
    <s v="Фомич"/>
  </r>
  <r>
    <n v="127"/>
    <s v="+380 266-548-4802"/>
    <s v="Журавлев Аристарх Евсеевич"/>
    <x v="1"/>
    <d v="2022-12-19T00:00:00"/>
    <s v="+380"/>
    <x v="1"/>
    <s v="Украина"/>
    <s v="Журавлев"/>
    <s v=" Аристарх"/>
    <s v="Евсеевич"/>
  </r>
  <r>
    <n v="302"/>
    <s v="+7 449-357-2065"/>
    <s v="Журавлева Александра Валентиновна"/>
    <x v="1"/>
    <d v="2022-10-25T00:00:00"/>
    <s v="+7"/>
    <x v="0"/>
    <s v="Россия"/>
    <s v="Журавлева"/>
    <s v=" Александра"/>
    <s v="Валентиновна"/>
  </r>
  <r>
    <n v="136"/>
    <s v="+380 833-248-7380"/>
    <s v="Зайцев Ефрем Даниилович"/>
    <x v="0"/>
    <d v="2022-10-26T00:00:00"/>
    <s v="+380"/>
    <x v="1"/>
    <s v="Украина"/>
    <s v="Зайцев"/>
    <s v=" Ефрем"/>
    <s v="Даниилович"/>
  </r>
  <r>
    <n v="272"/>
    <s v="+992 852-094-1088"/>
    <s v="Захар Артемьевич Воробьев"/>
    <x v="1"/>
    <d v="2022-04-17T00:00:00"/>
    <s v="+992"/>
    <x v="2"/>
    <s v="Таджикистан"/>
    <s v="Захар"/>
    <s v=" Артемьевич"/>
    <s v="Воробьев"/>
  </r>
  <r>
    <n v="225"/>
    <s v="+375 563-314-3708"/>
    <s v="Зоя Вячеславовна Панова"/>
    <x v="0"/>
    <d v="2022-09-23T00:00:00"/>
    <s v="+375"/>
    <x v="3"/>
    <s v="Беларусь"/>
    <s v="Зоя"/>
    <s v=" Вячеславовна"/>
    <s v="Панова"/>
  </r>
  <r>
    <n v="458"/>
    <s v="+7 089-779-0837"/>
    <s v="Зоя Егоровна Третьякова"/>
    <x v="0"/>
    <d v="2022-05-13T00:00:00"/>
    <s v="+7"/>
    <x v="0"/>
    <s v="Россия"/>
    <s v="Зоя"/>
    <s v=" Егоровна"/>
    <s v="Третьякова"/>
  </r>
  <r>
    <n v="477"/>
    <s v="+998 591-865-8342"/>
    <s v="Зоя Кирилловна Брагина"/>
    <x v="0"/>
    <d v="2022-06-26T00:00:00"/>
    <s v="+998"/>
    <x v="4"/>
    <s v="Узбекистан"/>
    <s v="Зоя"/>
    <s v=" Кирилловна"/>
    <s v="Брагина"/>
  </r>
  <r>
    <n v="416"/>
    <s v="+992 906-130-4174"/>
    <s v="Зуев Гостомысл Игоревич"/>
    <x v="1"/>
    <d v="2022-05-22T00:00:00"/>
    <s v="+992"/>
    <x v="2"/>
    <s v="Таджикистан"/>
    <s v="Зуев"/>
    <s v=" Гостомысл"/>
    <s v="Игоревич"/>
  </r>
  <r>
    <n v="139"/>
    <s v="+375 187-052-9526"/>
    <s v="Зыкова Таисия Леонидовна"/>
    <x v="0"/>
    <d v="2022-03-28T00:00:00"/>
    <s v="+375"/>
    <x v="3"/>
    <s v="Беларусь"/>
    <s v="Зыкова"/>
    <s v=" Таисия"/>
    <s v="Леонидовна"/>
  </r>
  <r>
    <n v="177"/>
    <s v="+992 672-498-6349"/>
    <s v="Иванна Захаровна Сергеева"/>
    <x v="1"/>
    <d v="2022-10-23T00:00:00"/>
    <s v="+992"/>
    <x v="2"/>
    <s v="Таджикистан"/>
    <s v="Иванна"/>
    <s v=" Захаровна"/>
    <s v="Сергеева"/>
  </r>
  <r>
    <n v="68"/>
    <s v="+998 237-658-9236"/>
    <s v="Иванна Наумовна Иванова"/>
    <x v="0"/>
    <d v="2022-11-17T00:00:00"/>
    <s v="+998"/>
    <x v="4"/>
    <s v="Узбекистан"/>
    <s v="Иванна"/>
    <s v=" Наумовна"/>
    <s v="Иванова"/>
  </r>
  <r>
    <n v="239"/>
    <s v="+998 053-607-1948"/>
    <s v="Иванов Христофор Ильясович"/>
    <x v="1"/>
    <d v="2022-07-25T00:00:00"/>
    <s v="+998"/>
    <x v="4"/>
    <s v="Узбекистан"/>
    <s v="Иванов"/>
    <s v=" Христофор"/>
    <s v="Ильясович"/>
  </r>
  <r>
    <n v="417"/>
    <s v="+992 772-470-1976"/>
    <s v="Игнатова Вера Вячеславовна"/>
    <x v="1"/>
    <d v="2022-02-16T00:00:00"/>
    <s v="+992"/>
    <x v="2"/>
    <s v="Таджикистан"/>
    <s v="Игнатова"/>
    <s v=" Вера"/>
    <s v="Вячеславовна"/>
  </r>
  <r>
    <n v="348"/>
    <s v="+380 809-127-8060"/>
    <s v="Измаил Глебович Зыков"/>
    <x v="0"/>
    <d v="2022-01-08T00:00:00"/>
    <s v="+380"/>
    <x v="1"/>
    <s v="Украина"/>
    <s v="Измаил"/>
    <s v=" Глебович"/>
    <s v="Зыков"/>
  </r>
  <r>
    <n v="317"/>
    <s v="+7 640-461-4099"/>
    <s v="Ильина Милица Захаровна"/>
    <x v="1"/>
    <d v="2022-07-28T00:00:00"/>
    <s v="+7"/>
    <x v="0"/>
    <s v="Россия"/>
    <s v="Ильина"/>
    <s v=" Милица"/>
    <s v="Захаровна"/>
  </r>
  <r>
    <n v="473"/>
    <s v="+7 571-938-4741"/>
    <s v="Ипат Дмитриевич Панов"/>
    <x v="0"/>
    <d v="2022-08-26T00:00:00"/>
    <s v="+7"/>
    <x v="0"/>
    <s v="Россия"/>
    <s v="Ипат"/>
    <s v=" Дмитриевич"/>
    <s v="Панов"/>
  </r>
  <r>
    <n v="14"/>
    <s v="+992 129-804-1705"/>
    <s v="Ипатий Устинович Зимин"/>
    <x v="0"/>
    <d v="2022-08-02T00:00:00"/>
    <s v="+992"/>
    <x v="2"/>
    <s v="Таджикистан"/>
    <s v="Ипатий"/>
    <s v=" Устинович"/>
    <s v="Зимин"/>
  </r>
  <r>
    <n v="129"/>
    <s v="+375 242-923-3569"/>
    <s v="Ираида Егоровна Родионова"/>
    <x v="1"/>
    <d v="2022-11-03T00:00:00"/>
    <s v="+375"/>
    <x v="3"/>
    <s v="Беларусь"/>
    <s v="Ираида"/>
    <s v=" Егоровна"/>
    <s v="Родионова"/>
  </r>
  <r>
    <n v="38"/>
    <s v="+992 964-689-9206"/>
    <s v="Ираида Феликсовна Белоусова"/>
    <x v="1"/>
    <d v="2022-09-15T00:00:00"/>
    <s v="+992"/>
    <x v="2"/>
    <s v="Таджикистан"/>
    <s v="Ираида"/>
    <s v=" Феликсовна"/>
    <s v="Белоусова"/>
  </r>
  <r>
    <n v="124"/>
    <s v="+7 559-899-4463"/>
    <s v="Ираклий Изотович Авдеев"/>
    <x v="0"/>
    <d v="2022-08-22T00:00:00"/>
    <s v="+7"/>
    <x v="0"/>
    <s v="Россия"/>
    <s v="Ираклий"/>
    <s v=" Изотович"/>
    <s v="Авдеев"/>
  </r>
  <r>
    <n v="308"/>
    <s v="+375 958-521-7488"/>
    <s v="Ирина Анатольевна Васильева"/>
    <x v="0"/>
    <d v="2022-01-01T00:00:00"/>
    <s v="+375"/>
    <x v="3"/>
    <s v="Беларусь"/>
    <s v="Ирина"/>
    <s v=" Анатольевна"/>
    <s v="Васильева"/>
  </r>
  <r>
    <n v="8"/>
    <s v="+375 841-273-5425"/>
    <s v="Ирина Макаровна Шарова"/>
    <x v="0"/>
    <d v="2022-11-18T00:00:00"/>
    <s v="+375"/>
    <x v="3"/>
    <s v="Беларусь"/>
    <s v="Ирина"/>
    <s v=" Макаровна"/>
    <s v="Шарова"/>
  </r>
  <r>
    <n v="296"/>
    <s v="+998 997-462-0828"/>
    <s v="Исакова Людмила Олеговна"/>
    <x v="1"/>
    <d v="2022-07-16T00:00:00"/>
    <s v="+998"/>
    <x v="4"/>
    <s v="Узбекистан"/>
    <s v="Исакова"/>
    <s v=" Людмила"/>
    <s v="Олеговна"/>
  </r>
  <r>
    <n v="183"/>
    <s v="+992 248-066-2060"/>
    <s v="Ия Никифоровна Лапина"/>
    <x v="0"/>
    <d v="2022-12-05T00:00:00"/>
    <s v="+992"/>
    <x v="2"/>
    <s v="Таджикистан"/>
    <s v="Ия"/>
    <s v=" Никифоровна"/>
    <s v="Лапина"/>
  </r>
  <r>
    <n v="405"/>
    <s v="+380 524-191-7258"/>
    <s v="Ия Робертовна Белова"/>
    <x v="1"/>
    <d v="2022-08-25T00:00:00"/>
    <s v="+380"/>
    <x v="1"/>
    <s v="Украина"/>
    <s v="Ия"/>
    <s v=" Робертовна"/>
    <s v="Белова"/>
  </r>
  <r>
    <n v="180"/>
    <s v="+375 820-460-9487"/>
    <s v="Калинин Лев Феодосьевич"/>
    <x v="1"/>
    <d v="2022-02-24T00:00:00"/>
    <s v="+375"/>
    <x v="3"/>
    <s v="Беларусь"/>
    <s v="Калинин"/>
    <s v=" Лев"/>
    <s v="Феодосьевич"/>
  </r>
  <r>
    <n v="182"/>
    <s v="+998 271-883-9995"/>
    <s v="Калинин Никита Артурович"/>
    <x v="0"/>
    <d v="2022-10-22T00:00:00"/>
    <s v="+998"/>
    <x v="4"/>
    <s v="Узбекистан"/>
    <s v="Калинин"/>
    <s v=" Никита"/>
    <s v="Артурович"/>
  </r>
  <r>
    <n v="374"/>
    <s v="+380 622-144-1703"/>
    <s v="Калинина Ирина Филипповна"/>
    <x v="1"/>
    <d v="2022-01-21T00:00:00"/>
    <s v="+380"/>
    <x v="1"/>
    <s v="Украина"/>
    <s v="Калинина"/>
    <s v=" Ирина"/>
    <s v="Филипповна"/>
  </r>
  <r>
    <n v="415"/>
    <s v="+380 465-945-6481"/>
    <s v="Капитон Феликсович Кабанов"/>
    <x v="0"/>
    <d v="2022-04-10T00:00:00"/>
    <s v="+380"/>
    <x v="1"/>
    <s v="Украина"/>
    <s v="Капитон"/>
    <s v=" Феликсович"/>
    <s v="Кабанов"/>
  </r>
  <r>
    <n v="346"/>
    <s v="+7 710-415-0428"/>
    <s v="Капитон Харитонович Родионов"/>
    <x v="0"/>
    <d v="2022-03-16T00:00:00"/>
    <s v="+7"/>
    <x v="0"/>
    <s v="Россия"/>
    <s v="Капитон"/>
    <s v=" Харитонович"/>
    <s v="Родионов"/>
  </r>
  <r>
    <n v="179"/>
    <s v="+7 747-678-7543"/>
    <s v="Капустина Тамара Валериевна"/>
    <x v="0"/>
    <d v="2022-09-29T00:00:00"/>
    <s v="+7"/>
    <x v="0"/>
    <s v="Россия"/>
    <s v="Капустина"/>
    <s v=" Тамара"/>
    <s v="Валериевна"/>
  </r>
  <r>
    <n v="407"/>
    <s v="+375 205-037-7882"/>
    <s v="Карп Афанасьевич Фомичев"/>
    <x v="0"/>
    <d v="2022-03-01T00:00:00"/>
    <s v="+375"/>
    <x v="3"/>
    <s v="Беларусь"/>
    <s v="Карп"/>
    <s v=" Афанасьевич"/>
    <s v="Фомичев"/>
  </r>
  <r>
    <n v="44"/>
    <s v="+375 226-003-8992"/>
    <s v="Кир Васильевич Горбунов"/>
    <x v="1"/>
    <d v="2022-05-20T00:00:00"/>
    <s v="+375"/>
    <x v="3"/>
    <s v="Беларусь"/>
    <s v="Кир"/>
    <s v=" Васильевич"/>
    <s v="Горбунов"/>
  </r>
  <r>
    <n v="18"/>
    <s v="+380 671-809-3559"/>
    <s v="Кира Степановна Рогова"/>
    <x v="1"/>
    <d v="2022-01-17T00:00:00"/>
    <s v="+380"/>
    <x v="1"/>
    <s v="Украина"/>
    <s v="Кира"/>
    <s v=" Степановна"/>
    <s v="Рогова"/>
  </r>
  <r>
    <n v="283"/>
    <s v="+992 904-682-2250"/>
    <s v="Кириллов Валерьян Иосипович"/>
    <x v="1"/>
    <d v="2022-11-24T00:00:00"/>
    <s v="+992"/>
    <x v="2"/>
    <s v="Таджикистан"/>
    <s v="Кириллов"/>
    <s v=" Валерьян"/>
    <s v="Иосипович"/>
  </r>
  <r>
    <n v="404"/>
    <s v="+380 265-102-2104"/>
    <s v="Кириллова Пелагея Юльевна"/>
    <x v="1"/>
    <d v="2022-12-18T00:00:00"/>
    <s v="+380"/>
    <x v="1"/>
    <s v="Украина"/>
    <s v="Кириллова"/>
    <s v=" Пелагея"/>
    <s v="Юльевна"/>
  </r>
  <r>
    <n v="66"/>
    <s v="+7 629-137-1639"/>
    <s v="Клавдия Богдановна Ковалева"/>
    <x v="1"/>
    <d v="2022-08-04T00:00:00"/>
    <s v="+7"/>
    <x v="0"/>
    <s v="Россия"/>
    <s v="Клавдия"/>
    <s v=" Богдановна"/>
    <s v="Ковалева"/>
  </r>
  <r>
    <n v="307"/>
    <s v="+375 881-217-3017"/>
    <s v="Клавдия Константиновна Хохлова"/>
    <x v="0"/>
    <d v="2022-07-22T00:00:00"/>
    <s v="+375"/>
    <x v="3"/>
    <s v="Беларусь"/>
    <s v="Клавдия"/>
    <s v=" Константиновна"/>
    <s v="Хохлова"/>
  </r>
  <r>
    <n v="394"/>
    <s v="+7 450-475-2540"/>
    <s v="Князев Платон Андреевич"/>
    <x v="0"/>
    <d v="2022-05-27T00:00:00"/>
    <s v="+7"/>
    <x v="0"/>
    <s v="Россия"/>
    <s v="Князев"/>
    <s v=" Платон"/>
    <s v="Андреевич"/>
  </r>
  <r>
    <n v="356"/>
    <s v="+992 234-736-4616"/>
    <s v="Князева Акулина Алексеевна"/>
    <x v="1"/>
    <d v="2022-01-09T00:00:00"/>
    <s v="+992"/>
    <x v="2"/>
    <s v="Таджикистан"/>
    <s v="Князева"/>
    <s v=" Акулина"/>
    <s v="Алексеевна"/>
  </r>
  <r>
    <n v="493"/>
    <s v="+380 076-252-5210"/>
    <s v="Кондратьева Валентина Львовна"/>
    <x v="0"/>
    <d v="2022-10-21T00:00:00"/>
    <s v="+380"/>
    <x v="1"/>
    <s v="Украина"/>
    <s v="Кондратьева"/>
    <s v=" Валентина"/>
    <s v="Львовна"/>
  </r>
  <r>
    <n v="295"/>
    <s v="+7 616-701-4879"/>
    <s v="Конон Валентинович Владимиров"/>
    <x v="1"/>
    <d v="2022-01-27T00:00:00"/>
    <s v="+7"/>
    <x v="0"/>
    <s v="Россия"/>
    <s v="Конон"/>
    <s v=" Валентинович"/>
    <s v="Владимиров"/>
  </r>
  <r>
    <n v="257"/>
    <s v="+7 747-866-6152"/>
    <s v="Кононова Прасковья Павловна"/>
    <x v="1"/>
    <d v="2022-05-20T00:00:00"/>
    <s v="+7"/>
    <x v="0"/>
    <s v="Россия"/>
    <s v="Кононова"/>
    <s v=" Прасковья"/>
    <s v="Павловна"/>
  </r>
  <r>
    <n v="291"/>
    <s v="+992 550-001-8470"/>
    <s v="Кононова Элеонора Юрьевна"/>
    <x v="0"/>
    <d v="2022-05-29T00:00:00"/>
    <s v="+992"/>
    <x v="2"/>
    <s v="Таджикистан"/>
    <s v="Кононова"/>
    <s v=" Элеонора"/>
    <s v="Юрьевна"/>
  </r>
  <r>
    <n v="57"/>
    <s v="+7 269-195-3186"/>
    <s v="Константин Ефимьевич Колесников"/>
    <x v="1"/>
    <d v="2022-04-18T00:00:00"/>
    <s v="+7"/>
    <x v="0"/>
    <s v="Россия"/>
    <s v="Константин"/>
    <s v=" Ефимьевич"/>
    <s v="Колесников"/>
  </r>
  <r>
    <n v="400"/>
    <s v="+375 933-846-4405"/>
    <s v="Константинов Милован Денисович"/>
    <x v="0"/>
    <d v="2022-07-23T00:00:00"/>
    <s v="+375"/>
    <x v="3"/>
    <s v="Беларусь"/>
    <s v="Константинов"/>
    <s v=" Милован"/>
    <s v="Денисович"/>
  </r>
  <r>
    <n v="300"/>
    <s v="+380 329-195-8747"/>
    <s v="Копылов Мартьян Августович"/>
    <x v="0"/>
    <d v="2022-09-20T00:00:00"/>
    <s v="+380"/>
    <x v="1"/>
    <s v="Украина"/>
    <s v="Копылов"/>
    <s v=" Мартьян"/>
    <s v="Августович"/>
  </r>
  <r>
    <n v="125"/>
    <s v="+7 722-155-8660"/>
    <s v="Копылова Эмилия Тарасовна"/>
    <x v="1"/>
    <d v="2022-05-20T00:00:00"/>
    <s v="+7"/>
    <x v="0"/>
    <s v="Россия"/>
    <s v="Копылова"/>
    <s v=" Эмилия"/>
    <s v="Тарасовна"/>
  </r>
  <r>
    <n v="215"/>
    <s v="+7 191-068-2694"/>
    <s v="Корнил Адрианович Комиссаров"/>
    <x v="1"/>
    <d v="2022-08-26T00:00:00"/>
    <s v="+7"/>
    <x v="0"/>
    <s v="Россия"/>
    <s v="Корнил"/>
    <s v=" Адрианович"/>
    <s v="Комиссаров"/>
  </r>
  <r>
    <n v="26"/>
    <s v="+992 666-298-7733"/>
    <s v="Корнилов Леон Иосипович"/>
    <x v="0"/>
    <d v="2022-09-15T00:00:00"/>
    <s v="+992"/>
    <x v="2"/>
    <s v="Таджикистан"/>
    <s v="Корнилов"/>
    <s v=" Леон"/>
    <s v="Иосипович"/>
  </r>
  <r>
    <n v="149"/>
    <s v="+992 908-369-0617"/>
    <s v="Королев Феофан Бориславович"/>
    <x v="0"/>
    <d v="2022-11-17T00:00:00"/>
    <s v="+992"/>
    <x v="2"/>
    <s v="Таджикистан"/>
    <s v="Королев"/>
    <s v=" Феофан"/>
    <s v="Бориславович"/>
  </r>
  <r>
    <n v="51"/>
    <s v="+998 154-674-1649"/>
    <s v="Костина Жанна Рубеновна"/>
    <x v="1"/>
    <d v="2022-02-13T00:00:00"/>
    <s v="+998"/>
    <x v="4"/>
    <s v="Узбекистан"/>
    <s v="Костина"/>
    <s v=" Жанна"/>
    <s v="Рубеновна"/>
  </r>
  <r>
    <n v="326"/>
    <s v="+7 529-529-9415"/>
    <s v="Кошелева Марина Рудольфовна"/>
    <x v="1"/>
    <d v="2022-04-04T00:00:00"/>
    <s v="+7"/>
    <x v="0"/>
    <s v="Россия"/>
    <s v="Кошелева"/>
    <s v=" Марина"/>
    <s v="Рудольфовна"/>
  </r>
  <r>
    <n v="421"/>
    <s v="+7 362-778-4019"/>
    <s v="Красильников Павел Ермилович"/>
    <x v="1"/>
    <d v="2022-02-28T00:00:00"/>
    <s v="+7"/>
    <x v="0"/>
    <s v="Россия"/>
    <s v="Красильников"/>
    <s v=" Павел"/>
    <s v="Ермилович"/>
  </r>
  <r>
    <n v="81"/>
    <s v="+7 219-084-6295"/>
    <s v="Ксения Кузьминична Авдеева"/>
    <x v="0"/>
    <d v="2022-09-21T00:00:00"/>
    <s v="+7"/>
    <x v="0"/>
    <s v="Россия"/>
    <s v="Ксения"/>
    <s v=" Кузьминична"/>
    <s v="Авдеева"/>
  </r>
  <r>
    <n v="490"/>
    <s v="+7 454-941-1729"/>
    <s v="Кудрявцев Демид Ерофеевич"/>
    <x v="1"/>
    <d v="2022-02-11T00:00:00"/>
    <s v="+7"/>
    <x v="0"/>
    <s v="Россия"/>
    <s v="Кудрявцев"/>
    <s v=" Демид"/>
    <s v="Ерофеевич"/>
  </r>
  <r>
    <n v="24"/>
    <s v="+998 525-413-6836"/>
    <s v="Кудрявцева Ульяна Филипповна"/>
    <x v="0"/>
    <d v="2022-02-17T00:00:00"/>
    <s v="+998"/>
    <x v="4"/>
    <s v="Узбекистан"/>
    <s v="Кудрявцева"/>
    <s v=" Ульяна"/>
    <s v="Филипповна"/>
  </r>
  <r>
    <n v="22"/>
    <s v="+375 173-908-3215"/>
    <s v="Кудряшов Влас Алексеевич"/>
    <x v="0"/>
    <d v="2022-11-05T00:00:00"/>
    <s v="+375"/>
    <x v="3"/>
    <s v="Беларусь"/>
    <s v="Кудряшов"/>
    <s v=" Влас"/>
    <s v="Алексеевич"/>
  </r>
  <r>
    <n v="211"/>
    <s v="+380 947-602-2812"/>
    <s v="Кудряшова Василиса Болеславовна"/>
    <x v="1"/>
    <d v="2022-03-01T00:00:00"/>
    <s v="+380"/>
    <x v="1"/>
    <s v="Украина"/>
    <s v="Кудряшова"/>
    <s v=" Василиса"/>
    <s v="Болеславовна"/>
  </r>
  <r>
    <n v="88"/>
    <s v="+380 611-258-8704"/>
    <s v="Кузнецов Севастьян Валерьевич"/>
    <x v="0"/>
    <d v="2022-03-10T00:00:00"/>
    <s v="+380"/>
    <x v="1"/>
    <s v="Украина"/>
    <s v="Кузнецов"/>
    <s v=" Севастьян"/>
    <s v="Валерьевич"/>
  </r>
  <r>
    <n v="37"/>
    <s v="+380 855-516-3611"/>
    <s v="Кулакова Нина Семеновна"/>
    <x v="0"/>
    <d v="2022-06-16T00:00:00"/>
    <s v="+380"/>
    <x v="1"/>
    <s v="Украина"/>
    <s v="Кулакова"/>
    <s v=" Нина"/>
    <s v="Семеновна"/>
  </r>
  <r>
    <n v="43"/>
    <s v="+7 120-273-0435"/>
    <s v="Куликова Евгения Григорьевна"/>
    <x v="0"/>
    <d v="2022-12-17T00:00:00"/>
    <s v="+7"/>
    <x v="0"/>
    <s v="Россия"/>
    <s v="Куликова"/>
    <s v=" Евгения"/>
    <s v="Григорьевна"/>
  </r>
  <r>
    <n v="428"/>
    <s v="+375 844-419-2850"/>
    <s v="Лавр Харлампович Беляков"/>
    <x v="1"/>
    <d v="2022-10-14T00:00:00"/>
    <s v="+375"/>
    <x v="3"/>
    <s v="Беларусь"/>
    <s v="Лавр"/>
    <s v=" Харлампович"/>
    <s v="Беляков"/>
  </r>
  <r>
    <n v="48"/>
    <s v="+998 849-649-9045"/>
    <s v="Лаврентьева Вера Владиславовна"/>
    <x v="1"/>
    <d v="2022-10-22T00:00:00"/>
    <s v="+998"/>
    <x v="4"/>
    <s v="Узбекистан"/>
    <s v="Лаврентьева"/>
    <s v=" Вера"/>
    <s v="Владиславовна"/>
  </r>
  <r>
    <n v="409"/>
    <s v="+380 916-341-6028"/>
    <s v="Лаврентьева Маргарита Артемовна"/>
    <x v="1"/>
    <d v="2022-11-04T00:00:00"/>
    <s v="+380"/>
    <x v="1"/>
    <s v="Украина"/>
    <s v="Лаврентьева"/>
    <s v=" Маргарита"/>
    <s v="Артемовна"/>
  </r>
  <r>
    <n v="252"/>
    <s v="+7 376-172-1887"/>
    <s v="Ладимир Гурьевич Егоров"/>
    <x v="1"/>
    <d v="2022-03-23T00:00:00"/>
    <s v="+7"/>
    <x v="0"/>
    <s v="Россия"/>
    <s v="Ладимир"/>
    <s v=" Гурьевич"/>
    <s v="Егоров"/>
  </r>
  <r>
    <n v="174"/>
    <s v="+992 059-483-3104"/>
    <s v="Лазарев Аникей Венедиктович"/>
    <x v="0"/>
    <d v="2022-08-06T00:00:00"/>
    <s v="+992"/>
    <x v="2"/>
    <s v="Таджикистан"/>
    <s v="Лазарев"/>
    <s v=" Аникей"/>
    <s v="Венедиктович"/>
  </r>
  <r>
    <n v="276"/>
    <s v="+992 358-380-4702"/>
    <s v="Лазарев Арефий Анатольевич"/>
    <x v="1"/>
    <d v="2022-03-12T00:00:00"/>
    <s v="+992"/>
    <x v="2"/>
    <s v="Таджикистан"/>
    <s v="Лазарев"/>
    <s v=" Арефий"/>
    <s v="Анатольевич"/>
  </r>
  <r>
    <n v="132"/>
    <s v="+380 697-469-4252"/>
    <s v="Лазарев Софон Якубович"/>
    <x v="0"/>
    <d v="2022-02-09T00:00:00"/>
    <s v="+380"/>
    <x v="1"/>
    <s v="Украина"/>
    <s v="Лазарев"/>
    <s v=" Софон"/>
    <s v="Якубович"/>
  </r>
  <r>
    <n v="73"/>
    <s v="+380 487-238-5930"/>
    <s v="Лапин Эрнест Антипович"/>
    <x v="0"/>
    <d v="2022-04-14T00:00:00"/>
    <s v="+380"/>
    <x v="1"/>
    <s v="Украина"/>
    <s v="Лапин"/>
    <s v=" Эрнест"/>
    <s v="Антипович"/>
  </r>
  <r>
    <n v="469"/>
    <s v="+7 997-792-5112"/>
    <s v="Лариса Романовна Крюкова"/>
    <x v="0"/>
    <d v="2022-04-08T00:00:00"/>
    <s v="+7"/>
    <x v="0"/>
    <s v="Россия"/>
    <s v="Лариса"/>
    <s v=" Романовна"/>
    <s v="Крюкова"/>
  </r>
  <r>
    <n v="285"/>
    <s v="+992 852-358-1111"/>
    <s v="Лариса Степановна Гурьева"/>
    <x v="1"/>
    <d v="2022-12-27T00:00:00"/>
    <s v="+992"/>
    <x v="2"/>
    <s v="Таджикистан"/>
    <s v="Лариса"/>
    <s v=" Степановна"/>
    <s v="Гурьева"/>
  </r>
  <r>
    <n v="340"/>
    <s v="+7 091-838-5158"/>
    <s v="Леон Аверьянович Захаров"/>
    <x v="1"/>
    <d v="2022-12-01T00:00:00"/>
    <s v="+7"/>
    <x v="0"/>
    <s v="Россия"/>
    <s v="Леон"/>
    <s v=" Аверьянович"/>
    <s v="Захаров"/>
  </r>
  <r>
    <n v="75"/>
    <s v="+380 369-038-6358"/>
    <s v="Леонид Арсенович Давыдов"/>
    <x v="1"/>
    <d v="2022-08-23T00:00:00"/>
    <s v="+380"/>
    <x v="1"/>
    <s v="Украина"/>
    <s v="Леонид"/>
    <s v=" Арсенович"/>
    <s v="Давыдов"/>
  </r>
  <r>
    <n v="427"/>
    <s v="+7 630-011-3417"/>
    <s v="Лидия Андреевна Крюкова"/>
    <x v="1"/>
    <d v="2022-09-30T00:00:00"/>
    <s v="+7"/>
    <x v="0"/>
    <s v="Россия"/>
    <s v="Лидия"/>
    <s v=" Андреевна"/>
    <s v="Крюкова"/>
  </r>
  <r>
    <n v="236"/>
    <s v="+998 498-706-1394"/>
    <s v="Лонгин Арсенович Никонов"/>
    <x v="0"/>
    <d v="2022-09-16T00:00:00"/>
    <s v="+998"/>
    <x v="4"/>
    <s v="Узбекистан"/>
    <s v="Лонгин"/>
    <s v=" Арсенович"/>
    <s v="Никонов"/>
  </r>
  <r>
    <n v="267"/>
    <s v="+7 632-222-4524"/>
    <s v="Лора Болеславовна Потапова"/>
    <x v="0"/>
    <d v="2022-12-15T00:00:00"/>
    <s v="+7"/>
    <x v="0"/>
    <s v="Россия"/>
    <s v="Лора"/>
    <s v=" Болеславовна"/>
    <s v="Потапова"/>
  </r>
  <r>
    <n v="446"/>
    <s v="+992 028-876-8250"/>
    <s v="Лора Вадимовна Турова"/>
    <x v="0"/>
    <d v="2022-04-20T00:00:00"/>
    <s v="+992"/>
    <x v="2"/>
    <s v="Таджикистан"/>
    <s v="Лора"/>
    <s v=" Вадимовна"/>
    <s v="Турова"/>
  </r>
  <r>
    <n v="151"/>
    <s v="+375 280-614-3764"/>
    <s v="Лука Игнатьевич Власов"/>
    <x v="1"/>
    <d v="2022-12-28T00:00:00"/>
    <s v="+375"/>
    <x v="3"/>
    <s v="Беларусь"/>
    <s v="Лука"/>
    <s v=" Игнатьевич"/>
    <s v="Власов"/>
  </r>
  <r>
    <n v="376"/>
    <s v="+375 690-843-0501"/>
    <s v="Лукин Борис Власович"/>
    <x v="0"/>
    <d v="2022-06-18T00:00:00"/>
    <s v="+375"/>
    <x v="3"/>
    <s v="Беларусь"/>
    <s v="Лукин"/>
    <s v=" Борис"/>
    <s v="Власович"/>
  </r>
  <r>
    <n v="47"/>
    <s v="+375 077-514-8048"/>
    <s v="Лукин Харлампий Игнатович"/>
    <x v="1"/>
    <d v="2022-05-12T00:00:00"/>
    <s v="+375"/>
    <x v="3"/>
    <s v="Беларусь"/>
    <s v="Лукин"/>
    <s v=" Харлампий"/>
    <s v="Игнатович"/>
  </r>
  <r>
    <n v="451"/>
    <s v="+7 321-005-5110"/>
    <s v="Лукия Ефимовна Тимофеева"/>
    <x v="0"/>
    <d v="2022-01-23T00:00:00"/>
    <s v="+7"/>
    <x v="0"/>
    <s v="Россия"/>
    <s v="Лукия"/>
    <s v=" Ефимовна"/>
    <s v="Тимофеева"/>
  </r>
  <r>
    <n v="426"/>
    <s v="+992 253-231-6427"/>
    <s v="Лыткина Вера Ждановна"/>
    <x v="0"/>
    <d v="2022-07-26T00:00:00"/>
    <s v="+992"/>
    <x v="2"/>
    <s v="Таджикистан"/>
    <s v="Лыткина"/>
    <s v=" Вера"/>
    <s v="Ждановна"/>
  </r>
  <r>
    <n v="345"/>
    <s v="+375 869-843-0628"/>
    <s v="Лыткина Ираида Александровна"/>
    <x v="0"/>
    <d v="2022-05-24T00:00:00"/>
    <s v="+375"/>
    <x v="3"/>
    <s v="Беларусь"/>
    <s v="Лыткина"/>
    <s v=" Ираида"/>
    <s v="Александровна"/>
  </r>
  <r>
    <n v="357"/>
    <s v="+998 523-421-5092"/>
    <s v="Любим Зиновьевич Брагин"/>
    <x v="0"/>
    <d v="2022-12-18T00:00:00"/>
    <s v="+998"/>
    <x v="4"/>
    <s v="Узбекистан"/>
    <s v="Любим"/>
    <s v=" Зиновьевич"/>
    <s v="Брагин"/>
  </r>
  <r>
    <n v="59"/>
    <s v="+7 535-345-7895"/>
    <s v="Любовь Альбертовна Одинцова"/>
    <x v="0"/>
    <d v="2022-07-28T00:00:00"/>
    <s v="+7"/>
    <x v="0"/>
    <s v="Россия"/>
    <s v="Любовь"/>
    <s v=" Альбертовна"/>
    <s v="Одинцова"/>
  </r>
  <r>
    <n v="418"/>
    <s v="+375 253-379-5656"/>
    <s v="Любовь Богдановна Новикова"/>
    <x v="0"/>
    <d v="2022-05-19T00:00:00"/>
    <s v="+375"/>
    <x v="3"/>
    <s v="Беларусь"/>
    <s v="Любовь"/>
    <s v=" Богдановна"/>
    <s v="Новикова"/>
  </r>
  <r>
    <n v="350"/>
    <s v="+380 545-746-8707"/>
    <s v="Любовь Георгиевна Мамонтова"/>
    <x v="1"/>
    <d v="2022-05-03T00:00:00"/>
    <s v="+380"/>
    <x v="1"/>
    <s v="Украина"/>
    <s v="Любовь"/>
    <s v=" Георгиевна"/>
    <s v="Мамонтова"/>
  </r>
  <r>
    <n v="254"/>
    <s v="+375 342-835-7024"/>
    <s v="Любовь Павловна Капустина"/>
    <x v="0"/>
    <d v="2022-10-28T00:00:00"/>
    <s v="+375"/>
    <x v="3"/>
    <s v="Беларусь"/>
    <s v="Любовь"/>
    <s v=" Павловна"/>
    <s v="Капустина"/>
  </r>
  <r>
    <n v="74"/>
    <s v="+7 977-556-0650"/>
    <s v="Любовь Романовна Данилова"/>
    <x v="1"/>
    <d v="2022-10-23T00:00:00"/>
    <s v="+7"/>
    <x v="0"/>
    <s v="Россия"/>
    <s v="Любовь"/>
    <s v=" Романовна"/>
    <s v="Данилова"/>
  </r>
  <r>
    <n v="277"/>
    <s v="+7 052-743-8708"/>
    <s v="Любомир Архипович Пономарев"/>
    <x v="0"/>
    <d v="2022-07-08T00:00:00"/>
    <s v="+7"/>
    <x v="0"/>
    <s v="Россия"/>
    <s v="Любомир"/>
    <s v=" Архипович"/>
    <s v="Пономарев"/>
  </r>
  <r>
    <n v="309"/>
    <s v="+7 524-548-9435"/>
    <s v="Любомир Валерианович Туров"/>
    <x v="1"/>
    <d v="2022-05-30T00:00:00"/>
    <s v="+7"/>
    <x v="0"/>
    <s v="Россия"/>
    <s v="Любомир"/>
    <s v=" Валерианович"/>
    <s v="Туров"/>
  </r>
  <r>
    <n v="264"/>
    <s v="+375 722-671-7064"/>
    <s v="Любомир Ермолаевич Стрелков"/>
    <x v="1"/>
    <d v="2022-12-12T00:00:00"/>
    <s v="+375"/>
    <x v="3"/>
    <s v="Беларусь"/>
    <s v="Любомир"/>
    <s v=" Ермолаевич"/>
    <s v="Стрелков"/>
  </r>
  <r>
    <n v="430"/>
    <s v="+992 570-665-8734"/>
    <s v="Любосмысл Тихонович Веселов"/>
    <x v="1"/>
    <d v="2022-08-26T00:00:00"/>
    <s v="+992"/>
    <x v="2"/>
    <s v="Таджикистан"/>
    <s v="Любосмысл"/>
    <s v=" Тихонович"/>
    <s v="Веселов"/>
  </r>
  <r>
    <n v="433"/>
    <s v="+992 614-322-7161"/>
    <s v="Людмила Борисовна Иванова"/>
    <x v="0"/>
    <d v="2022-09-28T00:00:00"/>
    <s v="+992"/>
    <x v="2"/>
    <s v="Таджикистан"/>
    <s v="Людмила"/>
    <s v=" Борисовна"/>
    <s v="Иванова"/>
  </r>
  <r>
    <n v="112"/>
    <s v="+7 592-570-4871"/>
    <s v="Майя Вадимовна Рябова"/>
    <x v="1"/>
    <d v="2022-04-01T00:00:00"/>
    <s v="+7"/>
    <x v="0"/>
    <s v="Россия"/>
    <s v="Майя"/>
    <s v=" Вадимовна"/>
    <s v="Рябова"/>
  </r>
  <r>
    <n v="122"/>
    <s v="+375 165-356-7542"/>
    <s v="Максим Анатольевич Семенов"/>
    <x v="1"/>
    <d v="2022-05-02T00:00:00"/>
    <s v="+375"/>
    <x v="3"/>
    <s v="Беларусь"/>
    <s v="Максим"/>
    <s v=" Анатольевич"/>
    <s v="Семенов"/>
  </r>
  <r>
    <n v="337"/>
    <s v="+7 197-654-6044"/>
    <s v="Максимова Евпраксия Ждановна"/>
    <x v="0"/>
    <d v="2022-11-10T00:00:00"/>
    <s v="+7"/>
    <x v="0"/>
    <s v="Россия"/>
    <s v="Максимова"/>
    <s v=" Евпраксия"/>
    <s v="Ждановна"/>
  </r>
  <r>
    <n v="13"/>
    <s v="+7 782-443-4000"/>
    <s v="Максимова Елена Валериевна"/>
    <x v="1"/>
    <d v="2022-06-12T00:00:00"/>
    <s v="+7"/>
    <x v="0"/>
    <s v="Россия"/>
    <s v="Максимова"/>
    <s v=" Елена"/>
    <s v="Валериевна"/>
  </r>
  <r>
    <n v="386"/>
    <s v="+998 241-358-6988"/>
    <s v="Маргарита Ждановна Зуева"/>
    <x v="0"/>
    <d v="2022-06-22T00:00:00"/>
    <s v="+998"/>
    <x v="4"/>
    <s v="Узбекистан"/>
    <s v="Маргарита"/>
    <s v=" Ждановна"/>
    <s v="Зуева"/>
  </r>
  <r>
    <n v="232"/>
    <s v="+992 878-995-1603"/>
    <s v="Мария Анатольевна Смирнова"/>
    <x v="0"/>
    <d v="2022-12-28T00:00:00"/>
    <s v="+992"/>
    <x v="2"/>
    <s v="Таджикистан"/>
    <s v="Мария"/>
    <s v=" Анатольевна"/>
    <s v="Смирнова"/>
  </r>
  <r>
    <n v="437"/>
    <s v="+998 049-489-2171"/>
    <s v="Мария Кузьминична Борисова"/>
    <x v="1"/>
    <d v="2022-01-15T00:00:00"/>
    <s v="+998"/>
    <x v="4"/>
    <s v="Узбекистан"/>
    <s v="Мария"/>
    <s v=" Кузьминична"/>
    <s v="Борисова"/>
  </r>
  <r>
    <n v="159"/>
    <s v="+998 608-979-4237"/>
    <s v="Марк Яковлевич Корнилов"/>
    <x v="1"/>
    <d v="2022-05-05T00:00:00"/>
    <s v="+998"/>
    <x v="4"/>
    <s v="Узбекистан"/>
    <s v="Марк"/>
    <s v=" Яковлевич"/>
    <s v="Корнилов"/>
  </r>
  <r>
    <n v="319"/>
    <s v="+998 213-223-6638"/>
    <s v="Маркова Василиса Юрьевна"/>
    <x v="0"/>
    <d v="2022-04-23T00:00:00"/>
    <s v="+998"/>
    <x v="4"/>
    <s v="Узбекистан"/>
    <s v="Маркова"/>
    <s v=" Василиса"/>
    <s v="Юрьевна"/>
  </r>
  <r>
    <n v="158"/>
    <s v="+998 941-560-7307"/>
    <s v="Маркова Ксения Максимовна"/>
    <x v="1"/>
    <d v="2022-07-10T00:00:00"/>
    <s v="+998"/>
    <x v="4"/>
    <s v="Узбекистан"/>
    <s v="Маркова"/>
    <s v=" Ксения"/>
    <s v="Максимовна"/>
  </r>
  <r>
    <n v="210"/>
    <s v="+998 936-440-2703"/>
    <s v="Мартын Августович Баранов"/>
    <x v="1"/>
    <d v="2022-02-10T00:00:00"/>
    <s v="+998"/>
    <x v="4"/>
    <s v="Узбекистан"/>
    <s v="Мартын"/>
    <s v=" Августович"/>
    <s v="Баранов"/>
  </r>
  <r>
    <n v="331"/>
    <s v="+998 856-058-2613"/>
    <s v="Мартынов Фома Гордеевич"/>
    <x v="1"/>
    <d v="2022-09-09T00:00:00"/>
    <s v="+998"/>
    <x v="4"/>
    <s v="Узбекистан"/>
    <s v="Мартынов"/>
    <s v=" Фома"/>
    <s v="Гордеевич"/>
  </r>
  <r>
    <n v="445"/>
    <s v="+7 975-515-1931"/>
    <s v="Марфа Архиповна Белоусова"/>
    <x v="1"/>
    <d v="2022-04-25T00:00:00"/>
    <s v="+7"/>
    <x v="0"/>
    <s v="Россия"/>
    <s v="Марфа"/>
    <s v=" Архиповна"/>
    <s v="Белоусова"/>
  </r>
  <r>
    <n v="133"/>
    <s v="+998 035-761-6314"/>
    <s v="Марфа Георгиевна Титова"/>
    <x v="1"/>
    <d v="2022-01-27T00:00:00"/>
    <s v="+998"/>
    <x v="4"/>
    <s v="Узбекистан"/>
    <s v="Марфа"/>
    <s v=" Георгиевна"/>
    <s v="Титова"/>
  </r>
  <r>
    <n v="243"/>
    <s v="+7 354-672-8947"/>
    <s v="Марфа Эдуардовна Макарова"/>
    <x v="1"/>
    <d v="2022-04-30T00:00:00"/>
    <s v="+7"/>
    <x v="0"/>
    <s v="Россия"/>
    <s v="Марфа"/>
    <s v=" Эдуардовна"/>
    <s v="Макарова"/>
  </r>
  <r>
    <n v="143"/>
    <s v="+7 747-226-1755"/>
    <s v="Маслов Захар Феофанович"/>
    <x v="1"/>
    <d v="2022-02-09T00:00:00"/>
    <s v="+7"/>
    <x v="0"/>
    <s v="Россия"/>
    <s v="Маслов"/>
    <s v=" Захар"/>
    <s v="Феофанович"/>
  </r>
  <r>
    <n v="153"/>
    <s v="+7 709-119-0759"/>
    <s v="Маслов Сократ Анатольевич"/>
    <x v="1"/>
    <d v="2022-08-29T00:00:00"/>
    <s v="+7"/>
    <x v="0"/>
    <s v="Россия"/>
    <s v="Маслов"/>
    <s v=" Сократ"/>
    <s v="Анатольевич"/>
  </r>
  <r>
    <n v="329"/>
    <s v="+375 285-458-8961"/>
    <s v="Маслова Агафья Юрьевна"/>
    <x v="0"/>
    <d v="2022-04-02T00:00:00"/>
    <s v="+375"/>
    <x v="3"/>
    <s v="Беларусь"/>
    <s v="Маслова"/>
    <s v=" Агафья"/>
    <s v="Юрьевна"/>
  </r>
  <r>
    <n v="444"/>
    <s v="+7 729-805-4220"/>
    <s v="Маслова Анастасия Станиславовна"/>
    <x v="0"/>
    <d v="2022-05-07T00:00:00"/>
    <s v="+7"/>
    <x v="0"/>
    <s v="Россия"/>
    <s v="Маслова"/>
    <s v=" Анастасия"/>
    <s v="Станиславовна"/>
  </r>
  <r>
    <n v="78"/>
    <s v="+380 119-291-6424"/>
    <s v="Маслова Иванна Макаровна"/>
    <x v="0"/>
    <d v="2022-04-07T00:00:00"/>
    <s v="+380"/>
    <x v="1"/>
    <s v="Украина"/>
    <s v="Маслова"/>
    <s v=" Иванна"/>
    <s v="Макаровна"/>
  </r>
  <r>
    <n v="191"/>
    <s v="+380 728-449-1745"/>
    <s v="Матвей Адамович Богданов"/>
    <x v="0"/>
    <d v="2022-11-01T00:00:00"/>
    <s v="+380"/>
    <x v="1"/>
    <s v="Украина"/>
    <s v="Матвей"/>
    <s v=" Адамович"/>
    <s v="Богданов"/>
  </r>
  <r>
    <n v="71"/>
    <s v="+380 341-215-3278"/>
    <s v="Медведева Алина Алексеевна"/>
    <x v="0"/>
    <d v="2022-07-20T00:00:00"/>
    <s v="+380"/>
    <x v="1"/>
    <s v="Украина"/>
    <s v="Медведева"/>
    <s v=" Алина"/>
    <s v="Алексеевна"/>
  </r>
  <r>
    <n v="248"/>
    <s v="+7 592-632-8448"/>
    <s v="Меркушева Марина Наумовна"/>
    <x v="1"/>
    <d v="2022-05-13T00:00:00"/>
    <s v="+7"/>
    <x v="0"/>
    <s v="Россия"/>
    <s v="Меркушева"/>
    <s v=" Марина"/>
    <s v="Наумовна"/>
  </r>
  <r>
    <n v="495"/>
    <s v="+998 006-788-9211"/>
    <s v="Мефодий Филиппович Воробьев"/>
    <x v="0"/>
    <d v="2022-04-03T00:00:00"/>
    <s v="+998"/>
    <x v="4"/>
    <s v="Узбекистан"/>
    <s v="Мефодий"/>
    <s v=" Филиппович"/>
    <s v="Воробьев"/>
  </r>
  <r>
    <n v="117"/>
    <s v="+380 280-785-9631"/>
    <s v="Мирон Давидович Горбачев"/>
    <x v="0"/>
    <d v="2022-05-25T00:00:00"/>
    <s v="+380"/>
    <x v="1"/>
    <s v="Украина"/>
    <s v="Мирон"/>
    <s v=" Давидович"/>
    <s v="Горбачев"/>
  </r>
  <r>
    <n v="436"/>
    <s v="+7 613-538-5501"/>
    <s v="Миронов Аверкий Зиновьевич"/>
    <x v="1"/>
    <d v="2022-05-02T00:00:00"/>
    <s v="+7"/>
    <x v="0"/>
    <s v="Россия"/>
    <s v="Миронов"/>
    <s v=" Аверкий"/>
    <s v="Зиновьевич"/>
  </r>
  <r>
    <n v="360"/>
    <s v="+375 427-098-5558"/>
    <s v="Миронов Фома Вилорович"/>
    <x v="1"/>
    <d v="2022-06-16T00:00:00"/>
    <s v="+375"/>
    <x v="3"/>
    <s v="Беларусь"/>
    <s v="Миронов"/>
    <s v=" Фома"/>
    <s v="Вилорович"/>
  </r>
  <r>
    <n v="491"/>
    <s v="+7 411-977-9395"/>
    <s v="Михайлова Лора Наумовна"/>
    <x v="0"/>
    <d v="2022-07-10T00:00:00"/>
    <s v="+7"/>
    <x v="0"/>
    <s v="Россия"/>
    <s v="Михайлова"/>
    <s v=" Лора"/>
    <s v="Наумовна"/>
  </r>
  <r>
    <n v="214"/>
    <s v="+7 147-975-5645"/>
    <s v="Михеев Андроник Ефимьевич"/>
    <x v="0"/>
    <d v="2022-02-09T00:00:00"/>
    <s v="+7"/>
    <x v="0"/>
    <s v="Россия"/>
    <s v="Михеев"/>
    <s v=" Андроник"/>
    <s v="Ефимьевич"/>
  </r>
  <r>
    <n v="101"/>
    <s v="+7 173-514-9301"/>
    <s v="Михей Феликсович Лихачев"/>
    <x v="1"/>
    <d v="2022-06-15T00:00:00"/>
    <s v="+7"/>
    <x v="0"/>
    <s v="Россия"/>
    <s v="Михей"/>
    <s v=" Феликсович"/>
    <s v="Лихачев"/>
  </r>
  <r>
    <n v="498"/>
    <s v="+380 971-032-0139"/>
    <s v="Моисеев Евстафий Чеславович"/>
    <x v="0"/>
    <d v="2022-06-09T00:00:00"/>
    <s v="+380"/>
    <x v="1"/>
    <s v="Украина"/>
    <s v="Моисеев"/>
    <s v=" Евстафий"/>
    <s v="Чеславович"/>
  </r>
  <r>
    <n v="2"/>
    <s v="+998 824-309-1395"/>
    <s v="Морозова Майя Борисовна"/>
    <x v="1"/>
    <d v="2022-08-02T00:00:00"/>
    <s v="+998"/>
    <x v="4"/>
    <s v="Узбекистан"/>
    <s v="Морозова"/>
    <s v=" Майя"/>
    <s v="Борисовна"/>
  </r>
  <r>
    <n v="23"/>
    <s v="+7 142-825-3773"/>
    <s v="Морозова Феврония Николаевна"/>
    <x v="1"/>
    <d v="2022-05-25T00:00:00"/>
    <s v="+7"/>
    <x v="0"/>
    <s v="Россия"/>
    <s v="Морозова"/>
    <s v=" Феврония"/>
    <s v="Николаевна"/>
  </r>
  <r>
    <n v="456"/>
    <s v="+7 584-823-9648"/>
    <s v="Муравьева Алла Петровна"/>
    <x v="0"/>
    <d v="2022-02-26T00:00:00"/>
    <s v="+7"/>
    <x v="0"/>
    <s v="Россия"/>
    <s v="Муравьева"/>
    <s v=" Алла"/>
    <s v="Петровна"/>
  </r>
  <r>
    <n v="431"/>
    <s v="+7 869-111-2094"/>
    <s v="Мясников Зосима Якубович"/>
    <x v="1"/>
    <d v="2022-03-03T00:00:00"/>
    <s v="+7"/>
    <x v="0"/>
    <s v="Россия"/>
    <s v="Мясников"/>
    <s v=" Зосима"/>
    <s v="Якубович"/>
  </r>
  <r>
    <n v="459"/>
    <s v="+7 007-157-8873"/>
    <s v="Назар Августович Назаров"/>
    <x v="0"/>
    <d v="2022-07-01T00:00:00"/>
    <s v="+7"/>
    <x v="0"/>
    <s v="Россия"/>
    <s v="Назар"/>
    <s v=" Августович"/>
    <s v="Назаров"/>
  </r>
  <r>
    <n v="205"/>
    <s v="+7 689-265-9126"/>
    <s v="Назаров Пантелеймон Трофимович"/>
    <x v="0"/>
    <d v="2022-12-23T00:00:00"/>
    <s v="+7"/>
    <x v="0"/>
    <s v="Россия"/>
    <s v="Назаров"/>
    <s v=" Пантелеймон"/>
    <s v="Трофимович"/>
  </r>
  <r>
    <n v="355"/>
    <s v="+7 181-999-1398"/>
    <s v="Назарова Ия Ивановна"/>
    <x v="1"/>
    <d v="2022-03-11T00:00:00"/>
    <s v="+7"/>
    <x v="0"/>
    <s v="Россия"/>
    <s v="Назарова"/>
    <s v=" Ия"/>
    <s v="Ивановна"/>
  </r>
  <r>
    <n v="279"/>
    <s v="+998 661-487-5525"/>
    <s v="Наталья Геннадьевна Колесникова"/>
    <x v="0"/>
    <d v="2022-08-13T00:00:00"/>
    <s v="+998"/>
    <x v="4"/>
    <s v="Узбекистан"/>
    <s v="Наталья"/>
    <s v=" Геннадьевна"/>
    <s v="Колесникова"/>
  </r>
  <r>
    <n v="297"/>
    <s v="+380 802-906-1048"/>
    <s v="Нестеров Чеслав Аверьянович"/>
    <x v="1"/>
    <d v="2022-04-15T00:00:00"/>
    <s v="+380"/>
    <x v="1"/>
    <s v="Украина"/>
    <s v="Нестеров"/>
    <s v=" Чеслав"/>
    <s v="Аверьянович"/>
  </r>
  <r>
    <n v="352"/>
    <s v="+7 414-973-8213"/>
    <s v="Нестерова Таисия Яковлевна"/>
    <x v="1"/>
    <d v="2022-01-12T00:00:00"/>
    <s v="+7"/>
    <x v="0"/>
    <s v="Россия"/>
    <s v="Нестерова"/>
    <s v=" Таисия"/>
    <s v="Яковлевна"/>
  </r>
  <r>
    <n v="489"/>
    <s v="+7 778-043-0691"/>
    <s v="Никанор Феодосьевич Воронов"/>
    <x v="0"/>
    <d v="2022-01-26T00:00:00"/>
    <s v="+7"/>
    <x v="0"/>
    <s v="Россия"/>
    <s v="Никанор"/>
    <s v=" Феодосьевич"/>
    <s v="Воронов"/>
  </r>
  <r>
    <n v="21"/>
    <s v="+375 299-252-6550"/>
    <s v="Никита Венедиктович Третьяков"/>
    <x v="0"/>
    <d v="2022-11-16T00:00:00"/>
    <s v="+375"/>
    <x v="3"/>
    <s v="Беларусь"/>
    <s v="Никита"/>
    <s v=" Венедиктович"/>
    <s v="Третьяков"/>
  </r>
  <r>
    <n v="98"/>
    <s v="+7 379-140-2865"/>
    <s v="Никита Виленович Степанов"/>
    <x v="0"/>
    <d v="2022-03-17T00:00:00"/>
    <s v="+7"/>
    <x v="0"/>
    <s v="Россия"/>
    <s v="Никита"/>
    <s v=" Виленович"/>
    <s v="Степанов"/>
  </r>
  <r>
    <n v="119"/>
    <s v="+7 724-995-2653"/>
    <s v="Никитин Светозар Харлампьевич"/>
    <x v="1"/>
    <d v="2022-05-09T00:00:00"/>
    <s v="+7"/>
    <x v="0"/>
    <s v="Россия"/>
    <s v="Никитин"/>
    <s v=" Светозар"/>
    <s v="Харлампьевич"/>
  </r>
  <r>
    <n v="466"/>
    <s v="+375 956-020-3484"/>
    <s v="Никитина Лора Георгиевна"/>
    <x v="0"/>
    <d v="2022-07-30T00:00:00"/>
    <s v="+375"/>
    <x v="3"/>
    <s v="Беларусь"/>
    <s v="Никитина"/>
    <s v=" Лора"/>
    <s v="Георгиевна"/>
  </r>
  <r>
    <n v="453"/>
    <s v="+7 648-807-1917"/>
    <s v="Никифоров Богдан Харитонович"/>
    <x v="0"/>
    <d v="2022-03-15T00:00:00"/>
    <s v="+7"/>
    <x v="0"/>
    <s v="Россия"/>
    <s v="Никифоров"/>
    <s v=" Богдан"/>
    <s v="Харитонович"/>
  </r>
  <r>
    <n v="368"/>
    <s v="+998 481-371-2630"/>
    <s v="Никодим Арсенович Потапов"/>
    <x v="0"/>
    <d v="2022-11-07T00:00:00"/>
    <s v="+998"/>
    <x v="4"/>
    <s v="Узбекистан"/>
    <s v="Никодим"/>
    <s v=" Арсенович"/>
    <s v="Потапов"/>
  </r>
  <r>
    <n v="12"/>
    <s v="+375 682-373-1802"/>
    <s v="Никодим Игоревич Бобров"/>
    <x v="0"/>
    <d v="2022-10-08T00:00:00"/>
    <s v="+375"/>
    <x v="3"/>
    <s v="Беларусь"/>
    <s v="Никодим"/>
    <s v=" Игоревич"/>
    <s v="Бобров"/>
  </r>
  <r>
    <n v="301"/>
    <s v="+7 727-444-8253"/>
    <s v="Николаева Зинаида Ивановна"/>
    <x v="0"/>
    <d v="2022-06-02T00:00:00"/>
    <s v="+7"/>
    <x v="0"/>
    <s v="Россия"/>
    <s v="Николаева"/>
    <s v=" Зинаида"/>
    <s v="Ивановна"/>
  </r>
  <r>
    <n v="290"/>
    <s v="+7 244-331-6219"/>
    <s v="Николай Гавриилович Савин"/>
    <x v="0"/>
    <d v="2022-08-04T00:00:00"/>
    <s v="+7"/>
    <x v="0"/>
    <s v="Россия"/>
    <s v="Николай"/>
    <s v=" Гавриилович"/>
    <s v="Савин"/>
  </r>
  <r>
    <n v="220"/>
    <s v="+380 169-087-4183"/>
    <s v="Николай Феоктистович Дроздов"/>
    <x v="1"/>
    <d v="2022-01-09T00:00:00"/>
    <s v="+380"/>
    <x v="1"/>
    <s v="Украина"/>
    <s v="Николай"/>
    <s v=" Феоктистович"/>
    <s v="Дроздов"/>
  </r>
  <r>
    <n v="216"/>
    <s v="+992 638-430-8419"/>
    <s v="Никонов Софон Авдеевич"/>
    <x v="1"/>
    <d v="2022-04-04T00:00:00"/>
    <s v="+992"/>
    <x v="2"/>
    <s v="Таджикистан"/>
    <s v="Никонов"/>
    <s v=" Софон"/>
    <s v="Авдеевич"/>
  </r>
  <r>
    <n v="138"/>
    <s v="+380 229-176-0124"/>
    <s v="Нинель Кузьминична Журавлева"/>
    <x v="0"/>
    <d v="2022-06-11T00:00:00"/>
    <s v="+380"/>
    <x v="1"/>
    <s v="Украина"/>
    <s v="Нинель"/>
    <s v=" Кузьминична"/>
    <s v="Журавлева"/>
  </r>
  <r>
    <n v="397"/>
    <s v="+375 372-396-9651"/>
    <s v="Нинель Натановна Лазарева"/>
    <x v="1"/>
    <d v="2022-06-16T00:00:00"/>
    <s v="+375"/>
    <x v="3"/>
    <s v="Беларусь"/>
    <s v="Нинель"/>
    <s v=" Натановна"/>
    <s v="Лазарева"/>
  </r>
  <r>
    <n v="201"/>
    <s v="+992 994-189-2821"/>
    <s v="Новиков Ростислав Августович"/>
    <x v="0"/>
    <d v="2022-10-09T00:00:00"/>
    <s v="+992"/>
    <x v="2"/>
    <s v="Таджикистан"/>
    <s v="Новиков"/>
    <s v=" Ростислав"/>
    <s v="Августович"/>
  </r>
  <r>
    <n v="320"/>
    <s v="+375 529-351-9731"/>
    <s v="Новикова Ия Рубеновна"/>
    <x v="1"/>
    <d v="2022-11-04T00:00:00"/>
    <s v="+375"/>
    <x v="3"/>
    <s v="Беларусь"/>
    <s v="Новикова"/>
    <s v=" Ия"/>
    <s v="Рубеновна"/>
  </r>
  <r>
    <n v="481"/>
    <s v="+375 743-922-4671"/>
    <s v="Новикова Лидия Павловна"/>
    <x v="0"/>
    <d v="2022-07-14T00:00:00"/>
    <s v="+375"/>
    <x v="3"/>
    <s v="Беларусь"/>
    <s v="Новикова"/>
    <s v=" Лидия"/>
    <s v="Павловна"/>
  </r>
  <r>
    <n v="116"/>
    <s v="+7 753-596-5037"/>
    <s v="Носкова Вера Федоровна"/>
    <x v="1"/>
    <d v="2022-03-23T00:00:00"/>
    <s v="+7"/>
    <x v="0"/>
    <s v="Россия"/>
    <s v="Носкова"/>
    <s v=" Вера"/>
    <s v="Федоровна"/>
  </r>
  <r>
    <n v="464"/>
    <s v="+7 260-379-8995"/>
    <s v="Носкова Ольга Ждановна"/>
    <x v="1"/>
    <d v="2022-09-23T00:00:00"/>
    <s v="+7"/>
    <x v="0"/>
    <s v="Россия"/>
    <s v="Носкова"/>
    <s v=" Ольга"/>
    <s v="Ждановна"/>
  </r>
  <r>
    <n v="105"/>
    <s v="+998 284-687-3096"/>
    <s v="Овчинникова Зоя Вячеславовна"/>
    <x v="0"/>
    <d v="2022-12-23T00:00:00"/>
    <s v="+998"/>
    <x v="4"/>
    <s v="Узбекистан"/>
    <s v="Овчинникова"/>
    <s v=" Зоя"/>
    <s v="Вячеславовна"/>
  </r>
  <r>
    <n v="299"/>
    <s v="+380 254-333-6466"/>
    <s v="Одинцов Анисим Евсеевич"/>
    <x v="1"/>
    <d v="2022-04-15T00:00:00"/>
    <s v="+380"/>
    <x v="1"/>
    <s v="Украина"/>
    <s v="Одинцов"/>
    <s v=" Анисим"/>
    <s v="Евсеевич"/>
  </r>
  <r>
    <n v="242"/>
    <s v="+7 352-652-3977"/>
    <s v="Октябрина Павловна Зимина"/>
    <x v="1"/>
    <d v="2022-07-05T00:00:00"/>
    <s v="+7"/>
    <x v="0"/>
    <s v="Россия"/>
    <s v="Октябрина"/>
    <s v=" Павловна"/>
    <s v="Зимина"/>
  </r>
  <r>
    <n v="461"/>
    <s v="+998 087-023-3754"/>
    <s v="Олимпиада Львовна Михайлова"/>
    <x v="0"/>
    <d v="2022-04-16T00:00:00"/>
    <s v="+998"/>
    <x v="4"/>
    <s v="Узбекистан"/>
    <s v="Олимпиада"/>
    <s v=" Львовна"/>
    <s v="Михайлова"/>
  </r>
  <r>
    <n v="488"/>
    <s v="+375 477-336-9780"/>
    <s v="Ольга Аскольдовна Данилова"/>
    <x v="0"/>
    <d v="2022-06-26T00:00:00"/>
    <s v="+375"/>
    <x v="3"/>
    <s v="Беларусь"/>
    <s v="Ольга"/>
    <s v=" Аскольдовна"/>
    <s v="Данилова"/>
  </r>
  <r>
    <n v="370"/>
    <s v="+992 902-872-9763"/>
    <s v="Орехова Кира Натановна"/>
    <x v="0"/>
    <d v="2022-06-14T00:00:00"/>
    <s v="+992"/>
    <x v="2"/>
    <s v="Таджикистан"/>
    <s v="Орехова"/>
    <s v=" Кира"/>
    <s v="Натановна"/>
  </r>
  <r>
    <n v="335"/>
    <s v="+998 353-736-8172"/>
    <s v="Осипов Светозар Ефремович"/>
    <x v="1"/>
    <d v="2022-02-27T00:00:00"/>
    <s v="+998"/>
    <x v="4"/>
    <s v="Узбекистан"/>
    <s v="Осипов"/>
    <s v=" Светозар"/>
    <s v="Ефремович"/>
  </r>
  <r>
    <n v="150"/>
    <s v="+998 176-720-2162"/>
    <s v="Панова Евгения Викторовна"/>
    <x v="1"/>
    <d v="2022-03-02T00:00:00"/>
    <s v="+998"/>
    <x v="4"/>
    <s v="Узбекистан"/>
    <s v="Панова"/>
    <s v=" Евгения"/>
    <s v="Викторовна"/>
  </r>
  <r>
    <n v="42"/>
    <s v="+992 883-671-0611"/>
    <s v="Панфил Федотович Шаров"/>
    <x v="0"/>
    <d v="2022-08-10T00:00:00"/>
    <s v="+992"/>
    <x v="2"/>
    <s v="Таджикистан"/>
    <s v="Панфил"/>
    <s v=" Федотович"/>
    <s v="Шаров"/>
  </r>
  <r>
    <n v="402"/>
    <s v="+998 999-821-3025"/>
    <s v="Пахом Даниилович Кузьмин"/>
    <x v="0"/>
    <d v="2022-06-30T00:00:00"/>
    <s v="+998"/>
    <x v="4"/>
    <s v="Узбекистан"/>
    <s v="Пахом"/>
    <s v=" Даниилович"/>
    <s v="Кузьмин"/>
  </r>
  <r>
    <n v="56"/>
    <s v="+992 555-207-4186"/>
    <s v="Пелагея Антоновна Цветкова"/>
    <x v="1"/>
    <d v="2022-04-11T00:00:00"/>
    <s v="+992"/>
    <x v="2"/>
    <s v="Таджикистан"/>
    <s v="Пелагея"/>
    <s v=" Антоновна"/>
    <s v="Цветкова"/>
  </r>
  <r>
    <n v="449"/>
    <s v="+992 314-900-5858"/>
    <s v="Пестов Измаил Глебович"/>
    <x v="1"/>
    <d v="2022-03-25T00:00:00"/>
    <s v="+992"/>
    <x v="2"/>
    <s v="Таджикистан"/>
    <s v="Пестов"/>
    <s v=" Измаил"/>
    <s v="Глебович"/>
  </r>
  <r>
    <n v="196"/>
    <s v="+7 352-977-7374"/>
    <s v="Петрова Майя Богдановна"/>
    <x v="0"/>
    <d v="2022-10-01T00:00:00"/>
    <s v="+7"/>
    <x v="0"/>
    <s v="Россия"/>
    <s v="Петрова"/>
    <s v=" Майя"/>
    <s v="Богдановна"/>
  </r>
  <r>
    <n v="131"/>
    <s v="+7 899-265-0963"/>
    <s v="Полина Николаевна Евдокимова"/>
    <x v="0"/>
    <d v="2022-05-12T00:00:00"/>
    <s v="+7"/>
    <x v="0"/>
    <s v="Россия"/>
    <s v="Полина"/>
    <s v=" Николаевна"/>
    <s v="Евдокимова"/>
  </r>
  <r>
    <n v="318"/>
    <s v="+998 826-456-9884"/>
    <s v="Поляков Боян Андреевич"/>
    <x v="0"/>
    <d v="2022-11-27T00:00:00"/>
    <s v="+998"/>
    <x v="4"/>
    <s v="Узбекистан"/>
    <s v="Поляков"/>
    <s v=" Боян"/>
    <s v="Андреевич"/>
  </r>
  <r>
    <n v="306"/>
    <s v="+380 672-066-4140"/>
    <s v="Поляков Силантий Адамович"/>
    <x v="0"/>
    <d v="2022-11-07T00:00:00"/>
    <s v="+380"/>
    <x v="1"/>
    <s v="Украина"/>
    <s v="Поляков"/>
    <s v=" Силантий"/>
    <s v="Адамович"/>
  </r>
  <r>
    <n v="287"/>
    <s v="+7 752-341-5050"/>
    <s v="Полякова Анжела Аскольдовна"/>
    <x v="0"/>
    <d v="2022-02-16T00:00:00"/>
    <s v="+7"/>
    <x v="0"/>
    <s v="Россия"/>
    <s v="Полякова"/>
    <s v=" Анжела"/>
    <s v="Аскольдовна"/>
  </r>
  <r>
    <n v="485"/>
    <s v="+7 927-005-2176"/>
    <s v="Пономарев Творимир Демидович"/>
    <x v="1"/>
    <d v="2022-06-11T00:00:00"/>
    <s v="+7"/>
    <x v="0"/>
    <s v="Россия"/>
    <s v="Пономарев"/>
    <s v=" Творимир"/>
    <s v="Демидович"/>
  </r>
  <r>
    <n v="1"/>
    <s v="+7 945-211-9429"/>
    <s v="Потап Егорович Лапин"/>
    <x v="0"/>
    <d v="2022-01-24T00:00:00"/>
    <s v="+7"/>
    <x v="0"/>
    <s v="Россия"/>
    <s v="Потап"/>
    <s v=" Егорович"/>
    <s v="Лапин"/>
  </r>
  <r>
    <n v="438"/>
    <s v="+998 225-019-2493"/>
    <s v="Прасковья Петровна Дементьева"/>
    <x v="0"/>
    <d v="2022-05-12T00:00:00"/>
    <s v="+998"/>
    <x v="4"/>
    <s v="Узбекистан"/>
    <s v="Прасковья"/>
    <s v=" Петровна"/>
    <s v="Дементьева"/>
  </r>
  <r>
    <n v="323"/>
    <s v="+992 647-315-8824"/>
    <s v="Прасковья Яковлевна Белоусова"/>
    <x v="0"/>
    <d v="2022-09-17T00:00:00"/>
    <s v="+992"/>
    <x v="2"/>
    <s v="Таджикистан"/>
    <s v="Прасковья"/>
    <s v=" Яковлевна"/>
    <s v="Белоусова"/>
  </r>
  <r>
    <n v="114"/>
    <s v="+7 393-681-6723"/>
    <s v="Прокл Тимурович Александров"/>
    <x v="0"/>
    <d v="2022-11-24T00:00:00"/>
    <s v="+7"/>
    <x v="0"/>
    <s v="Россия"/>
    <s v="Прокл"/>
    <s v=" Тимурович"/>
    <s v="Александров"/>
  </r>
  <r>
    <n v="206"/>
    <s v="+7 916-678-5714"/>
    <s v="Радислав Герасимович Колобов"/>
    <x v="1"/>
    <d v="2022-01-07T00:00:00"/>
    <s v="+7"/>
    <x v="0"/>
    <s v="Россия"/>
    <s v="Радислав"/>
    <s v=" Герасимович"/>
    <s v="Колобов"/>
  </r>
  <r>
    <n v="381"/>
    <s v="+998 583-780-6740"/>
    <s v="Раиса Станиславовна Чернова"/>
    <x v="1"/>
    <d v="2022-06-02T00:00:00"/>
    <s v="+998"/>
    <x v="4"/>
    <s v="Узбекистан"/>
    <s v="Раиса"/>
    <s v=" Станиславовна"/>
    <s v="Чернова"/>
  </r>
  <r>
    <n v="330"/>
    <s v="+998 016-556-9015"/>
    <s v="Ратибор Андреевич Маслов"/>
    <x v="1"/>
    <d v="2022-09-11T00:00:00"/>
    <s v="+998"/>
    <x v="4"/>
    <s v="Узбекистан"/>
    <s v="Ратибор"/>
    <s v=" Андреевич"/>
    <s v="Маслов"/>
  </r>
  <r>
    <n v="64"/>
    <s v="+998 488-220-8790"/>
    <s v="Ратибор Арсеньевич Петров"/>
    <x v="0"/>
    <d v="2022-05-26T00:00:00"/>
    <s v="+998"/>
    <x v="4"/>
    <s v="Узбекистан"/>
    <s v="Ратибор"/>
    <s v=" Арсеньевич"/>
    <s v="Петров"/>
  </r>
  <r>
    <n v="134"/>
    <s v="+7 288-468-9287"/>
    <s v="Регина Кирилловна Нестерова"/>
    <x v="0"/>
    <d v="2022-07-11T00:00:00"/>
    <s v="+7"/>
    <x v="0"/>
    <s v="Россия"/>
    <s v="Регина"/>
    <s v=" Кирилловна"/>
    <s v="Нестерова"/>
  </r>
  <r>
    <n v="371"/>
    <s v="+380 616-238-3294"/>
    <s v="Регина Сергеевна Ефимова"/>
    <x v="1"/>
    <d v="2022-10-10T00:00:00"/>
    <s v="+380"/>
    <x v="1"/>
    <s v="Украина"/>
    <s v="Регина"/>
    <s v=" Сергеевна"/>
    <s v="Ефимова"/>
  </r>
  <r>
    <n v="328"/>
    <s v="+7 425-907-2619"/>
    <s v="Регина Сергеевна Чернова"/>
    <x v="0"/>
    <d v="2022-01-07T00:00:00"/>
    <s v="+7"/>
    <x v="0"/>
    <s v="Россия"/>
    <s v="Регина"/>
    <s v=" Сергеевна"/>
    <s v="Чернова"/>
  </r>
  <r>
    <n v="54"/>
    <s v="+375 824-010-1358"/>
    <s v="Рогов Сила Гордеевич"/>
    <x v="1"/>
    <d v="2022-10-13T00:00:00"/>
    <s v="+375"/>
    <x v="3"/>
    <s v="Беларусь"/>
    <s v="Рогов"/>
    <s v=" Сила"/>
    <s v="Гордеевич"/>
  </r>
  <r>
    <n v="185"/>
    <s v="+998 737-854-0193"/>
    <s v="Родион Яковлевич Коновалов"/>
    <x v="1"/>
    <d v="2022-05-02T00:00:00"/>
    <s v="+998"/>
    <x v="4"/>
    <s v="Узбекистан"/>
    <s v="Родион"/>
    <s v=" Яковлевич"/>
    <s v="Коновалов"/>
  </r>
  <r>
    <n v="364"/>
    <s v="+7 139-999-3338"/>
    <s v="Родионова Евпраксия Олеговна"/>
    <x v="0"/>
    <d v="2022-11-18T00:00:00"/>
    <s v="+7"/>
    <x v="0"/>
    <s v="Россия"/>
    <s v="Родионова"/>
    <s v=" Евпраксия"/>
    <s v="Олеговна"/>
  </r>
  <r>
    <n v="327"/>
    <s v="+992 257-520-2828"/>
    <s v="Рожкова Маргарита Артемовна"/>
    <x v="1"/>
    <d v="2022-01-04T00:00:00"/>
    <s v="+992"/>
    <x v="2"/>
    <s v="Таджикистан"/>
    <s v="Рожкова"/>
    <s v=" Маргарита"/>
    <s v="Артемовна"/>
  </r>
  <r>
    <n v="80"/>
    <s v="+375 515-558-2884"/>
    <s v="Рубен Димитриевич Веселов"/>
    <x v="1"/>
    <d v="2022-03-03T00:00:00"/>
    <s v="+375"/>
    <x v="3"/>
    <s v="Беларусь"/>
    <s v="Рубен"/>
    <s v=" Димитриевич"/>
    <s v="Веселов"/>
  </r>
  <r>
    <n v="172"/>
    <s v="+7 326-132-7435"/>
    <s v="Русаков Лев Тимурович"/>
    <x v="1"/>
    <d v="2022-06-25T00:00:00"/>
    <s v="+7"/>
    <x v="0"/>
    <s v="Россия"/>
    <s v="Русаков"/>
    <s v=" Лев"/>
    <s v="Тимурович"/>
  </r>
  <r>
    <n v="181"/>
    <s v="+380 921-086-4453"/>
    <s v="Русаков Модест Захарьевич"/>
    <x v="0"/>
    <d v="2022-01-07T00:00:00"/>
    <s v="+380"/>
    <x v="1"/>
    <s v="Украина"/>
    <s v="Русаков"/>
    <s v=" Модест"/>
    <s v="Захарьевич"/>
  </r>
  <r>
    <n v="470"/>
    <s v="+992 544-936-8109"/>
    <s v="Русакова Полина Михайловна"/>
    <x v="0"/>
    <d v="2022-05-09T00:00:00"/>
    <s v="+992"/>
    <x v="2"/>
    <s v="Таджикистан"/>
    <s v="Русакова"/>
    <s v=" Полина"/>
    <s v="Михайловна"/>
  </r>
  <r>
    <n v="278"/>
    <s v="+998 276-111-5039"/>
    <s v="Савватий Богданович Фролов"/>
    <x v="1"/>
    <d v="2022-12-25T00:00:00"/>
    <s v="+998"/>
    <x v="4"/>
    <s v="Узбекистан"/>
    <s v="Савватий"/>
    <s v=" Богданович"/>
    <s v="Фролов"/>
  </r>
  <r>
    <n v="312"/>
    <s v="+7 844-239-9142"/>
    <s v="Савельев Климент Гурьевич"/>
    <x v="0"/>
    <d v="2022-11-21T00:00:00"/>
    <s v="+7"/>
    <x v="0"/>
    <s v="Россия"/>
    <s v="Савельев"/>
    <s v=" Климент"/>
    <s v="Гурьевич"/>
  </r>
  <r>
    <n v="202"/>
    <s v="+375 840-221-8767"/>
    <s v="Сазонова Оксана Александровна"/>
    <x v="1"/>
    <d v="2022-07-24T00:00:00"/>
    <s v="+375"/>
    <x v="3"/>
    <s v="Беларусь"/>
    <s v="Сазонова"/>
    <s v=" Оксана"/>
    <s v="Александровна"/>
  </r>
  <r>
    <n v="65"/>
    <s v="+380 264-466-6372"/>
    <s v="Самойлова Жанна Семеновна"/>
    <x v="1"/>
    <d v="2022-03-03T00:00:00"/>
    <s v="+380"/>
    <x v="1"/>
    <s v="Украина"/>
    <s v="Самойлова"/>
    <s v=" Жанна"/>
    <s v="Семеновна"/>
  </r>
  <r>
    <n v="229"/>
    <s v="+375 079-578-9874"/>
    <s v="Самойлова Татьяна Эльдаровна"/>
    <x v="1"/>
    <d v="2022-07-24T00:00:00"/>
    <s v="+375"/>
    <x v="3"/>
    <s v="Беларусь"/>
    <s v="Самойлова"/>
    <s v=" Татьяна"/>
    <s v="Эльдаровна"/>
  </r>
  <r>
    <n v="168"/>
    <s v="+998 113-461-2855"/>
    <s v="Самсонов Борислав Фролович"/>
    <x v="0"/>
    <d v="2022-05-25T00:00:00"/>
    <s v="+998"/>
    <x v="4"/>
    <s v="Узбекистан"/>
    <s v="Самсонов"/>
    <s v=" Борислав"/>
    <s v="Фролович"/>
  </r>
  <r>
    <n v="450"/>
    <s v="+7 038-725-7867"/>
    <s v="Самуил Зиновьевич Фокин"/>
    <x v="0"/>
    <d v="2022-02-27T00:00:00"/>
    <s v="+7"/>
    <x v="0"/>
    <s v="Россия"/>
    <s v="Самуил"/>
    <s v=" Зиновьевич"/>
    <s v="Фокин"/>
  </r>
  <r>
    <n v="282"/>
    <s v="+998 782-759-1031"/>
    <s v="Светлана Семеновна Николаева"/>
    <x v="0"/>
    <d v="2022-06-23T00:00:00"/>
    <s v="+998"/>
    <x v="4"/>
    <s v="Узбекистан"/>
    <s v="Светлана"/>
    <s v=" Семеновна"/>
    <s v="Николаева"/>
  </r>
  <r>
    <n v="103"/>
    <s v="+998 833-068-3629"/>
    <s v="Сергеев Панкратий Теймуразович"/>
    <x v="0"/>
    <d v="2022-08-14T00:00:00"/>
    <s v="+998"/>
    <x v="4"/>
    <s v="Узбекистан"/>
    <s v="Сергеев"/>
    <s v=" Панкратий"/>
    <s v="Теймуразович"/>
  </r>
  <r>
    <n v="487"/>
    <s v="+7 263-859-8875"/>
    <s v="Сидор Вячеславович Зиновьев"/>
    <x v="0"/>
    <d v="2022-09-11T00:00:00"/>
    <s v="+7"/>
    <x v="0"/>
    <s v="Россия"/>
    <s v="Сидор"/>
    <s v=" Вячеславович"/>
    <s v="Зиновьев"/>
  </r>
  <r>
    <n v="194"/>
    <s v="+7 273-904-5457"/>
    <s v="Сила Денисович Гурьев"/>
    <x v="0"/>
    <d v="2022-12-29T00:00:00"/>
    <s v="+7"/>
    <x v="0"/>
    <s v="Россия"/>
    <s v="Сила"/>
    <s v=" Денисович"/>
    <s v="Гурьев"/>
  </r>
  <r>
    <n v="11"/>
    <s v="+992 372-939-7775"/>
    <s v="Силин Антип Ильясович"/>
    <x v="1"/>
    <d v="2022-05-09T00:00:00"/>
    <s v="+992"/>
    <x v="2"/>
    <s v="Таджикистан"/>
    <s v="Силин"/>
    <s v=" Антип"/>
    <s v="Ильясович"/>
  </r>
  <r>
    <n v="441"/>
    <s v="+998 286-143-0624"/>
    <s v="Силина Татьяна Аркадьевна"/>
    <x v="1"/>
    <d v="2022-11-02T00:00:00"/>
    <s v="+998"/>
    <x v="4"/>
    <s v="Узбекистан"/>
    <s v="Силина"/>
    <s v=" Татьяна"/>
    <s v="Аркадьевна"/>
  </r>
  <r>
    <n v="233"/>
    <s v="+992 013-075-6493"/>
    <s v="Синклитикия Никифоровна Овчинникова"/>
    <x v="0"/>
    <d v="2022-02-24T00:00:00"/>
    <s v="+992"/>
    <x v="2"/>
    <s v="Таджикистан"/>
    <s v="Синклитикия"/>
    <s v=" Никифоровна"/>
    <s v="Овчинникова"/>
  </r>
  <r>
    <n v="379"/>
    <s v="+992 471-072-5643"/>
    <s v="Соколова Кира Дмитриевна"/>
    <x v="1"/>
    <d v="2022-01-20T00:00:00"/>
    <s v="+992"/>
    <x v="2"/>
    <s v="Таджикистан"/>
    <s v="Соколова"/>
    <s v=" Кира"/>
    <s v="Дмитриевна"/>
  </r>
  <r>
    <n v="378"/>
    <s v="+7 322-351-7967"/>
    <s v="Сократ Юльевич Афанасьев"/>
    <x v="1"/>
    <d v="2022-05-29T00:00:00"/>
    <s v="+7"/>
    <x v="0"/>
    <s v="Россия"/>
    <s v="Сократ"/>
    <s v=" Юльевич"/>
    <s v="Афанасьев"/>
  </r>
  <r>
    <n v="162"/>
    <s v="+992 086-931-5836"/>
    <s v="Соловьев Родион Данилович"/>
    <x v="1"/>
    <d v="2022-03-19T00:00:00"/>
    <s v="+992"/>
    <x v="2"/>
    <s v="Таджикистан"/>
    <s v="Соловьев"/>
    <s v=" Родион"/>
    <s v="Данилович"/>
  </r>
  <r>
    <n v="304"/>
    <s v="+7 891-832-3772"/>
    <s v="Сорокина Марфа Викторовна"/>
    <x v="1"/>
    <d v="2022-11-21T00:00:00"/>
    <s v="+7"/>
    <x v="0"/>
    <s v="Россия"/>
    <s v="Сорокина"/>
    <s v=" Марфа"/>
    <s v="Викторовна"/>
  </r>
  <r>
    <n v="274"/>
    <s v="+7 264-686-5607"/>
    <s v="Сорокина Феврония Геннадьевна"/>
    <x v="0"/>
    <d v="2022-02-15T00:00:00"/>
    <s v="+7"/>
    <x v="0"/>
    <s v="Россия"/>
    <s v="Сорокина"/>
    <s v=" Феврония"/>
    <s v="Геннадьевна"/>
  </r>
  <r>
    <n v="363"/>
    <s v="+998 607-517-9439"/>
    <s v="Сорокина Феврония Натановна"/>
    <x v="1"/>
    <d v="2022-04-24T00:00:00"/>
    <s v="+998"/>
    <x v="4"/>
    <s v="Узбекистан"/>
    <s v="Сорокина"/>
    <s v=" Феврония"/>
    <s v="Натановна"/>
  </r>
  <r>
    <n v="411"/>
    <s v="+992 587-542-2147"/>
    <s v="Спиридон Владленович Воронцов"/>
    <x v="1"/>
    <d v="2022-04-22T00:00:00"/>
    <s v="+992"/>
    <x v="2"/>
    <s v="Таджикистан"/>
    <s v="Спиридон"/>
    <s v=" Владленович"/>
    <s v="Воронцов"/>
  </r>
  <r>
    <n v="49"/>
    <s v="+992 750-248-5649"/>
    <s v="Спиридон Чеславович Абрамов"/>
    <x v="0"/>
    <d v="2022-04-21T00:00:00"/>
    <s v="+992"/>
    <x v="2"/>
    <s v="Таджикистан"/>
    <s v="Спиридон"/>
    <s v=" Чеславович"/>
    <s v="Абрамов"/>
  </r>
  <r>
    <n v="135"/>
    <s v="+7 402-873-2919"/>
    <s v="Станислав Ильясович Ширяев"/>
    <x v="0"/>
    <d v="2022-02-10T00:00:00"/>
    <s v="+7"/>
    <x v="0"/>
    <s v="Россия"/>
    <s v="Станислав"/>
    <s v=" Ильясович"/>
    <s v="Ширяев"/>
  </r>
  <r>
    <n v="385"/>
    <s v="+380 030-761-0677"/>
    <s v="Стрелков Геннадий Бориславович"/>
    <x v="1"/>
    <d v="2022-07-11T00:00:00"/>
    <s v="+380"/>
    <x v="1"/>
    <s v="Украина"/>
    <s v="Стрелков"/>
    <s v=" Геннадий"/>
    <s v="Бориславович"/>
  </r>
  <r>
    <n v="91"/>
    <s v="+7 289-019-1718"/>
    <s v="Стрелкова Наина Эдуардовна"/>
    <x v="1"/>
    <d v="2022-05-06T00:00:00"/>
    <s v="+7"/>
    <x v="0"/>
    <s v="Россия"/>
    <s v="Стрелкова"/>
    <s v=" Наина"/>
    <s v="Эдуардовна"/>
  </r>
  <r>
    <n v="203"/>
    <s v="+7 466-253-9021"/>
    <s v="Суханов Станислав Архипович"/>
    <x v="1"/>
    <d v="2022-05-04T00:00:00"/>
    <s v="+7"/>
    <x v="0"/>
    <s v="Россия"/>
    <s v="Суханов"/>
    <s v=" Станислав"/>
    <s v="Архипович"/>
  </r>
  <r>
    <n v="322"/>
    <s v="+380 459-176-1508"/>
    <s v="Суханова Алла Эльдаровна"/>
    <x v="0"/>
    <d v="2022-11-21T00:00:00"/>
    <s v="+380"/>
    <x v="1"/>
    <s v="Украина"/>
    <s v="Суханова"/>
    <s v=" Алла"/>
    <s v="Эльдаровна"/>
  </r>
  <r>
    <n v="121"/>
    <s v="+7 925-005-3361"/>
    <s v="Сысоева Светлана Захаровна"/>
    <x v="0"/>
    <d v="2022-07-21T00:00:00"/>
    <s v="+7"/>
    <x v="0"/>
    <s v="Россия"/>
    <s v="Сысоева"/>
    <s v=" Светлана"/>
    <s v="Захаровна"/>
  </r>
  <r>
    <n v="106"/>
    <s v="+380 086-392-5406"/>
    <s v="Таисия Богдановна Якушева"/>
    <x v="0"/>
    <d v="2022-10-24T00:00:00"/>
    <s v="+380"/>
    <x v="1"/>
    <s v="Украина"/>
    <s v="Таисия"/>
    <s v=" Богдановна"/>
    <s v="Якушева"/>
  </r>
  <r>
    <n v="140"/>
    <s v="+7 093-201-9949"/>
    <s v="Татьяна Михайловна Новикова"/>
    <x v="0"/>
    <d v="2022-03-07T00:00:00"/>
    <s v="+7"/>
    <x v="0"/>
    <s v="Россия"/>
    <s v="Татьяна"/>
    <s v=" Михайловна"/>
    <s v="Новикова"/>
  </r>
  <r>
    <n v="31"/>
    <s v="+380 250-699-1873"/>
    <s v="Татьяна Павловна Павлова"/>
    <x v="1"/>
    <d v="2022-01-19T00:00:00"/>
    <s v="+380"/>
    <x v="1"/>
    <s v="Украина"/>
    <s v="Татьяна"/>
    <s v=" Павловна"/>
    <s v="Павлова"/>
  </r>
  <r>
    <n v="482"/>
    <s v="+380 958-231-6305"/>
    <s v="Творимир Артурович Гришин"/>
    <x v="1"/>
    <d v="2022-04-28T00:00:00"/>
    <s v="+380"/>
    <x v="1"/>
    <s v="Украина"/>
    <s v="Творимир"/>
    <s v=" Артурович"/>
    <s v="Гришин"/>
  </r>
  <r>
    <n v="292"/>
    <s v="+7 421-153-6302"/>
    <s v="Тимофеев Аполлинарий Фомич"/>
    <x v="1"/>
    <d v="2022-02-16T00:00:00"/>
    <s v="+7"/>
    <x v="0"/>
    <s v="Россия"/>
    <s v="Тимофеев"/>
    <s v=" Аполлинарий"/>
    <s v="Фомич"/>
  </r>
  <r>
    <n v="388"/>
    <s v="+7 892-625-6649"/>
    <s v="Тимофеева Анастасия Натановна"/>
    <x v="0"/>
    <d v="2022-01-20T00:00:00"/>
    <s v="+7"/>
    <x v="0"/>
    <s v="Россия"/>
    <s v="Тимофеева"/>
    <s v=" Анастасия"/>
    <s v="Натановна"/>
  </r>
  <r>
    <n v="260"/>
    <s v="+380 533-078-8885"/>
    <s v="Титова Ксения Дмитриевна"/>
    <x v="0"/>
    <d v="2022-06-17T00:00:00"/>
    <s v="+380"/>
    <x v="1"/>
    <s v="Украина"/>
    <s v="Титова"/>
    <s v=" Ксения"/>
    <s v="Дмитриевна"/>
  </r>
  <r>
    <n v="420"/>
    <s v="+380 992-850-2292"/>
    <s v="Тихонова Евфросиния Феликсовна"/>
    <x v="1"/>
    <d v="2022-05-17T00:00:00"/>
    <s v="+380"/>
    <x v="1"/>
    <s v="Украина"/>
    <s v="Тихонова"/>
    <s v=" Евфросиния"/>
    <s v="Феликсовна"/>
  </r>
  <r>
    <n v="435"/>
    <s v="+998 946-408-1930"/>
    <s v="Тихонова Ираида Ефимовна"/>
    <x v="1"/>
    <d v="2022-02-26T00:00:00"/>
    <s v="+998"/>
    <x v="4"/>
    <s v="Узбекистан"/>
    <s v="Тихонова"/>
    <s v=" Ираида"/>
    <s v="Ефимовна"/>
  </r>
  <r>
    <n v="126"/>
    <s v="+998 880-147-7505"/>
    <s v="тов. Копылова Жанна Архиповна"/>
    <x v="0"/>
    <d v="2022-09-18T00:00:00"/>
    <s v="+998"/>
    <x v="4"/>
    <s v="Узбекистан"/>
    <s v="тов."/>
    <s v=" Копылова"/>
    <s v="Жанна Архиповна"/>
  </r>
  <r>
    <n v="46"/>
    <s v="+992 891-393-2973"/>
    <s v="тов. Степанова Синклитикия Александровна"/>
    <x v="0"/>
    <d v="2022-03-16T00:00:00"/>
    <s v="+992"/>
    <x v="2"/>
    <s v="Таджикистан"/>
    <s v="тов."/>
    <s v=" Степанова"/>
    <s v="Синклитикия Александровна"/>
  </r>
  <r>
    <n v="298"/>
    <s v="+380 349-100-4938"/>
    <s v="Трофимова Василиса Матвеевна"/>
    <x v="0"/>
    <d v="2022-09-17T00:00:00"/>
    <s v="+380"/>
    <x v="1"/>
    <s v="Украина"/>
    <s v="Трофимова"/>
    <s v=" Василиса"/>
    <s v="Матвеевна"/>
  </r>
  <r>
    <n v="192"/>
    <s v="+7 572-970-7703"/>
    <s v="Устинов Евграф Исидорович"/>
    <x v="0"/>
    <d v="2022-01-11T00:00:00"/>
    <s v="+7"/>
    <x v="0"/>
    <s v="Россия"/>
    <s v="Устинов"/>
    <s v=" Евграф"/>
    <s v="Исидорович"/>
  </r>
  <r>
    <n v="9"/>
    <s v="+992 442-185-5422"/>
    <s v="Устинов Милан Архипович"/>
    <x v="0"/>
    <d v="2022-12-05T00:00:00"/>
    <s v="+992"/>
    <x v="2"/>
    <s v="Таджикистан"/>
    <s v="Устинов"/>
    <s v=" Милан"/>
    <s v="Архипович"/>
  </r>
  <r>
    <n v="315"/>
    <s v="+998 469-847-6587"/>
    <s v="Фадей Ефимович Калинин"/>
    <x v="0"/>
    <d v="2022-07-05T00:00:00"/>
    <s v="+998"/>
    <x v="4"/>
    <s v="Узбекистан"/>
    <s v="Фадей"/>
    <s v=" Ефимович"/>
    <s v="Калинин"/>
  </r>
  <r>
    <n v="403"/>
    <s v="+7 762-296-2673"/>
    <s v="Фаина Аркадьевна Веселова"/>
    <x v="1"/>
    <d v="2022-02-02T00:00:00"/>
    <s v="+7"/>
    <x v="0"/>
    <s v="Россия"/>
    <s v="Фаина"/>
    <s v=" Аркадьевна"/>
    <s v="Веселова"/>
  </r>
  <r>
    <n v="148"/>
    <s v="+7 730-745-5768"/>
    <s v="Феврония Антоновна Кулагина"/>
    <x v="0"/>
    <d v="2022-05-19T00:00:00"/>
    <s v="+7"/>
    <x v="0"/>
    <s v="Россия"/>
    <s v="Феврония"/>
    <s v=" Антоновна"/>
    <s v="Кулагина"/>
  </r>
  <r>
    <n v="245"/>
    <s v="+998 301-225-3693"/>
    <s v="Феврония Юрьевна Шубина"/>
    <x v="1"/>
    <d v="2022-05-14T00:00:00"/>
    <s v="+998"/>
    <x v="4"/>
    <s v="Узбекистан"/>
    <s v="Феврония"/>
    <s v=" Юрьевна"/>
    <s v="Шубина"/>
  </r>
  <r>
    <n v="361"/>
    <s v="+998 197-437-6957"/>
    <s v="Федорова Жанна Вадимовна"/>
    <x v="0"/>
    <d v="2022-09-27T00:00:00"/>
    <s v="+998"/>
    <x v="4"/>
    <s v="Узбекистан"/>
    <s v="Федорова"/>
    <s v=" Жанна"/>
    <s v="Вадимовна"/>
  </r>
  <r>
    <n v="76"/>
    <s v="+375 081-974-3402"/>
    <s v="Федосеева Василиса Аскольдовна"/>
    <x v="0"/>
    <d v="2022-01-14T00:00:00"/>
    <s v="+375"/>
    <x v="3"/>
    <s v="Беларусь"/>
    <s v="Федосеева"/>
    <s v=" Василиса"/>
    <s v="Аскольдовна"/>
  </r>
  <r>
    <n v="334"/>
    <s v="+380 276-157-8458"/>
    <s v="Федотов Радислав Антонович"/>
    <x v="1"/>
    <d v="2022-11-16T00:00:00"/>
    <s v="+380"/>
    <x v="1"/>
    <s v="Украина"/>
    <s v="Федотов"/>
    <s v=" Радислав"/>
    <s v="Антонович"/>
  </r>
  <r>
    <n v="313"/>
    <s v="+998 801-433-5842"/>
    <s v="Федотова Ангелина Максимовна"/>
    <x v="0"/>
    <d v="2022-12-01T00:00:00"/>
    <s v="+998"/>
    <x v="4"/>
    <s v="Узбекистан"/>
    <s v="Федотова"/>
    <s v=" Ангелина"/>
    <s v="Максимовна"/>
  </r>
  <r>
    <n v="369"/>
    <s v="+7 894-629-6946"/>
    <s v="Фёкла Натановна Дементьева"/>
    <x v="0"/>
    <d v="2022-04-27T00:00:00"/>
    <s v="+7"/>
    <x v="0"/>
    <s v="Россия"/>
    <s v="Фёкла"/>
    <s v=" Натановна"/>
    <s v="Дементьева"/>
  </r>
  <r>
    <n v="342"/>
    <s v="+992 928-516-3980"/>
    <s v="Фёкла Феликсовна Харитонова"/>
    <x v="0"/>
    <d v="2022-01-09T00:00:00"/>
    <s v="+992"/>
    <x v="2"/>
    <s v="Таджикистан"/>
    <s v="Фёкла"/>
    <s v=" Феликсовна"/>
    <s v="Харитонова"/>
  </r>
  <r>
    <n v="492"/>
    <s v="+380 537-432-3099"/>
    <s v="Феликс Ааронович Яковлев"/>
    <x v="0"/>
    <d v="2022-05-07T00:00:00"/>
    <s v="+380"/>
    <x v="1"/>
    <s v="Украина"/>
    <s v="Феликс"/>
    <s v=" Ааронович"/>
    <s v="Яковлев"/>
  </r>
  <r>
    <n v="310"/>
    <s v="+992 349-223-5769"/>
    <s v="Феофан Гурьевич Дорофеев"/>
    <x v="1"/>
    <d v="2022-09-03T00:00:00"/>
    <s v="+992"/>
    <x v="2"/>
    <s v="Таджикистан"/>
    <s v="Феофан"/>
    <s v=" Гурьевич"/>
    <s v="Дорофеев"/>
  </r>
  <r>
    <n v="255"/>
    <s v="+380 403-818-2198"/>
    <s v="Филимон Ефимьевич Беляков"/>
    <x v="0"/>
    <d v="2022-08-20T00:00:00"/>
    <s v="+380"/>
    <x v="1"/>
    <s v="Украина"/>
    <s v="Филимон"/>
    <s v=" Ефимьевич"/>
    <s v="Беляков"/>
  </r>
  <r>
    <n v="164"/>
    <s v="+7 297-169-3756"/>
    <s v="Филимон Федотович Иванов"/>
    <x v="1"/>
    <d v="2022-04-27T00:00:00"/>
    <s v="+7"/>
    <x v="0"/>
    <s v="Россия"/>
    <s v="Филимон"/>
    <s v=" Федотович"/>
    <s v="Иванов"/>
  </r>
  <r>
    <n v="247"/>
    <s v="+998 153-345-5047"/>
    <s v="Филиппов Павел Игнатович"/>
    <x v="0"/>
    <d v="2022-07-20T00:00:00"/>
    <s v="+998"/>
    <x v="4"/>
    <s v="Узбекистан"/>
    <s v="Филиппов"/>
    <s v=" Павел"/>
    <s v="Игнатович"/>
  </r>
  <r>
    <n v="145"/>
    <s v="+380 088-024-3161"/>
    <s v="Филиппова Юлия Леоновна"/>
    <x v="1"/>
    <d v="2022-04-02T00:00:00"/>
    <s v="+380"/>
    <x v="1"/>
    <s v="Украина"/>
    <s v="Филиппова"/>
    <s v=" Юлия"/>
    <s v="Леоновна"/>
  </r>
  <r>
    <n v="186"/>
    <s v="+375 389-470-8585"/>
    <s v="Флорентин Демьянович Родионов"/>
    <x v="1"/>
    <d v="2022-12-19T00:00:00"/>
    <s v="+375"/>
    <x v="3"/>
    <s v="Беларусь"/>
    <s v="Флорентин"/>
    <s v=" Демьянович"/>
    <s v="Родионов"/>
  </r>
  <r>
    <n v="77"/>
    <s v="+7 296-302-4718"/>
    <s v="Фокин Глеб Елизарович"/>
    <x v="1"/>
    <d v="2022-03-24T00:00:00"/>
    <s v="+7"/>
    <x v="0"/>
    <s v="Россия"/>
    <s v="Фокин"/>
    <s v=" Глеб"/>
    <s v="Елизарович"/>
  </r>
  <r>
    <n v="72"/>
    <s v="+992 226-423-7263"/>
    <s v="Фомина Антонина Павловна"/>
    <x v="0"/>
    <d v="2022-12-11T00:00:00"/>
    <s v="+992"/>
    <x v="2"/>
    <s v="Таджикистан"/>
    <s v="Фомина"/>
    <s v=" Антонина"/>
    <s v="Павловна"/>
  </r>
  <r>
    <n v="217"/>
    <s v="+7 322-163-7549"/>
    <s v="Фомичев Ипполит Артурович"/>
    <x v="1"/>
    <d v="2022-09-22T00:00:00"/>
    <s v="+7"/>
    <x v="0"/>
    <s v="Россия"/>
    <s v="Фомичев"/>
    <s v=" Ипполит"/>
    <s v="Артурович"/>
  </r>
  <r>
    <n v="33"/>
    <s v="+7 724-347-2918"/>
    <s v="Фомичева Феврония Даниловна"/>
    <x v="1"/>
    <d v="2022-06-18T00:00:00"/>
    <s v="+7"/>
    <x v="0"/>
    <s v="Россия"/>
    <s v="Фомичева"/>
    <s v=" Феврония"/>
    <s v="Даниловна"/>
  </r>
  <r>
    <n v="472"/>
    <s v="+380 435-435-7454"/>
    <s v="Фрол Авдеевич Фадеев"/>
    <x v="1"/>
    <d v="2022-12-06T00:00:00"/>
    <s v="+380"/>
    <x v="1"/>
    <s v="Украина"/>
    <s v="Фрол"/>
    <s v=" Авдеевич"/>
    <s v="Фадеев"/>
  </r>
  <r>
    <n v="188"/>
    <s v="+992 000-000-7415"/>
    <s v="Харлампий Демьянович Алексеев"/>
    <x v="1"/>
    <d v="2022-08-28T00:00:00"/>
    <s v="+992"/>
    <x v="2"/>
    <s v="Таджикистан"/>
    <s v="Харлампий"/>
    <s v=" Демьянович"/>
    <s v="Алексеев"/>
  </r>
  <r>
    <n v="434"/>
    <s v="+380 705-295-2201"/>
    <s v="Христофор Авдеевич Щукин"/>
    <x v="1"/>
    <d v="2022-06-18T00:00:00"/>
    <s v="+380"/>
    <x v="1"/>
    <s v="Украина"/>
    <s v="Христофор"/>
    <s v=" Авдеевич"/>
    <s v="Щукин"/>
  </r>
  <r>
    <n v="429"/>
    <s v="+992 266-513-0456"/>
    <s v="Цветков Лука Витальевич"/>
    <x v="0"/>
    <d v="2022-03-05T00:00:00"/>
    <s v="+992"/>
    <x v="2"/>
    <s v="Таджикистан"/>
    <s v="Цветков"/>
    <s v=" Лука"/>
    <s v="Витальевич"/>
  </r>
  <r>
    <n v="452"/>
    <s v="+7 356-385-2881"/>
    <s v="Чеслав Бориславович Мамонтов"/>
    <x v="0"/>
    <d v="2022-07-27T00:00:00"/>
    <s v="+7"/>
    <x v="0"/>
    <s v="Россия"/>
    <s v="Чеслав"/>
    <s v=" Бориславович"/>
    <s v="Мамонтов"/>
  </r>
  <r>
    <n v="303"/>
    <s v="+998 222-956-9780"/>
    <s v="Чеслав Виленович Шестаков"/>
    <x v="1"/>
    <d v="2022-05-08T00:00:00"/>
    <s v="+998"/>
    <x v="4"/>
    <s v="Узбекистан"/>
    <s v="Чеслав"/>
    <s v=" Виленович"/>
    <s v="Шестаков"/>
  </r>
  <r>
    <n v="478"/>
    <s v="+380 260-756-9533"/>
    <s v="Шарова Екатерина Леоновна"/>
    <x v="1"/>
    <d v="2022-06-14T00:00:00"/>
    <s v="+380"/>
    <x v="1"/>
    <s v="Украина"/>
    <s v="Шарова"/>
    <s v=" Екатерина"/>
    <s v="Леоновна"/>
  </r>
  <r>
    <n v="263"/>
    <s v="+992 980-571-8150"/>
    <s v="Шестакова Элеонора Дмитриевна"/>
    <x v="0"/>
    <d v="2022-02-20T00:00:00"/>
    <s v="+992"/>
    <x v="2"/>
    <s v="Таджикистан"/>
    <s v="Шестакова"/>
    <s v=" Элеонора"/>
    <s v="Дмитриевна"/>
  </r>
  <r>
    <n v="19"/>
    <s v="+7 069-852-7793"/>
    <s v="Шубин Орест Августович"/>
    <x v="0"/>
    <d v="2022-12-07T00:00:00"/>
    <s v="+7"/>
    <x v="0"/>
    <s v="Россия"/>
    <s v="Шубин"/>
    <s v=" Орест"/>
    <s v="Августович"/>
  </r>
  <r>
    <n v="351"/>
    <s v="+7 885-064-8776"/>
    <s v="Щукина Элеонора Робертовна"/>
    <x v="0"/>
    <d v="2022-10-29T00:00:00"/>
    <s v="+7"/>
    <x v="0"/>
    <s v="Россия"/>
    <s v="Щукина"/>
    <s v=" Элеонора"/>
    <s v="Робертовна"/>
  </r>
  <r>
    <n v="372"/>
    <s v="+992 841-082-9227"/>
    <s v="Эдуард Фадеевич Сергеев"/>
    <x v="1"/>
    <d v="2022-07-30T00:00:00"/>
    <s v="+992"/>
    <x v="2"/>
    <s v="Таджикистан"/>
    <s v="Эдуард"/>
    <s v=" Фадеевич"/>
    <s v="Сергеев"/>
  </r>
  <r>
    <n v="160"/>
    <s v="+998 084-412-0746"/>
    <s v="Элеонора Ивановна Королева"/>
    <x v="0"/>
    <d v="2022-03-29T00:00:00"/>
    <s v="+998"/>
    <x v="4"/>
    <s v="Узбекистан"/>
    <s v="Элеонора"/>
    <s v=" Ивановна"/>
    <s v="Королева"/>
  </r>
  <r>
    <n v="6"/>
    <s v="+380 017-252-3368"/>
    <s v="Эмилия Болеславовна Цветкова"/>
    <x v="1"/>
    <d v="2022-05-29T00:00:00"/>
    <s v="+380"/>
    <x v="1"/>
    <s v="Украина"/>
    <s v="Эмилия"/>
    <s v=" Болеславовна"/>
    <s v="Цветкова"/>
  </r>
  <r>
    <n v="367"/>
    <s v="+992 353-055-1290"/>
    <s v="Эмилия Вадимовна Александрова"/>
    <x v="1"/>
    <d v="2022-11-02T00:00:00"/>
    <s v="+992"/>
    <x v="2"/>
    <s v="Таджикистан"/>
    <s v="Эмилия"/>
    <s v=" Вадимовна"/>
    <s v="Александрова"/>
  </r>
  <r>
    <n v="111"/>
    <s v="+998 827-959-0308"/>
    <s v="Эмилия Олеговна Калинина"/>
    <x v="0"/>
    <d v="2022-08-31T00:00:00"/>
    <s v="+998"/>
    <x v="4"/>
    <s v="Узбекистан"/>
    <s v="Эмилия"/>
    <s v=" Олеговна"/>
    <s v="Калинина"/>
  </r>
  <r>
    <n v="222"/>
    <s v="+380 424-152-2316"/>
    <s v="Эмилия Руслановна Шарапова"/>
    <x v="0"/>
    <d v="2022-05-13T00:00:00"/>
    <s v="+380"/>
    <x v="1"/>
    <s v="Украина"/>
    <s v="Эмилия"/>
    <s v=" Руслановна"/>
    <s v="Шарапова"/>
  </r>
  <r>
    <n v="392"/>
    <s v="+7 894-900-2879"/>
    <s v="Эммануил Ааронович Кошелев"/>
    <x v="1"/>
    <d v="2022-12-24T00:00:00"/>
    <s v="+7"/>
    <x v="0"/>
    <s v="Россия"/>
    <s v="Эммануил"/>
    <s v=" Ааронович"/>
    <s v="Кошелев"/>
  </r>
  <r>
    <n v="70"/>
    <s v="+380 350-189-8989"/>
    <s v="Эммануил Валерьевич Королев"/>
    <x v="0"/>
    <d v="2022-01-30T00:00:00"/>
    <s v="+380"/>
    <x v="1"/>
    <s v="Украина"/>
    <s v="Эммануил"/>
    <s v=" Валерьевич"/>
    <s v="Королев"/>
  </r>
  <r>
    <n v="208"/>
    <s v="+380 004-121-0383"/>
    <s v="Эммануил Филимонович Захаров"/>
    <x v="1"/>
    <d v="2022-06-24T00:00:00"/>
    <s v="+380"/>
    <x v="1"/>
    <s v="Украина"/>
    <s v="Эммануил"/>
    <s v=" Филимонович"/>
    <s v="Захаров"/>
  </r>
  <r>
    <n v="408"/>
    <s v="+7 630-977-5834"/>
    <s v="Юлия Вячеславовна Журавлева"/>
    <x v="1"/>
    <d v="2022-10-23T00:00:00"/>
    <s v="+7"/>
    <x v="0"/>
    <s v="Россия"/>
    <s v="Юлия"/>
    <s v=" Вячеславовна"/>
    <s v="Журавлева"/>
  </r>
  <r>
    <n v="187"/>
    <s v="+7 304-758-2488"/>
    <s v="Юлия Геннадиевна Белякова"/>
    <x v="0"/>
    <d v="2022-10-14T00:00:00"/>
    <s v="+7"/>
    <x v="0"/>
    <s v="Россия"/>
    <s v="Юлия"/>
    <s v=" Геннадиевна"/>
    <s v="Белякова"/>
  </r>
  <r>
    <n v="480"/>
    <s v="+998 697-530-0958"/>
    <s v="Юлия Кузьминична Капустина"/>
    <x v="0"/>
    <d v="2022-01-07T00:00:00"/>
    <s v="+998"/>
    <x v="4"/>
    <s v="Узбекистан"/>
    <s v="Юлия"/>
    <s v=" Кузьминична"/>
    <s v="Капустина"/>
  </r>
  <r>
    <n v="414"/>
    <s v="+375 435-951-1995"/>
    <s v="Юлия Леоновна Наумова"/>
    <x v="1"/>
    <d v="2022-08-21T00:00:00"/>
    <s v="+375"/>
    <x v="3"/>
    <s v="Беларусь"/>
    <s v="Юлия"/>
    <s v=" Леоновна"/>
    <s v="Наумова"/>
  </r>
  <r>
    <n v="62"/>
    <s v="+7 487-712-2137"/>
    <s v="Юрий Августович Исаков"/>
    <x v="1"/>
    <d v="2022-04-20T00:00:00"/>
    <s v="+7"/>
    <x v="0"/>
    <s v="Россия"/>
    <s v="Юрий"/>
    <s v=" Августович"/>
    <s v="Исаков"/>
  </r>
  <r>
    <n v="499"/>
    <s v="+375 877-885-2826"/>
    <s v="Якуб Филатович Молчанов"/>
    <x v="0"/>
    <d v="2022-08-25T00:00:00"/>
    <s v="+375"/>
    <x v="3"/>
    <s v="Беларусь"/>
    <s v="Якуб"/>
    <s v=" Филатович"/>
    <s v="Молчанов"/>
  </r>
  <r>
    <n v="395"/>
    <s v="+998 914-522-1318"/>
    <s v="Якушев Мина Гавриилович"/>
    <x v="1"/>
    <d v="2022-11-25T00:00:00"/>
    <s v="+998"/>
    <x v="4"/>
    <s v="Узбекистан"/>
    <s v="Якушев"/>
    <s v=" Мина"/>
    <s v="Гавриилович"/>
  </r>
  <r>
    <n v="3"/>
    <s v="+380 143-562-6602"/>
    <s v="Якушева Светлана Даниловна"/>
    <x v="1"/>
    <d v="2022-04-15T00:00:00"/>
    <s v="+380"/>
    <x v="1"/>
    <s v="Украина"/>
    <s v="Якушева"/>
    <s v=" Светлана"/>
    <s v="Даниловна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0"/>
  </r>
  <r>
    <x v="10"/>
  </r>
  <r>
    <x v="11"/>
  </r>
  <r>
    <x v="11"/>
  </r>
  <r>
    <x v="12"/>
  </r>
  <r>
    <x v="12"/>
  </r>
  <r>
    <x v="12"/>
  </r>
  <r>
    <x v="12"/>
  </r>
  <r>
    <x v="12"/>
  </r>
  <r>
    <x v="13"/>
  </r>
  <r>
    <x v="14"/>
  </r>
  <r>
    <x v="14"/>
  </r>
  <r>
    <x v="14"/>
  </r>
  <r>
    <x v="15"/>
  </r>
  <r>
    <x v="16"/>
  </r>
  <r>
    <x v="17"/>
  </r>
  <r>
    <x v="18"/>
  </r>
  <r>
    <x v="18"/>
  </r>
  <r>
    <x v="19"/>
  </r>
  <r>
    <x v="19"/>
  </r>
  <r>
    <x v="20"/>
  </r>
  <r>
    <x v="21"/>
  </r>
  <r>
    <x v="21"/>
  </r>
  <r>
    <x v="22"/>
  </r>
  <r>
    <x v="23"/>
  </r>
  <r>
    <x v="23"/>
  </r>
  <r>
    <x v="24"/>
  </r>
  <r>
    <x v="25"/>
  </r>
  <r>
    <x v="26"/>
  </r>
  <r>
    <x v="27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6"/>
  </r>
  <r>
    <x v="47"/>
  </r>
  <r>
    <x v="47"/>
  </r>
  <r>
    <x v="48"/>
  </r>
  <r>
    <x v="49"/>
  </r>
  <r>
    <x v="50"/>
  </r>
  <r>
    <x v="51"/>
  </r>
  <r>
    <x v="52"/>
  </r>
  <r>
    <x v="53"/>
  </r>
  <r>
    <x v="54"/>
  </r>
  <r>
    <x v="54"/>
  </r>
  <r>
    <x v="54"/>
  </r>
  <r>
    <x v="54"/>
  </r>
  <r>
    <x v="55"/>
  </r>
  <r>
    <x v="55"/>
  </r>
  <r>
    <x v="56"/>
  </r>
  <r>
    <x v="56"/>
  </r>
  <r>
    <x v="57"/>
  </r>
  <r>
    <x v="58"/>
  </r>
  <r>
    <x v="59"/>
  </r>
  <r>
    <x v="60"/>
  </r>
  <r>
    <x v="61"/>
  </r>
  <r>
    <x v="62"/>
  </r>
  <r>
    <x v="0"/>
  </r>
  <r>
    <x v="63"/>
  </r>
  <r>
    <x v="64"/>
  </r>
  <r>
    <x v="65"/>
  </r>
  <r>
    <x v="66"/>
  </r>
  <r>
    <x v="67"/>
  </r>
  <r>
    <x v="68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8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32"/>
  </r>
  <r>
    <x v="87"/>
  </r>
  <r>
    <x v="88"/>
  </r>
  <r>
    <x v="89"/>
  </r>
  <r>
    <x v="90"/>
  </r>
  <r>
    <x v="91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1"/>
  </r>
  <r>
    <x v="102"/>
  </r>
  <r>
    <x v="103"/>
  </r>
  <r>
    <x v="104"/>
  </r>
  <r>
    <x v="104"/>
  </r>
  <r>
    <x v="105"/>
  </r>
  <r>
    <x v="106"/>
  </r>
  <r>
    <x v="107"/>
  </r>
  <r>
    <x v="107"/>
  </r>
  <r>
    <x v="108"/>
  </r>
  <r>
    <x v="108"/>
  </r>
  <r>
    <x v="109"/>
  </r>
  <r>
    <x v="110"/>
  </r>
  <r>
    <x v="111"/>
  </r>
  <r>
    <x v="112"/>
  </r>
  <r>
    <x v="113"/>
  </r>
  <r>
    <x v="114"/>
  </r>
  <r>
    <x v="59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4"/>
  </r>
  <r>
    <x v="124"/>
  </r>
  <r>
    <x v="125"/>
  </r>
  <r>
    <x v="126"/>
  </r>
  <r>
    <x v="72"/>
  </r>
  <r>
    <x v="72"/>
  </r>
  <r>
    <x v="127"/>
  </r>
  <r>
    <x v="128"/>
  </r>
  <r>
    <x v="129"/>
  </r>
  <r>
    <x v="130"/>
  </r>
  <r>
    <x v="131"/>
  </r>
  <r>
    <x v="132"/>
  </r>
  <r>
    <x v="133"/>
  </r>
  <r>
    <x v="133"/>
  </r>
  <r>
    <x v="134"/>
  </r>
  <r>
    <x v="135"/>
  </r>
  <r>
    <x v="135"/>
  </r>
  <r>
    <x v="89"/>
  </r>
  <r>
    <x v="136"/>
  </r>
  <r>
    <x v="136"/>
  </r>
  <r>
    <x v="137"/>
  </r>
  <r>
    <x v="138"/>
  </r>
  <r>
    <x v="139"/>
  </r>
  <r>
    <x v="140"/>
  </r>
  <r>
    <x v="140"/>
  </r>
  <r>
    <x v="141"/>
  </r>
  <r>
    <x v="142"/>
  </r>
  <r>
    <x v="143"/>
  </r>
  <r>
    <x v="144"/>
  </r>
  <r>
    <x v="145"/>
  </r>
  <r>
    <x v="146"/>
  </r>
  <r>
    <x v="74"/>
  </r>
  <r>
    <x v="74"/>
  </r>
  <r>
    <x v="147"/>
  </r>
  <r>
    <x v="148"/>
  </r>
  <r>
    <x v="64"/>
  </r>
  <r>
    <x v="149"/>
  </r>
  <r>
    <x v="150"/>
  </r>
  <r>
    <x v="151"/>
  </r>
  <r>
    <x v="152"/>
  </r>
  <r>
    <x v="50"/>
  </r>
  <r>
    <x v="153"/>
  </r>
  <r>
    <x v="154"/>
  </r>
  <r>
    <x v="155"/>
  </r>
  <r>
    <x v="156"/>
  </r>
  <r>
    <x v="157"/>
  </r>
  <r>
    <x v="35"/>
  </r>
  <r>
    <x v="158"/>
  </r>
  <r>
    <x v="159"/>
  </r>
  <r>
    <x v="160"/>
  </r>
  <r>
    <x v="161"/>
  </r>
  <r>
    <x v="86"/>
  </r>
  <r>
    <x v="87"/>
  </r>
  <r>
    <x v="82"/>
  </r>
  <r>
    <x v="162"/>
  </r>
  <r>
    <x v="163"/>
  </r>
  <r>
    <x v="164"/>
  </r>
  <r>
    <x v="165"/>
  </r>
  <r>
    <x v="128"/>
  </r>
  <r>
    <x v="166"/>
  </r>
  <r>
    <x v="167"/>
  </r>
  <r>
    <x v="168"/>
  </r>
  <r>
    <x v="169"/>
  </r>
  <r>
    <x v="170"/>
  </r>
  <r>
    <x v="171"/>
  </r>
  <r>
    <x v="172"/>
  </r>
  <r>
    <x v="172"/>
  </r>
  <r>
    <x v="173"/>
  </r>
  <r>
    <x v="174"/>
  </r>
  <r>
    <x v="175"/>
  </r>
  <r>
    <x v="176"/>
  </r>
  <r>
    <x v="177"/>
  </r>
  <r>
    <x v="177"/>
  </r>
  <r>
    <x v="178"/>
  </r>
  <r>
    <x v="179"/>
  </r>
  <r>
    <x v="180"/>
  </r>
  <r>
    <x v="181"/>
  </r>
  <r>
    <x v="128"/>
  </r>
  <r>
    <x v="182"/>
  </r>
  <r>
    <x v="183"/>
  </r>
  <r>
    <x v="184"/>
  </r>
  <r>
    <x v="184"/>
  </r>
  <r>
    <x v="184"/>
  </r>
  <r>
    <x v="184"/>
  </r>
  <r>
    <x v="184"/>
  </r>
  <r>
    <x v="185"/>
  </r>
  <r>
    <x v="185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3"/>
  </r>
  <r>
    <x v="194"/>
  </r>
  <r>
    <x v="82"/>
  </r>
  <r>
    <x v="195"/>
  </r>
  <r>
    <x v="196"/>
  </r>
  <r>
    <x v="58"/>
  </r>
  <r>
    <x v="197"/>
  </r>
  <r>
    <x v="197"/>
  </r>
  <r>
    <x v="197"/>
  </r>
  <r>
    <x v="198"/>
  </r>
  <r>
    <x v="85"/>
  </r>
  <r>
    <x v="36"/>
  </r>
  <r>
    <x v="199"/>
  </r>
  <r>
    <x v="200"/>
  </r>
  <r>
    <x v="201"/>
  </r>
  <r>
    <x v="62"/>
  </r>
  <r>
    <x v="158"/>
  </r>
  <r>
    <x v="202"/>
  </r>
  <r>
    <x v="203"/>
  </r>
  <r>
    <x v="204"/>
  </r>
  <r>
    <x v="58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126"/>
  </r>
  <r>
    <x v="218"/>
  </r>
  <r>
    <x v="219"/>
  </r>
  <r>
    <x v="219"/>
  </r>
  <r>
    <x v="220"/>
  </r>
  <r>
    <x v="205"/>
  </r>
  <r>
    <x v="221"/>
  </r>
  <r>
    <x v="222"/>
  </r>
  <r>
    <x v="222"/>
  </r>
  <r>
    <x v="223"/>
  </r>
  <r>
    <x v="224"/>
  </r>
  <r>
    <x v="224"/>
  </r>
  <r>
    <x v="170"/>
  </r>
  <r>
    <x v="225"/>
  </r>
  <r>
    <x v="225"/>
  </r>
  <r>
    <x v="226"/>
  </r>
  <r>
    <x v="215"/>
  </r>
  <r>
    <x v="227"/>
  </r>
  <r>
    <x v="128"/>
  </r>
  <r>
    <x v="228"/>
  </r>
  <r>
    <x v="229"/>
  </r>
  <r>
    <x v="230"/>
  </r>
  <r>
    <x v="231"/>
  </r>
  <r>
    <x v="232"/>
  </r>
  <r>
    <x v="233"/>
  </r>
  <r>
    <x v="234"/>
  </r>
  <r>
    <x v="220"/>
  </r>
  <r>
    <x v="164"/>
  </r>
  <r>
    <x v="235"/>
  </r>
  <r>
    <x v="236"/>
  </r>
  <r>
    <x v="237"/>
  </r>
  <r>
    <x v="238"/>
  </r>
  <r>
    <x v="209"/>
  </r>
  <r>
    <x v="239"/>
  </r>
  <r>
    <x v="240"/>
  </r>
  <r>
    <x v="241"/>
  </r>
  <r>
    <x v="65"/>
  </r>
  <r>
    <x v="242"/>
  </r>
  <r>
    <x v="243"/>
  </r>
  <r>
    <x v="244"/>
  </r>
  <r>
    <x v="244"/>
  </r>
  <r>
    <x v="245"/>
  </r>
  <r>
    <x v="246"/>
  </r>
  <r>
    <x v="247"/>
  </r>
  <r>
    <x v="248"/>
  </r>
  <r>
    <x v="248"/>
  </r>
  <r>
    <x v="249"/>
  </r>
  <r>
    <x v="249"/>
  </r>
  <r>
    <x v="249"/>
  </r>
  <r>
    <x v="250"/>
  </r>
  <r>
    <x v="251"/>
  </r>
  <r>
    <x v="190"/>
  </r>
  <r>
    <x v="166"/>
  </r>
  <r>
    <x v="252"/>
  </r>
  <r>
    <x v="137"/>
  </r>
  <r>
    <x v="253"/>
  </r>
  <r>
    <x v="43"/>
  </r>
  <r>
    <x v="254"/>
  </r>
  <r>
    <x v="255"/>
  </r>
  <r>
    <x v="256"/>
  </r>
  <r>
    <x v="35"/>
  </r>
  <r>
    <x v="257"/>
  </r>
  <r>
    <x v="258"/>
  </r>
  <r>
    <x v="259"/>
  </r>
  <r>
    <x v="260"/>
  </r>
  <r>
    <x v="261"/>
  </r>
  <r>
    <x v="262"/>
  </r>
  <r>
    <x v="263"/>
  </r>
  <r>
    <x v="40"/>
  </r>
  <r>
    <x v="257"/>
  </r>
  <r>
    <x v="264"/>
  </r>
  <r>
    <x v="234"/>
  </r>
  <r>
    <x v="265"/>
  </r>
  <r>
    <x v="70"/>
  </r>
  <r>
    <x v="44"/>
  </r>
  <r>
    <x v="210"/>
  </r>
  <r>
    <x v="210"/>
  </r>
  <r>
    <x v="266"/>
  </r>
  <r>
    <x v="266"/>
  </r>
  <r>
    <x v="267"/>
  </r>
  <r>
    <x v="268"/>
  </r>
  <r>
    <x v="80"/>
  </r>
  <r>
    <x v="269"/>
  </r>
  <r>
    <x v="211"/>
  </r>
  <r>
    <x v="270"/>
  </r>
  <r>
    <x v="271"/>
  </r>
  <r>
    <x v="272"/>
  </r>
  <r>
    <x v="272"/>
  </r>
  <r>
    <x v="273"/>
  </r>
  <r>
    <x v="274"/>
  </r>
  <r>
    <x v="199"/>
  </r>
  <r>
    <x v="195"/>
  </r>
  <r>
    <x v="275"/>
  </r>
  <r>
    <x v="182"/>
  </r>
  <r>
    <x v="117"/>
  </r>
  <r>
    <x v="264"/>
  </r>
  <r>
    <x v="82"/>
  </r>
  <r>
    <x v="276"/>
  </r>
  <r>
    <x v="277"/>
  </r>
  <r>
    <x v="278"/>
  </r>
  <r>
    <x v="279"/>
  </r>
  <r>
    <x v="280"/>
  </r>
  <r>
    <x v="280"/>
  </r>
  <r>
    <x v="35"/>
  </r>
  <r>
    <x v="82"/>
  </r>
  <r>
    <x v="281"/>
  </r>
  <r>
    <x v="282"/>
  </r>
  <r>
    <x v="283"/>
  </r>
  <r>
    <x v="283"/>
  </r>
  <r>
    <x v="284"/>
  </r>
  <r>
    <x v="285"/>
  </r>
  <r>
    <x v="286"/>
  </r>
  <r>
    <x v="286"/>
  </r>
  <r>
    <x v="159"/>
  </r>
  <r>
    <x v="287"/>
  </r>
  <r>
    <x v="288"/>
  </r>
  <r>
    <x v="289"/>
  </r>
  <r>
    <x v="290"/>
  </r>
  <r>
    <x v="90"/>
  </r>
  <r>
    <x v="210"/>
  </r>
  <r>
    <x v="291"/>
  </r>
  <r>
    <x v="292"/>
  </r>
  <r>
    <x v="293"/>
  </r>
  <r>
    <x v="34"/>
  </r>
  <r>
    <x v="294"/>
  </r>
  <r>
    <x v="294"/>
  </r>
  <r>
    <x v="295"/>
  </r>
  <r>
    <x v="151"/>
  </r>
  <r>
    <x v="61"/>
  </r>
  <r>
    <x v="151"/>
  </r>
  <r>
    <x v="296"/>
  </r>
  <r>
    <x v="297"/>
  </r>
  <r>
    <x v="298"/>
  </r>
  <r>
    <x v="298"/>
  </r>
  <r>
    <x v="298"/>
  </r>
  <r>
    <x v="298"/>
  </r>
  <r>
    <x v="299"/>
  </r>
  <r>
    <x v="299"/>
  </r>
  <r>
    <x v="299"/>
  </r>
  <r>
    <x v="300"/>
  </r>
  <r>
    <x v="300"/>
  </r>
  <r>
    <x v="300"/>
  </r>
  <r>
    <x v="300"/>
  </r>
  <r>
    <x v="301"/>
  </r>
  <r>
    <x v="302"/>
  </r>
  <r>
    <x v="303"/>
  </r>
  <r>
    <x v="270"/>
  </r>
  <r>
    <x v="3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E92F0-3B34-4356-BA06-335EA5801F07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9">
  <location ref="A3:B21" firstHeaderRow="1" firstDataRow="1" firstDataCol="1" rowPageCount="1" colPageCount="1"/>
  <pivotFields count="16">
    <pivotField showAll="0"/>
    <pivotField showAll="0"/>
    <pivotField showAll="0"/>
    <pivotField showAll="0"/>
    <pivotField dataField="1" showAll="0"/>
    <pivotField numFmtId="164" showAll="0">
      <items count="437">
        <item x="82"/>
        <item x="282"/>
        <item x="366"/>
        <item x="71"/>
        <item x="292"/>
        <item x="264"/>
        <item x="207"/>
        <item x="59"/>
        <item x="301"/>
        <item x="234"/>
        <item x="421"/>
        <item x="256"/>
        <item x="79"/>
        <item x="431"/>
        <item x="91"/>
        <item x="225"/>
        <item x="381"/>
        <item x="213"/>
        <item x="76"/>
        <item x="36"/>
        <item x="105"/>
        <item x="144"/>
        <item x="344"/>
        <item x="204"/>
        <item x="290"/>
        <item x="236"/>
        <item x="349"/>
        <item x="106"/>
        <item x="110"/>
        <item x="206"/>
        <item x="424"/>
        <item x="387"/>
        <item x="327"/>
        <item x="23"/>
        <item x="167"/>
        <item x="161"/>
        <item x="419"/>
        <item x="35"/>
        <item x="14"/>
        <item x="62"/>
        <item x="65"/>
        <item x="45"/>
        <item x="367"/>
        <item x="15"/>
        <item x="57"/>
        <item x="274"/>
        <item x="173"/>
        <item x="232"/>
        <item x="226"/>
        <item x="291"/>
        <item x="196"/>
        <item x="63"/>
        <item x="134"/>
        <item x="140"/>
        <item x="391"/>
        <item x="69"/>
        <item x="433"/>
        <item x="193"/>
        <item x="32"/>
        <item x="356"/>
        <item x="67"/>
        <item x="224"/>
        <item x="334"/>
        <item x="371"/>
        <item x="77"/>
        <item x="186"/>
        <item x="202"/>
        <item x="300"/>
        <item x="302"/>
        <item x="117"/>
        <item x="168"/>
        <item x="200"/>
        <item x="139"/>
        <item x="101"/>
        <item x="369"/>
        <item x="328"/>
        <item x="388"/>
        <item x="181"/>
        <item x="172"/>
        <item x="385"/>
        <item x="309"/>
        <item x="180"/>
        <item x="345"/>
        <item x="114"/>
        <item x="426"/>
        <item x="22"/>
        <item x="201"/>
        <item x="118"/>
        <item x="422"/>
        <item x="174"/>
        <item x="9"/>
        <item x="99"/>
        <item x="396"/>
        <item x="257"/>
        <item x="215"/>
        <item x="122"/>
        <item x="102"/>
        <item x="239"/>
        <item x="146"/>
        <item x="211"/>
        <item x="66"/>
        <item x="335"/>
        <item x="416"/>
        <item x="137"/>
        <item x="273"/>
        <item x="359"/>
        <item x="261"/>
        <item x="351"/>
        <item x="413"/>
        <item x="199"/>
        <item x="18"/>
        <item x="195"/>
        <item x="411"/>
        <item x="355"/>
        <item x="398"/>
        <item x="46"/>
        <item x="242"/>
        <item x="394"/>
        <item x="297"/>
        <item x="230"/>
        <item x="129"/>
        <item x="123"/>
        <item x="428"/>
        <item x="342"/>
        <item x="295"/>
        <item x="267"/>
        <item x="185"/>
        <item x="92"/>
        <item x="315"/>
        <item x="81"/>
        <item x="50"/>
        <item x="138"/>
        <item x="95"/>
        <item x="1"/>
        <item x="160"/>
        <item x="376"/>
        <item x="245"/>
        <item x="348"/>
        <item x="253"/>
        <item x="175"/>
        <item x="412"/>
        <item x="312"/>
        <item x="98"/>
        <item x="427"/>
        <item x="270"/>
        <item x="26"/>
        <item x="390"/>
        <item x="423"/>
        <item x="248"/>
        <item x="130"/>
        <item x="42"/>
        <item x="176"/>
        <item x="190"/>
        <item x="231"/>
        <item x="178"/>
        <item x="73"/>
        <item x="124"/>
        <item x="418"/>
        <item x="350"/>
        <item x="370"/>
        <item x="61"/>
        <item x="17"/>
        <item x="39"/>
        <item x="296"/>
        <item x="332"/>
        <item x="384"/>
        <item x="21"/>
        <item x="284"/>
        <item x="30"/>
        <item x="220"/>
        <item x="407"/>
        <item x="37"/>
        <item x="318"/>
        <item x="269"/>
        <item x="13"/>
        <item x="393"/>
        <item x="415"/>
        <item x="10"/>
        <item x="346"/>
        <item x="430"/>
        <item x="184"/>
        <item x="379"/>
        <item x="214"/>
        <item x="277"/>
        <item x="392"/>
        <item x="285"/>
        <item x="212"/>
        <item x="192"/>
        <item x="361"/>
        <item x="368"/>
        <item x="4"/>
        <item x="136"/>
        <item x="169"/>
        <item x="322"/>
        <item x="308"/>
        <item x="266"/>
        <item x="19"/>
        <item x="410"/>
        <item x="268"/>
        <item x="249"/>
        <item x="401"/>
        <item x="75"/>
        <item x="153"/>
        <item x="219"/>
        <item x="128"/>
        <item x="235"/>
        <item x="96"/>
        <item x="319"/>
        <item x="25"/>
        <item x="149"/>
        <item x="104"/>
        <item x="330"/>
        <item x="170"/>
        <item x="347"/>
        <item x="250"/>
        <item x="86"/>
        <item x="241"/>
        <item x="135"/>
        <item x="341"/>
        <item x="0"/>
        <item x="311"/>
        <item x="80"/>
        <item x="354"/>
        <item x="233"/>
        <item x="164"/>
        <item x="40"/>
        <item x="362"/>
        <item x="41"/>
        <item x="90"/>
        <item x="293"/>
        <item x="218"/>
        <item x="143"/>
        <item x="337"/>
        <item x="288"/>
        <item x="298"/>
        <item x="272"/>
        <item x="47"/>
        <item x="94"/>
        <item x="240"/>
        <item x="155"/>
        <item x="307"/>
        <item x="55"/>
        <item x="16"/>
        <item x="258"/>
        <item x="87"/>
        <item x="303"/>
        <item x="238"/>
        <item x="364"/>
        <item x="183"/>
        <item x="83"/>
        <item x="251"/>
        <item x="380"/>
        <item x="403"/>
        <item x="283"/>
        <item x="252"/>
        <item x="287"/>
        <item x="43"/>
        <item x="89"/>
        <item x="402"/>
        <item x="397"/>
        <item x="271"/>
        <item x="49"/>
        <item x="417"/>
        <item x="107"/>
        <item x="262"/>
        <item x="20"/>
        <item x="58"/>
        <item x="52"/>
        <item x="323"/>
        <item x="435"/>
        <item x="432"/>
        <item x="216"/>
        <item x="171"/>
        <item x="429"/>
        <item x="156"/>
        <item x="276"/>
        <item x="166"/>
        <item x="299"/>
        <item x="243"/>
        <item x="97"/>
        <item x="116"/>
        <item x="208"/>
        <item x="3"/>
        <item x="343"/>
        <item x="131"/>
        <item x="177"/>
        <item x="12"/>
        <item x="33"/>
        <item x="325"/>
        <item x="310"/>
        <item x="78"/>
        <item x="434"/>
        <item x="263"/>
        <item x="404"/>
        <item x="162"/>
        <item x="103"/>
        <item x="352"/>
        <item x="244"/>
        <item x="60"/>
        <item x="5"/>
        <item x="182"/>
        <item x="141"/>
        <item x="331"/>
        <item x="100"/>
        <item x="373"/>
        <item x="64"/>
        <item x="374"/>
        <item x="148"/>
        <item x="88"/>
        <item x="142"/>
        <item x="259"/>
        <item x="378"/>
        <item x="405"/>
        <item x="372"/>
        <item x="386"/>
        <item x="237"/>
        <item x="399"/>
        <item x="229"/>
        <item x="203"/>
        <item x="320"/>
        <item x="74"/>
        <item x="395"/>
        <item x="313"/>
        <item x="68"/>
        <item x="51"/>
        <item x="159"/>
        <item x="228"/>
        <item x="329"/>
        <item x="304"/>
        <item x="112"/>
        <item x="120"/>
        <item x="383"/>
        <item x="72"/>
        <item x="324"/>
        <item x="358"/>
        <item x="408"/>
        <item x="414"/>
        <item x="198"/>
        <item x="227"/>
        <item x="375"/>
        <item x="154"/>
        <item x="24"/>
        <item x="7"/>
        <item x="209"/>
        <item x="336"/>
        <item x="93"/>
        <item x="280"/>
        <item x="400"/>
        <item x="165"/>
        <item x="127"/>
        <item x="210"/>
        <item x="108"/>
        <item x="425"/>
        <item x="275"/>
        <item x="147"/>
        <item x="278"/>
        <item x="133"/>
        <item x="317"/>
        <item x="255"/>
        <item x="286"/>
        <item x="6"/>
        <item x="254"/>
        <item x="187"/>
        <item x="31"/>
        <item x="151"/>
        <item x="338"/>
        <item x="53"/>
        <item x="289"/>
        <item x="365"/>
        <item x="321"/>
        <item x="70"/>
        <item x="113"/>
        <item x="223"/>
        <item x="2"/>
        <item x="326"/>
        <item x="197"/>
        <item x="247"/>
        <item x="27"/>
        <item x="150"/>
        <item x="246"/>
        <item x="179"/>
        <item x="125"/>
        <item x="279"/>
        <item x="265"/>
        <item x="281"/>
        <item x="8"/>
        <item x="294"/>
        <item x="339"/>
        <item x="115"/>
        <item x="163"/>
        <item x="34"/>
        <item x="109"/>
        <item x="119"/>
        <item x="260"/>
        <item x="340"/>
        <item x="44"/>
        <item x="84"/>
        <item x="314"/>
        <item x="28"/>
        <item x="221"/>
        <item x="222"/>
        <item x="357"/>
        <item x="11"/>
        <item x="409"/>
        <item x="194"/>
        <item x="333"/>
        <item x="48"/>
        <item x="54"/>
        <item x="420"/>
        <item x="353"/>
        <item x="360"/>
        <item x="205"/>
        <item x="38"/>
        <item x="316"/>
        <item x="126"/>
        <item x="191"/>
        <item x="305"/>
        <item x="158"/>
        <item x="145"/>
        <item x="152"/>
        <item x="29"/>
        <item x="377"/>
        <item x="217"/>
        <item x="406"/>
        <item x="306"/>
        <item x="157"/>
        <item x="389"/>
        <item x="56"/>
        <item x="85"/>
        <item x="132"/>
        <item x="189"/>
        <item x="363"/>
        <item x="188"/>
        <item x="382"/>
        <item x="111"/>
        <item x="121"/>
        <item t="default"/>
      </items>
    </pivotField>
    <pivotField axis="axisPage"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showAll="0"/>
    <pivotField showAll="0"/>
    <pivotField numFmtId="165"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5"/>
    <field x="13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pageFields count="1">
    <pageField fld="6" item="17" hier="-1"/>
  </pageFields>
  <dataFields count="1">
    <dataField name="Сумма по полю сумма чека" fld="4" baseField="0" baseItem="0" numFmtId="168"/>
  </dataFields>
  <formats count="1">
    <format dxfId="46">
      <pivotArea outline="0" collapsedLevelsAreSubtotals="1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5947C-B399-45FE-AC6D-850B63333EBC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5">
  <location ref="A3:B23" firstHeaderRow="1" firstDataRow="1" firstDataCol="1"/>
  <pivotFields count="16"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4" showAll="0" defaultSubtotal="0">
      <items count="436">
        <item x="82"/>
        <item x="282"/>
        <item x="366"/>
        <item x="71"/>
        <item x="292"/>
        <item x="264"/>
        <item x="207"/>
        <item x="59"/>
        <item x="301"/>
        <item x="234"/>
        <item x="421"/>
        <item x="256"/>
        <item x="79"/>
        <item x="431"/>
        <item x="91"/>
        <item x="225"/>
        <item x="381"/>
        <item x="213"/>
        <item x="76"/>
        <item x="36"/>
        <item x="105"/>
        <item x="144"/>
        <item x="344"/>
        <item x="204"/>
        <item x="290"/>
        <item x="236"/>
        <item x="349"/>
        <item x="106"/>
        <item x="110"/>
        <item x="206"/>
        <item x="424"/>
        <item x="387"/>
        <item x="327"/>
        <item x="23"/>
        <item x="167"/>
        <item x="161"/>
        <item x="419"/>
        <item x="35"/>
        <item x="14"/>
        <item x="62"/>
        <item x="65"/>
        <item x="45"/>
        <item x="367"/>
        <item x="15"/>
        <item x="57"/>
        <item x="274"/>
        <item x="173"/>
        <item x="232"/>
        <item x="226"/>
        <item x="291"/>
        <item x="196"/>
        <item x="63"/>
        <item x="134"/>
        <item x="140"/>
        <item x="391"/>
        <item x="69"/>
        <item x="433"/>
        <item x="193"/>
        <item x="32"/>
        <item x="356"/>
        <item x="67"/>
        <item x="224"/>
        <item x="334"/>
        <item x="371"/>
        <item x="77"/>
        <item x="186"/>
        <item x="202"/>
        <item x="300"/>
        <item x="302"/>
        <item x="117"/>
        <item x="168"/>
        <item x="200"/>
        <item x="139"/>
        <item x="101"/>
        <item x="369"/>
        <item x="328"/>
        <item x="388"/>
        <item x="181"/>
        <item x="172"/>
        <item x="385"/>
        <item x="309"/>
        <item x="180"/>
        <item x="345"/>
        <item x="114"/>
        <item x="426"/>
        <item x="22"/>
        <item x="201"/>
        <item x="118"/>
        <item x="422"/>
        <item x="174"/>
        <item x="9"/>
        <item x="99"/>
        <item x="396"/>
        <item x="257"/>
        <item x="215"/>
        <item x="122"/>
        <item x="102"/>
        <item x="239"/>
        <item x="146"/>
        <item x="211"/>
        <item x="66"/>
        <item x="335"/>
        <item x="416"/>
        <item x="137"/>
        <item x="273"/>
        <item x="359"/>
        <item x="261"/>
        <item x="351"/>
        <item x="413"/>
        <item x="199"/>
        <item x="18"/>
        <item x="195"/>
        <item x="411"/>
        <item x="355"/>
        <item x="398"/>
        <item x="46"/>
        <item x="242"/>
        <item x="394"/>
        <item x="297"/>
        <item x="230"/>
        <item x="129"/>
        <item x="123"/>
        <item x="428"/>
        <item x="342"/>
        <item x="295"/>
        <item x="267"/>
        <item x="185"/>
        <item x="92"/>
        <item x="315"/>
        <item x="81"/>
        <item x="50"/>
        <item x="138"/>
        <item x="95"/>
        <item x="1"/>
        <item x="160"/>
        <item x="376"/>
        <item x="245"/>
        <item x="348"/>
        <item x="253"/>
        <item x="175"/>
        <item x="412"/>
        <item x="312"/>
        <item x="98"/>
        <item x="427"/>
        <item x="270"/>
        <item x="26"/>
        <item x="390"/>
        <item x="423"/>
        <item x="248"/>
        <item x="130"/>
        <item x="42"/>
        <item x="176"/>
        <item x="190"/>
        <item x="231"/>
        <item x="178"/>
        <item x="73"/>
        <item x="124"/>
        <item x="418"/>
        <item x="350"/>
        <item x="370"/>
        <item x="61"/>
        <item x="17"/>
        <item x="39"/>
        <item x="296"/>
        <item x="332"/>
        <item x="384"/>
        <item x="21"/>
        <item x="284"/>
        <item x="30"/>
        <item x="220"/>
        <item x="407"/>
        <item x="37"/>
        <item x="318"/>
        <item x="269"/>
        <item x="13"/>
        <item x="393"/>
        <item x="415"/>
        <item x="10"/>
        <item x="346"/>
        <item x="430"/>
        <item x="184"/>
        <item x="379"/>
        <item x="214"/>
        <item x="277"/>
        <item x="392"/>
        <item x="285"/>
        <item x="212"/>
        <item x="192"/>
        <item x="361"/>
        <item x="368"/>
        <item x="4"/>
        <item x="136"/>
        <item x="169"/>
        <item x="322"/>
        <item x="308"/>
        <item x="266"/>
        <item x="19"/>
        <item x="410"/>
        <item x="268"/>
        <item x="249"/>
        <item x="401"/>
        <item x="75"/>
        <item x="153"/>
        <item x="219"/>
        <item x="128"/>
        <item x="235"/>
        <item x="96"/>
        <item x="319"/>
        <item x="25"/>
        <item x="149"/>
        <item x="104"/>
        <item x="330"/>
        <item x="170"/>
        <item x="347"/>
        <item x="250"/>
        <item x="86"/>
        <item x="241"/>
        <item x="135"/>
        <item x="341"/>
        <item x="0"/>
        <item x="311"/>
        <item x="80"/>
        <item x="354"/>
        <item x="233"/>
        <item x="164"/>
        <item x="40"/>
        <item x="362"/>
        <item x="41"/>
        <item x="90"/>
        <item x="293"/>
        <item x="218"/>
        <item x="143"/>
        <item x="337"/>
        <item x="288"/>
        <item x="298"/>
        <item x="272"/>
        <item x="47"/>
        <item x="94"/>
        <item x="240"/>
        <item x="155"/>
        <item x="307"/>
        <item x="55"/>
        <item x="16"/>
        <item x="258"/>
        <item x="87"/>
        <item x="303"/>
        <item x="238"/>
        <item x="364"/>
        <item x="183"/>
        <item x="83"/>
        <item x="251"/>
        <item x="380"/>
        <item x="403"/>
        <item x="283"/>
        <item x="252"/>
        <item x="287"/>
        <item x="43"/>
        <item x="89"/>
        <item x="402"/>
        <item x="397"/>
        <item x="271"/>
        <item x="49"/>
        <item x="417"/>
        <item x="107"/>
        <item x="262"/>
        <item x="20"/>
        <item x="58"/>
        <item x="52"/>
        <item x="323"/>
        <item x="435"/>
        <item x="432"/>
        <item x="216"/>
        <item x="171"/>
        <item x="429"/>
        <item x="156"/>
        <item x="276"/>
        <item x="166"/>
        <item x="299"/>
        <item x="243"/>
        <item x="97"/>
        <item x="116"/>
        <item x="208"/>
        <item x="3"/>
        <item x="343"/>
        <item x="131"/>
        <item x="177"/>
        <item x="12"/>
        <item x="33"/>
        <item x="325"/>
        <item x="310"/>
        <item x="78"/>
        <item x="434"/>
        <item x="263"/>
        <item x="404"/>
        <item x="162"/>
        <item x="103"/>
        <item x="352"/>
        <item x="244"/>
        <item x="60"/>
        <item x="5"/>
        <item x="182"/>
        <item x="141"/>
        <item x="331"/>
        <item x="100"/>
        <item x="373"/>
        <item x="64"/>
        <item x="374"/>
        <item x="148"/>
        <item x="88"/>
        <item x="142"/>
        <item x="259"/>
        <item x="378"/>
        <item x="405"/>
        <item x="372"/>
        <item x="386"/>
        <item x="237"/>
        <item x="399"/>
        <item x="229"/>
        <item x="203"/>
        <item x="320"/>
        <item x="74"/>
        <item x="395"/>
        <item x="313"/>
        <item x="68"/>
        <item x="51"/>
        <item x="159"/>
        <item x="228"/>
        <item x="329"/>
        <item x="304"/>
        <item x="112"/>
        <item x="120"/>
        <item x="383"/>
        <item x="72"/>
        <item x="324"/>
        <item x="358"/>
        <item x="408"/>
        <item x="414"/>
        <item x="198"/>
        <item x="227"/>
        <item x="375"/>
        <item x="154"/>
        <item x="24"/>
        <item x="7"/>
        <item x="209"/>
        <item x="336"/>
        <item x="93"/>
        <item x="280"/>
        <item x="400"/>
        <item x="165"/>
        <item x="127"/>
        <item x="210"/>
        <item x="108"/>
        <item x="425"/>
        <item x="275"/>
        <item x="147"/>
        <item x="278"/>
        <item x="133"/>
        <item x="317"/>
        <item x="255"/>
        <item x="286"/>
        <item x="6"/>
        <item x="254"/>
        <item x="187"/>
        <item x="31"/>
        <item x="151"/>
        <item x="338"/>
        <item x="53"/>
        <item x="289"/>
        <item x="365"/>
        <item x="321"/>
        <item x="70"/>
        <item x="113"/>
        <item x="223"/>
        <item x="2"/>
        <item x="326"/>
        <item x="197"/>
        <item x="247"/>
        <item x="27"/>
        <item x="150"/>
        <item x="246"/>
        <item x="179"/>
        <item x="125"/>
        <item x="279"/>
        <item x="265"/>
        <item x="281"/>
        <item x="8"/>
        <item x="294"/>
        <item x="339"/>
        <item x="115"/>
        <item x="163"/>
        <item x="34"/>
        <item x="109"/>
        <item x="119"/>
        <item x="260"/>
        <item x="340"/>
        <item x="44"/>
        <item x="84"/>
        <item x="314"/>
        <item x="28"/>
        <item x="221"/>
        <item x="222"/>
        <item x="357"/>
        <item x="11"/>
        <item x="409"/>
        <item x="194"/>
        <item x="333"/>
        <item x="48"/>
        <item x="54"/>
        <item x="420"/>
        <item x="353"/>
        <item x="360"/>
        <item x="205"/>
        <item x="38"/>
        <item x="316"/>
        <item x="126"/>
        <item x="191"/>
        <item x="305"/>
        <item x="158"/>
        <item x="145"/>
        <item x="152"/>
        <item x="29"/>
        <item x="377"/>
        <item x="217"/>
        <item x="406"/>
        <item x="306"/>
        <item x="157"/>
        <item x="389"/>
        <item x="56"/>
        <item x="85"/>
        <item x="132"/>
        <item x="189"/>
        <item x="363"/>
        <item x="188"/>
        <item x="382"/>
        <item x="111"/>
        <item x="121"/>
      </items>
    </pivotField>
    <pivotField axis="axisRow" showAll="0" sortType="descending" defaultSubtotal="0">
      <items count="20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numFmtId="165" showAll="0" defaultSubtotal="0"/>
    <pivotField dataField="1" numFmtId="9" showAll="0" defaultSubtotal="0"/>
    <pivotField subtotalTop="0" showAll="0" defaultSubtota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0">
    <i>
      <x v="10"/>
    </i>
    <i>
      <x v="7"/>
    </i>
    <i>
      <x v="12"/>
    </i>
    <i>
      <x v="3"/>
    </i>
    <i>
      <x/>
    </i>
    <i>
      <x v="18"/>
    </i>
    <i>
      <x v="1"/>
    </i>
    <i>
      <x v="14"/>
    </i>
    <i>
      <x v="13"/>
    </i>
    <i>
      <x v="2"/>
    </i>
    <i>
      <x v="4"/>
    </i>
    <i>
      <x v="11"/>
    </i>
    <i>
      <x v="6"/>
    </i>
    <i>
      <x v="15"/>
    </i>
    <i>
      <x v="8"/>
    </i>
    <i>
      <x v="9"/>
    </i>
    <i>
      <x v="5"/>
    </i>
    <i>
      <x v="16"/>
    </i>
    <i>
      <x v="17"/>
    </i>
    <i>
      <x v="19"/>
    </i>
  </rowItems>
  <colItems count="1">
    <i/>
  </colItems>
  <dataFields count="1">
    <dataField name="Среднее по полю Выгода клиента" fld="11" subtotal="average" baseField="6" baseItem="10" numFmtId="9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2E402-543D-4BF6-9BF1-86EC7E359097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16">
    <pivotField showAll="0"/>
    <pivotField showAll="0"/>
    <pivotField showAll="0"/>
    <pivotField showAll="0"/>
    <pivotField dataField="1" showAll="0"/>
    <pivotField numFmtId="164" showAll="0">
      <items count="437">
        <item x="82"/>
        <item x="282"/>
        <item x="366"/>
        <item x="71"/>
        <item x="292"/>
        <item x="264"/>
        <item x="207"/>
        <item x="59"/>
        <item x="301"/>
        <item x="234"/>
        <item x="421"/>
        <item x="256"/>
        <item x="79"/>
        <item x="431"/>
        <item x="91"/>
        <item x="225"/>
        <item x="381"/>
        <item x="213"/>
        <item x="76"/>
        <item x="36"/>
        <item x="105"/>
        <item x="144"/>
        <item x="344"/>
        <item x="204"/>
        <item x="290"/>
        <item x="236"/>
        <item x="349"/>
        <item x="106"/>
        <item x="110"/>
        <item x="206"/>
        <item x="424"/>
        <item x="387"/>
        <item x="327"/>
        <item x="23"/>
        <item x="167"/>
        <item x="161"/>
        <item x="419"/>
        <item x="35"/>
        <item x="14"/>
        <item x="62"/>
        <item x="65"/>
        <item x="45"/>
        <item x="367"/>
        <item x="15"/>
        <item x="57"/>
        <item x="274"/>
        <item x="173"/>
        <item x="232"/>
        <item x="226"/>
        <item x="291"/>
        <item x="196"/>
        <item x="63"/>
        <item x="134"/>
        <item x="140"/>
        <item x="391"/>
        <item x="69"/>
        <item x="433"/>
        <item x="193"/>
        <item x="32"/>
        <item x="356"/>
        <item x="67"/>
        <item x="224"/>
        <item x="334"/>
        <item x="371"/>
        <item x="77"/>
        <item x="186"/>
        <item x="202"/>
        <item x="300"/>
        <item x="302"/>
        <item x="117"/>
        <item x="168"/>
        <item x="200"/>
        <item x="139"/>
        <item x="101"/>
        <item x="369"/>
        <item x="328"/>
        <item x="388"/>
        <item x="181"/>
        <item x="172"/>
        <item x="385"/>
        <item x="309"/>
        <item x="180"/>
        <item x="345"/>
        <item x="114"/>
        <item x="426"/>
        <item x="22"/>
        <item x="201"/>
        <item x="118"/>
        <item x="422"/>
        <item x="174"/>
        <item x="9"/>
        <item x="99"/>
        <item x="396"/>
        <item x="257"/>
        <item x="215"/>
        <item x="122"/>
        <item x="102"/>
        <item x="239"/>
        <item x="146"/>
        <item x="211"/>
        <item x="66"/>
        <item x="335"/>
        <item x="416"/>
        <item x="137"/>
        <item x="273"/>
        <item x="359"/>
        <item x="261"/>
        <item x="351"/>
        <item x="413"/>
        <item x="199"/>
        <item x="18"/>
        <item x="195"/>
        <item x="411"/>
        <item x="355"/>
        <item x="398"/>
        <item x="46"/>
        <item x="242"/>
        <item x="394"/>
        <item x="297"/>
        <item x="230"/>
        <item x="129"/>
        <item x="123"/>
        <item x="428"/>
        <item x="342"/>
        <item x="295"/>
        <item x="267"/>
        <item x="185"/>
        <item x="92"/>
        <item x="315"/>
        <item x="81"/>
        <item x="50"/>
        <item x="138"/>
        <item x="95"/>
        <item x="1"/>
        <item x="160"/>
        <item x="376"/>
        <item x="245"/>
        <item x="348"/>
        <item x="253"/>
        <item x="175"/>
        <item x="412"/>
        <item x="312"/>
        <item x="98"/>
        <item x="427"/>
        <item x="270"/>
        <item x="26"/>
        <item x="390"/>
        <item x="423"/>
        <item x="248"/>
        <item x="130"/>
        <item x="42"/>
        <item x="176"/>
        <item x="190"/>
        <item x="231"/>
        <item x="178"/>
        <item x="73"/>
        <item x="124"/>
        <item x="418"/>
        <item x="350"/>
        <item x="370"/>
        <item x="61"/>
        <item x="17"/>
        <item x="39"/>
        <item x="296"/>
        <item x="332"/>
        <item x="384"/>
        <item x="21"/>
        <item x="284"/>
        <item x="30"/>
        <item x="220"/>
        <item x="407"/>
        <item x="37"/>
        <item x="318"/>
        <item x="269"/>
        <item x="13"/>
        <item x="393"/>
        <item x="415"/>
        <item x="10"/>
        <item x="346"/>
        <item x="430"/>
        <item x="184"/>
        <item x="379"/>
        <item x="214"/>
        <item x="277"/>
        <item x="392"/>
        <item x="285"/>
        <item x="212"/>
        <item x="192"/>
        <item x="361"/>
        <item x="368"/>
        <item x="4"/>
        <item x="136"/>
        <item x="169"/>
        <item x="322"/>
        <item x="308"/>
        <item x="266"/>
        <item x="19"/>
        <item x="410"/>
        <item x="268"/>
        <item x="249"/>
        <item x="401"/>
        <item x="75"/>
        <item x="153"/>
        <item x="219"/>
        <item x="128"/>
        <item x="235"/>
        <item x="96"/>
        <item x="319"/>
        <item x="25"/>
        <item x="149"/>
        <item x="104"/>
        <item x="330"/>
        <item x="170"/>
        <item x="347"/>
        <item x="250"/>
        <item x="86"/>
        <item x="241"/>
        <item x="135"/>
        <item x="341"/>
        <item x="0"/>
        <item x="311"/>
        <item x="80"/>
        <item x="354"/>
        <item x="233"/>
        <item x="164"/>
        <item x="40"/>
        <item x="362"/>
        <item x="41"/>
        <item x="90"/>
        <item x="293"/>
        <item x="218"/>
        <item x="143"/>
        <item x="337"/>
        <item x="288"/>
        <item x="298"/>
        <item x="272"/>
        <item x="47"/>
        <item x="94"/>
        <item x="240"/>
        <item x="155"/>
        <item x="307"/>
        <item x="55"/>
        <item x="16"/>
        <item x="258"/>
        <item x="87"/>
        <item x="303"/>
        <item x="238"/>
        <item x="364"/>
        <item x="183"/>
        <item x="83"/>
        <item x="251"/>
        <item x="380"/>
        <item x="403"/>
        <item x="283"/>
        <item x="252"/>
        <item x="287"/>
        <item x="43"/>
        <item x="89"/>
        <item x="402"/>
        <item x="397"/>
        <item x="271"/>
        <item x="49"/>
        <item x="417"/>
        <item x="107"/>
        <item x="262"/>
        <item x="20"/>
        <item x="58"/>
        <item x="52"/>
        <item x="323"/>
        <item x="435"/>
        <item x="432"/>
        <item x="216"/>
        <item x="171"/>
        <item x="429"/>
        <item x="156"/>
        <item x="276"/>
        <item x="166"/>
        <item x="299"/>
        <item x="243"/>
        <item x="97"/>
        <item x="116"/>
        <item x="208"/>
        <item x="3"/>
        <item x="343"/>
        <item x="131"/>
        <item x="177"/>
        <item x="12"/>
        <item x="33"/>
        <item x="325"/>
        <item x="310"/>
        <item x="78"/>
        <item x="434"/>
        <item x="263"/>
        <item x="404"/>
        <item x="162"/>
        <item x="103"/>
        <item x="352"/>
        <item x="244"/>
        <item x="60"/>
        <item x="5"/>
        <item x="182"/>
        <item x="141"/>
        <item x="331"/>
        <item x="100"/>
        <item x="373"/>
        <item x="64"/>
        <item x="374"/>
        <item x="148"/>
        <item x="88"/>
        <item x="142"/>
        <item x="259"/>
        <item x="378"/>
        <item x="405"/>
        <item x="372"/>
        <item x="386"/>
        <item x="237"/>
        <item x="399"/>
        <item x="229"/>
        <item x="203"/>
        <item x="320"/>
        <item x="74"/>
        <item x="395"/>
        <item x="313"/>
        <item x="68"/>
        <item x="51"/>
        <item x="159"/>
        <item x="228"/>
        <item x="329"/>
        <item x="304"/>
        <item x="112"/>
        <item x="120"/>
        <item x="383"/>
        <item x="72"/>
        <item x="324"/>
        <item x="358"/>
        <item x="408"/>
        <item x="414"/>
        <item x="198"/>
        <item x="227"/>
        <item x="375"/>
        <item x="154"/>
        <item x="24"/>
        <item x="7"/>
        <item x="209"/>
        <item x="336"/>
        <item x="93"/>
        <item x="280"/>
        <item x="400"/>
        <item x="165"/>
        <item x="127"/>
        <item x="210"/>
        <item x="108"/>
        <item x="425"/>
        <item x="275"/>
        <item x="147"/>
        <item x="278"/>
        <item x="133"/>
        <item x="317"/>
        <item x="255"/>
        <item x="286"/>
        <item x="6"/>
        <item x="254"/>
        <item x="187"/>
        <item x="31"/>
        <item x="151"/>
        <item x="338"/>
        <item x="53"/>
        <item x="289"/>
        <item x="365"/>
        <item x="321"/>
        <item x="70"/>
        <item x="113"/>
        <item x="223"/>
        <item x="2"/>
        <item x="326"/>
        <item x="197"/>
        <item x="247"/>
        <item x="27"/>
        <item x="150"/>
        <item x="246"/>
        <item x="179"/>
        <item x="125"/>
        <item x="279"/>
        <item x="265"/>
        <item x="281"/>
        <item x="8"/>
        <item x="294"/>
        <item x="339"/>
        <item x="115"/>
        <item x="163"/>
        <item x="34"/>
        <item x="109"/>
        <item x="119"/>
        <item x="260"/>
        <item x="340"/>
        <item x="44"/>
        <item x="84"/>
        <item x="314"/>
        <item x="28"/>
        <item x="221"/>
        <item x="222"/>
        <item x="357"/>
        <item x="11"/>
        <item x="409"/>
        <item x="194"/>
        <item x="333"/>
        <item x="48"/>
        <item x="54"/>
        <item x="420"/>
        <item x="353"/>
        <item x="360"/>
        <item x="205"/>
        <item x="38"/>
        <item x="316"/>
        <item x="126"/>
        <item x="191"/>
        <item x="305"/>
        <item x="158"/>
        <item x="145"/>
        <item x="152"/>
        <item x="29"/>
        <item x="377"/>
        <item x="217"/>
        <item x="406"/>
        <item x="306"/>
        <item x="157"/>
        <item x="389"/>
        <item x="56"/>
        <item x="85"/>
        <item x="132"/>
        <item x="189"/>
        <item x="363"/>
        <item x="188"/>
        <item x="382"/>
        <item x="111"/>
        <item x="121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numFmtId="9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1">
    <i>
      <x v="15"/>
    </i>
    <i>
      <x v="6"/>
    </i>
    <i>
      <x v="14"/>
    </i>
    <i>
      <x v="19"/>
    </i>
    <i>
      <x v="5"/>
    </i>
    <i>
      <x v="7"/>
    </i>
    <i>
      <x v="1"/>
    </i>
    <i>
      <x v="18"/>
    </i>
    <i>
      <x v="4"/>
    </i>
    <i>
      <x v="13"/>
    </i>
    <i>
      <x v="12"/>
    </i>
    <i>
      <x v="10"/>
    </i>
    <i>
      <x v="11"/>
    </i>
    <i>
      <x/>
    </i>
    <i>
      <x v="16"/>
    </i>
    <i>
      <x v="9"/>
    </i>
    <i>
      <x v="8"/>
    </i>
    <i>
      <x v="2"/>
    </i>
    <i>
      <x v="17"/>
    </i>
    <i>
      <x v="3"/>
    </i>
    <i t="grand">
      <x/>
    </i>
  </rowItems>
  <colItems count="1">
    <i/>
  </colItems>
  <dataFields count="1">
    <dataField name="GMV" fld="4" baseField="6" baseItem="8"/>
  </dataFields>
  <formats count="2">
    <format dxfId="45">
      <pivotArea grandRow="1" outline="0" collapsedLevelsAreSubtotals="1" fieldPosition="0"/>
    </format>
    <format dxfId="44">
      <pivotArea collapsedLevelsAreSubtotals="1" fieldPosition="0">
        <references count="1">
          <reference field="6" count="0"/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7FB58-2C30-47DB-B85A-9F76E12F53EA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>
  <location ref="A3:B8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Page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axis="axisRow" showAll="0" sortType="ascending">
      <items count="79">
        <item x="62"/>
        <item x="75"/>
        <item x="8"/>
        <item x="61"/>
        <item x="7"/>
        <item x="43"/>
        <item x="14"/>
        <item x="57"/>
        <item x="26"/>
        <item x="21"/>
        <item x="48"/>
        <item x="76"/>
        <item x="30"/>
        <item x="10"/>
        <item x="68"/>
        <item x="53"/>
        <item x="51"/>
        <item x="35"/>
        <item x="59"/>
        <item x="58"/>
        <item x="36"/>
        <item x="20"/>
        <item x="3"/>
        <item x="77"/>
        <item x="54"/>
        <item x="38"/>
        <item x="28"/>
        <item x="65"/>
        <item x="41"/>
        <item x="4"/>
        <item x="1"/>
        <item x="50"/>
        <item x="17"/>
        <item x="31"/>
        <item x="66"/>
        <item x="19"/>
        <item x="6"/>
        <item x="71"/>
        <item x="15"/>
        <item x="34"/>
        <item x="60"/>
        <item x="24"/>
        <item x="40"/>
        <item x="16"/>
        <item x="45"/>
        <item x="0"/>
        <item x="22"/>
        <item x="29"/>
        <item x="9"/>
        <item x="27"/>
        <item x="56"/>
        <item x="44"/>
        <item x="55"/>
        <item x="52"/>
        <item x="12"/>
        <item x="32"/>
        <item x="69"/>
        <item x="25"/>
        <item x="74"/>
        <item x="70"/>
        <item x="63"/>
        <item x="11"/>
        <item x="37"/>
        <item x="46"/>
        <item x="47"/>
        <item x="67"/>
        <item x="64"/>
        <item x="5"/>
        <item x="49"/>
        <item x="23"/>
        <item x="73"/>
        <item x="39"/>
        <item x="42"/>
        <item x="18"/>
        <item x="13"/>
        <item x="33"/>
        <item x="2"/>
        <item x="72"/>
        <item t="default"/>
      </items>
    </pivotField>
    <pivotField numFmtId="165" showAll="0"/>
    <pivotField numFmtId="9" showAll="0"/>
    <pivotField dataField="1" showAll="0"/>
    <pivotField numFmtId="9" showAll="0"/>
    <pivotField numFmtId="14" showAll="0"/>
    <pivotField showAll="0"/>
    <pivotField numFmtId="14" showAll="0"/>
    <pivotField numFmtId="1" showAll="0">
      <items count="254">
        <item x="38"/>
        <item x="196"/>
        <item x="111"/>
        <item x="191"/>
        <item x="66"/>
        <item x="192"/>
        <item x="116"/>
        <item x="97"/>
        <item x="131"/>
        <item x="243"/>
        <item x="204"/>
        <item x="39"/>
        <item x="238"/>
        <item x="242"/>
        <item x="186"/>
        <item x="137"/>
        <item x="189"/>
        <item x="88"/>
        <item x="43"/>
        <item x="194"/>
        <item x="223"/>
        <item x="76"/>
        <item x="183"/>
        <item x="17"/>
        <item x="36"/>
        <item x="117"/>
        <item x="93"/>
        <item x="133"/>
        <item x="101"/>
        <item x="57"/>
        <item x="40"/>
        <item x="213"/>
        <item x="208"/>
        <item x="141"/>
        <item x="108"/>
        <item x="246"/>
        <item x="201"/>
        <item x="89"/>
        <item x="236"/>
        <item x="157"/>
        <item x="188"/>
        <item x="18"/>
        <item x="169"/>
        <item x="69"/>
        <item x="195"/>
        <item x="100"/>
        <item x="155"/>
        <item x="12"/>
        <item x="31"/>
        <item x="206"/>
        <item x="48"/>
        <item x="51"/>
        <item x="176"/>
        <item x="219"/>
        <item x="54"/>
        <item x="225"/>
        <item x="2"/>
        <item x="71"/>
        <item x="235"/>
        <item x="252"/>
        <item x="34"/>
        <item x="60"/>
        <item x="118"/>
        <item x="42"/>
        <item x="168"/>
        <item x="181"/>
        <item x="218"/>
        <item x="81"/>
        <item x="86"/>
        <item x="14"/>
        <item x="187"/>
        <item x="67"/>
        <item x="234"/>
        <item x="130"/>
        <item x="33"/>
        <item x="180"/>
        <item x="80"/>
        <item x="110"/>
        <item x="237"/>
        <item x="207"/>
        <item x="145"/>
        <item x="74"/>
        <item x="49"/>
        <item x="13"/>
        <item x="126"/>
        <item x="193"/>
        <item x="132"/>
        <item x="216"/>
        <item x="228"/>
        <item x="25"/>
        <item x="61"/>
        <item x="203"/>
        <item x="142"/>
        <item x="185"/>
        <item x="241"/>
        <item x="161"/>
        <item x="44"/>
        <item x="173"/>
        <item x="119"/>
        <item x="63"/>
        <item x="72"/>
        <item x="64"/>
        <item x="37"/>
        <item x="45"/>
        <item x="250"/>
        <item x="177"/>
        <item x="144"/>
        <item x="75"/>
        <item x="32"/>
        <item x="165"/>
        <item x="19"/>
        <item x="46"/>
        <item x="171"/>
        <item x="65"/>
        <item x="1"/>
        <item x="0"/>
        <item x="233"/>
        <item x="147"/>
        <item x="84"/>
        <item x="205"/>
        <item x="231"/>
        <item x="6"/>
        <item x="115"/>
        <item x="245"/>
        <item x="251"/>
        <item x="96"/>
        <item x="212"/>
        <item x="174"/>
        <item x="211"/>
        <item x="114"/>
        <item x="239"/>
        <item x="21"/>
        <item x="200"/>
        <item x="139"/>
        <item x="156"/>
        <item x="202"/>
        <item x="226"/>
        <item x="90"/>
        <item x="197"/>
        <item x="106"/>
        <item x="109"/>
        <item x="222"/>
        <item x="77"/>
        <item x="105"/>
        <item x="92"/>
        <item x="56"/>
        <item x="240"/>
        <item x="35"/>
        <item x="143"/>
        <item x="178"/>
        <item x="166"/>
        <item x="121"/>
        <item x="164"/>
        <item x="120"/>
        <item x="198"/>
        <item x="9"/>
        <item x="113"/>
        <item x="221"/>
        <item x="50"/>
        <item x="29"/>
        <item x="159"/>
        <item x="162"/>
        <item x="68"/>
        <item x="24"/>
        <item x="217"/>
        <item x="247"/>
        <item x="123"/>
        <item x="154"/>
        <item x="8"/>
        <item x="52"/>
        <item x="229"/>
        <item x="248"/>
        <item x="15"/>
        <item x="209"/>
        <item x="20"/>
        <item x="160"/>
        <item x="107"/>
        <item x="112"/>
        <item x="134"/>
        <item x="182"/>
        <item x="102"/>
        <item x="190"/>
        <item x="167"/>
        <item x="103"/>
        <item x="184"/>
        <item x="59"/>
        <item x="249"/>
        <item x="175"/>
        <item x="11"/>
        <item x="150"/>
        <item x="10"/>
        <item x="23"/>
        <item x="27"/>
        <item x="138"/>
        <item x="30"/>
        <item x="104"/>
        <item x="62"/>
        <item x="151"/>
        <item x="3"/>
        <item x="83"/>
        <item x="163"/>
        <item x="58"/>
        <item x="136"/>
        <item x="94"/>
        <item x="172"/>
        <item x="91"/>
        <item x="170"/>
        <item x="70"/>
        <item x="140"/>
        <item x="124"/>
        <item x="53"/>
        <item x="47"/>
        <item x="158"/>
        <item x="7"/>
        <item x="148"/>
        <item x="244"/>
        <item x="122"/>
        <item x="199"/>
        <item x="26"/>
        <item x="41"/>
        <item x="128"/>
        <item x="79"/>
        <item x="16"/>
        <item x="210"/>
        <item x="85"/>
        <item x="232"/>
        <item x="87"/>
        <item x="125"/>
        <item x="227"/>
        <item x="215"/>
        <item x="230"/>
        <item x="135"/>
        <item x="146"/>
        <item x="214"/>
        <item x="73"/>
        <item x="78"/>
        <item x="5"/>
        <item x="98"/>
        <item x="149"/>
        <item x="28"/>
        <item x="4"/>
        <item x="99"/>
        <item x="179"/>
        <item x="95"/>
        <item x="152"/>
        <item x="224"/>
        <item x="82"/>
        <item x="220"/>
        <item x="55"/>
        <item x="127"/>
        <item x="129"/>
        <item x="22"/>
        <item x="153"/>
        <item t="default"/>
      </items>
    </pivotField>
    <pivotField showAll="0"/>
    <pivotField showAll="0"/>
    <pivotField showAll="0">
      <items count="2">
        <item x="0"/>
        <item t="default"/>
      </items>
    </pivotField>
  </pivotFields>
  <rowFields count="1">
    <field x="9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Items count="1">
    <i/>
  </colItems>
  <pageFields count="1">
    <pageField fld="8" hier="-1"/>
  </pageFields>
  <dataFields count="1">
    <dataField name="Среднее по полю средняя стоимость в категории по поставщику." fld="12" subtotal="average" baseField="9" baseItem="18"/>
  </dataFields>
  <formats count="2">
    <format dxfId="42">
      <pivotArea collapsedLevelsAreSubtotals="1" fieldPosition="0">
        <references count="1">
          <reference field="9" count="1">
            <x v="0"/>
          </reference>
        </references>
      </pivotArea>
    </format>
    <format dxfId="41">
      <pivotArea outline="0" collapsedLevelsAreSubtotals="1" fieldPosition="0"/>
    </format>
  </formats>
  <chartFormats count="2">
    <chartFormat chart="6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4FA19-7154-4EA0-BB70-3FE96B2A68BC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3:B8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Page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axis="axisRow" showAll="0" sortType="descending">
      <items count="79">
        <item x="62"/>
        <item x="75"/>
        <item x="8"/>
        <item x="61"/>
        <item x="7"/>
        <item x="43"/>
        <item x="14"/>
        <item x="57"/>
        <item x="26"/>
        <item x="21"/>
        <item x="48"/>
        <item x="76"/>
        <item x="30"/>
        <item x="10"/>
        <item x="68"/>
        <item x="53"/>
        <item x="51"/>
        <item x="35"/>
        <item x="59"/>
        <item x="58"/>
        <item x="36"/>
        <item x="20"/>
        <item x="3"/>
        <item x="77"/>
        <item x="54"/>
        <item x="38"/>
        <item x="28"/>
        <item x="65"/>
        <item x="41"/>
        <item x="4"/>
        <item x="1"/>
        <item x="50"/>
        <item x="17"/>
        <item x="31"/>
        <item x="66"/>
        <item x="19"/>
        <item x="6"/>
        <item x="71"/>
        <item x="15"/>
        <item x="34"/>
        <item x="60"/>
        <item x="24"/>
        <item x="40"/>
        <item x="16"/>
        <item x="45"/>
        <item x="0"/>
        <item x="22"/>
        <item x="29"/>
        <item x="9"/>
        <item x="27"/>
        <item x="56"/>
        <item x="44"/>
        <item x="55"/>
        <item x="52"/>
        <item x="12"/>
        <item x="32"/>
        <item x="69"/>
        <item x="25"/>
        <item x="74"/>
        <item x="70"/>
        <item x="63"/>
        <item x="11"/>
        <item x="37"/>
        <item x="46"/>
        <item x="47"/>
        <item x="67"/>
        <item x="64"/>
        <item x="5"/>
        <item x="49"/>
        <item x="23"/>
        <item x="73"/>
        <item x="39"/>
        <item x="42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/>
    <pivotField dataField="1" numFmtId="9" showAll="0"/>
    <pivotField numFmtId="14" showAll="0"/>
    <pivotField showAll="0"/>
    <pivotField numFmtId="14" showAll="0"/>
    <pivotField numFmtId="1" showAll="0">
      <items count="254">
        <item x="38"/>
        <item x="196"/>
        <item x="111"/>
        <item x="191"/>
        <item x="66"/>
        <item x="192"/>
        <item x="116"/>
        <item x="97"/>
        <item x="131"/>
        <item x="243"/>
        <item x="204"/>
        <item x="39"/>
        <item x="238"/>
        <item x="242"/>
        <item x="186"/>
        <item x="137"/>
        <item x="189"/>
        <item x="88"/>
        <item x="43"/>
        <item x="194"/>
        <item x="223"/>
        <item x="76"/>
        <item x="183"/>
        <item x="17"/>
        <item x="36"/>
        <item x="117"/>
        <item x="93"/>
        <item x="133"/>
        <item x="101"/>
        <item x="57"/>
        <item x="40"/>
        <item x="213"/>
        <item x="208"/>
        <item x="141"/>
        <item x="108"/>
        <item x="246"/>
        <item x="201"/>
        <item x="89"/>
        <item x="236"/>
        <item x="157"/>
        <item x="188"/>
        <item x="18"/>
        <item x="169"/>
        <item x="69"/>
        <item x="195"/>
        <item x="100"/>
        <item x="155"/>
        <item x="12"/>
        <item x="31"/>
        <item x="206"/>
        <item x="48"/>
        <item x="51"/>
        <item x="176"/>
        <item x="219"/>
        <item x="54"/>
        <item x="225"/>
        <item x="2"/>
        <item x="71"/>
        <item x="235"/>
        <item x="252"/>
        <item x="34"/>
        <item x="60"/>
        <item x="118"/>
        <item x="42"/>
        <item x="168"/>
        <item x="181"/>
        <item x="218"/>
        <item x="81"/>
        <item x="86"/>
        <item x="14"/>
        <item x="187"/>
        <item x="67"/>
        <item x="234"/>
        <item x="130"/>
        <item x="33"/>
        <item x="180"/>
        <item x="80"/>
        <item x="110"/>
        <item x="237"/>
        <item x="207"/>
        <item x="145"/>
        <item x="74"/>
        <item x="49"/>
        <item x="13"/>
        <item x="126"/>
        <item x="193"/>
        <item x="132"/>
        <item x="216"/>
        <item x="228"/>
        <item x="25"/>
        <item x="61"/>
        <item x="203"/>
        <item x="142"/>
        <item x="185"/>
        <item x="241"/>
        <item x="161"/>
        <item x="44"/>
        <item x="173"/>
        <item x="119"/>
        <item x="63"/>
        <item x="72"/>
        <item x="64"/>
        <item x="37"/>
        <item x="45"/>
        <item x="250"/>
        <item x="177"/>
        <item x="144"/>
        <item x="75"/>
        <item x="32"/>
        <item x="165"/>
        <item x="19"/>
        <item x="46"/>
        <item x="171"/>
        <item x="65"/>
        <item x="1"/>
        <item x="0"/>
        <item x="233"/>
        <item x="147"/>
        <item x="84"/>
        <item x="205"/>
        <item x="231"/>
        <item x="6"/>
        <item x="115"/>
        <item x="245"/>
        <item x="251"/>
        <item x="96"/>
        <item x="212"/>
        <item x="174"/>
        <item x="211"/>
        <item x="114"/>
        <item x="239"/>
        <item x="21"/>
        <item x="200"/>
        <item x="139"/>
        <item x="156"/>
        <item x="202"/>
        <item x="226"/>
        <item x="90"/>
        <item x="197"/>
        <item x="106"/>
        <item x="109"/>
        <item x="222"/>
        <item x="77"/>
        <item x="105"/>
        <item x="92"/>
        <item x="56"/>
        <item x="240"/>
        <item x="35"/>
        <item x="143"/>
        <item x="178"/>
        <item x="166"/>
        <item x="121"/>
        <item x="164"/>
        <item x="120"/>
        <item x="198"/>
        <item x="9"/>
        <item x="113"/>
        <item x="221"/>
        <item x="50"/>
        <item x="29"/>
        <item x="159"/>
        <item x="162"/>
        <item x="68"/>
        <item x="24"/>
        <item x="217"/>
        <item x="247"/>
        <item x="123"/>
        <item x="154"/>
        <item x="8"/>
        <item x="52"/>
        <item x="229"/>
        <item x="248"/>
        <item x="15"/>
        <item x="209"/>
        <item x="20"/>
        <item x="160"/>
        <item x="107"/>
        <item x="112"/>
        <item x="134"/>
        <item x="182"/>
        <item x="102"/>
        <item x="190"/>
        <item x="167"/>
        <item x="103"/>
        <item x="184"/>
        <item x="59"/>
        <item x="249"/>
        <item x="175"/>
        <item x="11"/>
        <item x="150"/>
        <item x="10"/>
        <item x="23"/>
        <item x="27"/>
        <item x="138"/>
        <item x="30"/>
        <item x="104"/>
        <item x="62"/>
        <item x="151"/>
        <item x="3"/>
        <item x="83"/>
        <item x="163"/>
        <item x="58"/>
        <item x="136"/>
        <item x="94"/>
        <item x="172"/>
        <item x="91"/>
        <item x="170"/>
        <item x="70"/>
        <item x="140"/>
        <item x="124"/>
        <item x="53"/>
        <item x="47"/>
        <item x="158"/>
        <item x="7"/>
        <item x="148"/>
        <item x="244"/>
        <item x="122"/>
        <item x="199"/>
        <item x="26"/>
        <item x="41"/>
        <item x="128"/>
        <item x="79"/>
        <item x="16"/>
        <item x="210"/>
        <item x="85"/>
        <item x="232"/>
        <item x="87"/>
        <item x="125"/>
        <item x="227"/>
        <item x="215"/>
        <item x="230"/>
        <item x="135"/>
        <item x="146"/>
        <item x="214"/>
        <item x="73"/>
        <item x="78"/>
        <item x="5"/>
        <item x="98"/>
        <item x="149"/>
        <item x="28"/>
        <item x="4"/>
        <item x="99"/>
        <item x="179"/>
        <item x="95"/>
        <item x="152"/>
        <item x="224"/>
        <item x="82"/>
        <item x="220"/>
        <item x="55"/>
        <item x="127"/>
        <item x="129"/>
        <item x="22"/>
        <item x="153"/>
        <item t="default"/>
      </items>
    </pivotField>
    <pivotField showAll="0"/>
    <pivotField showAll="0"/>
    <pivotField showAll="0">
      <items count="2">
        <item x="0"/>
        <item t="default"/>
      </items>
    </pivotField>
  </pivotFields>
  <rowFields count="1">
    <field x="9"/>
  </rowFields>
  <rowItems count="79">
    <i>
      <x v="37"/>
    </i>
    <i>
      <x v="23"/>
    </i>
    <i>
      <x v="53"/>
    </i>
    <i>
      <x v="3"/>
    </i>
    <i>
      <x v="11"/>
    </i>
    <i>
      <x v="70"/>
    </i>
    <i>
      <x v="40"/>
    </i>
    <i>
      <x v="10"/>
    </i>
    <i>
      <x v="64"/>
    </i>
    <i>
      <x v="1"/>
    </i>
    <i>
      <x v="29"/>
    </i>
    <i>
      <x v="15"/>
    </i>
    <i>
      <x v="59"/>
    </i>
    <i>
      <x v="5"/>
    </i>
    <i>
      <x v="12"/>
    </i>
    <i>
      <x v="14"/>
    </i>
    <i>
      <x v="25"/>
    </i>
    <i>
      <x v="34"/>
    </i>
    <i>
      <x v="68"/>
    </i>
    <i>
      <x v="28"/>
    </i>
    <i>
      <x v="47"/>
    </i>
    <i>
      <x v="24"/>
    </i>
    <i>
      <x v="76"/>
    </i>
    <i>
      <x v="32"/>
    </i>
    <i>
      <x v="18"/>
    </i>
    <i>
      <x v="16"/>
    </i>
    <i>
      <x v="39"/>
    </i>
    <i>
      <x v="57"/>
    </i>
    <i>
      <x v="58"/>
    </i>
    <i>
      <x v="7"/>
    </i>
    <i>
      <x v="13"/>
    </i>
    <i>
      <x v="52"/>
    </i>
    <i>
      <x v="71"/>
    </i>
    <i>
      <x v="72"/>
    </i>
    <i>
      <x v="56"/>
    </i>
    <i>
      <x v="26"/>
    </i>
    <i>
      <x v="55"/>
    </i>
    <i>
      <x v="19"/>
    </i>
    <i>
      <x v="44"/>
    </i>
    <i>
      <x/>
    </i>
    <i>
      <x v="77"/>
    </i>
    <i>
      <x v="46"/>
    </i>
    <i>
      <x v="35"/>
    </i>
    <i>
      <x v="42"/>
    </i>
    <i>
      <x v="65"/>
    </i>
    <i>
      <x v="31"/>
    </i>
    <i>
      <x v="50"/>
    </i>
    <i>
      <x v="60"/>
    </i>
    <i>
      <x v="38"/>
    </i>
    <i>
      <x v="66"/>
    </i>
    <i>
      <x v="74"/>
    </i>
    <i>
      <x v="33"/>
    </i>
    <i>
      <x v="20"/>
    </i>
    <i>
      <x v="69"/>
    </i>
    <i>
      <x v="61"/>
    </i>
    <i>
      <x v="73"/>
    </i>
    <i>
      <x v="54"/>
    </i>
    <i>
      <x v="41"/>
    </i>
    <i>
      <x v="21"/>
    </i>
    <i>
      <x v="36"/>
    </i>
    <i>
      <x v="51"/>
    </i>
    <i>
      <x v="8"/>
    </i>
    <i>
      <x v="62"/>
    </i>
    <i>
      <x v="27"/>
    </i>
    <i>
      <x v="30"/>
    </i>
    <i>
      <x v="4"/>
    </i>
    <i>
      <x v="6"/>
    </i>
    <i>
      <x v="75"/>
    </i>
    <i>
      <x v="9"/>
    </i>
    <i>
      <x v="49"/>
    </i>
    <i>
      <x v="45"/>
    </i>
    <i>
      <x v="2"/>
    </i>
    <i>
      <x v="48"/>
    </i>
    <i>
      <x v="17"/>
    </i>
    <i>
      <x v="22"/>
    </i>
    <i>
      <x v="67"/>
    </i>
    <i>
      <x v="63"/>
    </i>
    <i>
      <x v="43"/>
    </i>
    <i t="grand">
      <x/>
    </i>
  </rowItems>
  <colItems count="1">
    <i/>
  </colItems>
  <pageFields count="1">
    <pageField fld="8" hier="-1"/>
  </pageFields>
  <dataFields count="1">
    <dataField name="Среднее по полю Выгода для клиента внутри поставщика." fld="13" subtotal="average" baseField="9" baseItem="0" numFmtId="9"/>
  </dataFields>
  <chartFormats count="2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7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E7E64-FD15-4050-B297-1C6D05D68151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>
  <location ref="A3:B82" firstHeaderRow="1" firstDataRow="1" firstDataCol="1"/>
  <pivotFields count="21">
    <pivotField showAll="0"/>
    <pivotField showAll="0"/>
    <pivotField showAll="0"/>
    <pivotField showAll="0"/>
    <pivotField dataField="1" showAll="0"/>
    <pivotField numFmtId="164" showAll="0"/>
    <pivotField showAll="0"/>
    <pivotField showAll="0"/>
    <pivotField showAll="0"/>
    <pivotField axis="axisRow" showAll="0" sortType="descending">
      <items count="79">
        <item x="62"/>
        <item x="75"/>
        <item x="8"/>
        <item x="61"/>
        <item x="7"/>
        <item x="43"/>
        <item x="14"/>
        <item x="57"/>
        <item x="26"/>
        <item x="21"/>
        <item x="48"/>
        <item x="76"/>
        <item x="30"/>
        <item x="10"/>
        <item x="68"/>
        <item x="53"/>
        <item x="51"/>
        <item x="35"/>
        <item x="59"/>
        <item x="58"/>
        <item x="36"/>
        <item x="20"/>
        <item x="3"/>
        <item x="77"/>
        <item x="54"/>
        <item x="38"/>
        <item x="28"/>
        <item x="65"/>
        <item x="41"/>
        <item x="4"/>
        <item x="1"/>
        <item x="50"/>
        <item x="17"/>
        <item x="31"/>
        <item x="66"/>
        <item x="19"/>
        <item x="6"/>
        <item x="71"/>
        <item x="15"/>
        <item x="34"/>
        <item x="60"/>
        <item x="24"/>
        <item x="40"/>
        <item x="16"/>
        <item x="45"/>
        <item x="0"/>
        <item x="22"/>
        <item x="29"/>
        <item x="9"/>
        <item x="27"/>
        <item x="56"/>
        <item x="44"/>
        <item x="55"/>
        <item x="52"/>
        <item x="12"/>
        <item x="32"/>
        <item x="69"/>
        <item x="25"/>
        <item x="74"/>
        <item x="70"/>
        <item x="63"/>
        <item x="11"/>
        <item x="37"/>
        <item x="46"/>
        <item x="47"/>
        <item x="67"/>
        <item x="64"/>
        <item x="5"/>
        <item x="49"/>
        <item x="23"/>
        <item x="73"/>
        <item x="39"/>
        <item x="42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/>
    <pivotField numFmtId="9" showAll="0"/>
    <pivotField numFmtId="14" showAll="0"/>
    <pivotField showAll="0"/>
    <pivotField numFmtId="14" showAll="0"/>
    <pivotField numFmtId="1" showAll="0">
      <items count="254">
        <item x="38"/>
        <item x="196"/>
        <item x="111"/>
        <item x="191"/>
        <item x="66"/>
        <item x="192"/>
        <item x="116"/>
        <item x="97"/>
        <item x="131"/>
        <item x="243"/>
        <item x="204"/>
        <item x="39"/>
        <item x="238"/>
        <item x="242"/>
        <item x="186"/>
        <item x="137"/>
        <item x="189"/>
        <item x="88"/>
        <item x="43"/>
        <item x="194"/>
        <item x="223"/>
        <item x="76"/>
        <item x="183"/>
        <item x="17"/>
        <item x="36"/>
        <item x="117"/>
        <item x="93"/>
        <item x="133"/>
        <item x="101"/>
        <item x="57"/>
        <item x="40"/>
        <item x="213"/>
        <item x="208"/>
        <item x="141"/>
        <item x="108"/>
        <item x="246"/>
        <item x="201"/>
        <item x="89"/>
        <item x="236"/>
        <item x="157"/>
        <item x="188"/>
        <item x="18"/>
        <item x="169"/>
        <item x="69"/>
        <item x="195"/>
        <item x="100"/>
        <item x="155"/>
        <item x="12"/>
        <item x="31"/>
        <item x="206"/>
        <item x="48"/>
        <item x="51"/>
        <item x="176"/>
        <item x="219"/>
        <item x="54"/>
        <item x="225"/>
        <item x="2"/>
        <item x="71"/>
        <item x="235"/>
        <item x="252"/>
        <item x="34"/>
        <item x="60"/>
        <item x="118"/>
        <item x="42"/>
        <item x="168"/>
        <item x="181"/>
        <item x="218"/>
        <item x="81"/>
        <item x="86"/>
        <item x="14"/>
        <item x="187"/>
        <item x="67"/>
        <item x="234"/>
        <item x="130"/>
        <item x="33"/>
        <item x="180"/>
        <item x="80"/>
        <item x="110"/>
        <item x="237"/>
        <item x="207"/>
        <item x="145"/>
        <item x="74"/>
        <item x="49"/>
        <item x="13"/>
        <item x="126"/>
        <item x="193"/>
        <item x="132"/>
        <item x="216"/>
        <item x="228"/>
        <item x="25"/>
        <item x="61"/>
        <item x="203"/>
        <item x="142"/>
        <item x="185"/>
        <item x="241"/>
        <item x="161"/>
        <item x="44"/>
        <item x="173"/>
        <item x="119"/>
        <item x="63"/>
        <item x="72"/>
        <item x="64"/>
        <item x="37"/>
        <item x="45"/>
        <item x="250"/>
        <item x="177"/>
        <item x="144"/>
        <item x="75"/>
        <item x="32"/>
        <item x="165"/>
        <item x="19"/>
        <item x="46"/>
        <item x="171"/>
        <item x="65"/>
        <item x="1"/>
        <item x="0"/>
        <item x="233"/>
        <item x="147"/>
        <item x="84"/>
        <item x="205"/>
        <item x="231"/>
        <item x="6"/>
        <item x="115"/>
        <item x="245"/>
        <item x="251"/>
        <item x="96"/>
        <item x="212"/>
        <item x="174"/>
        <item x="211"/>
        <item x="114"/>
        <item x="239"/>
        <item x="21"/>
        <item x="200"/>
        <item x="139"/>
        <item x="156"/>
        <item x="202"/>
        <item x="226"/>
        <item x="90"/>
        <item x="197"/>
        <item x="106"/>
        <item x="109"/>
        <item x="222"/>
        <item x="77"/>
        <item x="105"/>
        <item x="92"/>
        <item x="56"/>
        <item x="240"/>
        <item x="35"/>
        <item x="143"/>
        <item x="178"/>
        <item x="166"/>
        <item x="121"/>
        <item x="164"/>
        <item x="120"/>
        <item x="198"/>
        <item x="9"/>
        <item x="113"/>
        <item x="221"/>
        <item x="50"/>
        <item x="29"/>
        <item x="159"/>
        <item x="162"/>
        <item x="68"/>
        <item x="24"/>
        <item x="217"/>
        <item x="247"/>
        <item x="123"/>
        <item x="154"/>
        <item x="8"/>
        <item x="52"/>
        <item x="229"/>
        <item x="248"/>
        <item x="15"/>
        <item x="209"/>
        <item x="20"/>
        <item x="160"/>
        <item x="107"/>
        <item x="112"/>
        <item x="134"/>
        <item x="182"/>
        <item x="102"/>
        <item x="190"/>
        <item x="167"/>
        <item x="103"/>
        <item x="184"/>
        <item x="59"/>
        <item x="249"/>
        <item x="175"/>
        <item x="11"/>
        <item x="150"/>
        <item x="10"/>
        <item x="23"/>
        <item x="27"/>
        <item x="138"/>
        <item x="30"/>
        <item x="104"/>
        <item x="62"/>
        <item x="151"/>
        <item x="3"/>
        <item x="83"/>
        <item x="163"/>
        <item x="58"/>
        <item x="136"/>
        <item x="94"/>
        <item x="172"/>
        <item x="91"/>
        <item x="170"/>
        <item x="70"/>
        <item x="140"/>
        <item x="124"/>
        <item x="53"/>
        <item x="47"/>
        <item x="158"/>
        <item x="7"/>
        <item x="148"/>
        <item x="244"/>
        <item x="122"/>
        <item x="199"/>
        <item x="26"/>
        <item x="41"/>
        <item x="128"/>
        <item x="79"/>
        <item x="16"/>
        <item x="210"/>
        <item x="85"/>
        <item x="232"/>
        <item x="87"/>
        <item x="125"/>
        <item x="227"/>
        <item x="215"/>
        <item x="230"/>
        <item x="135"/>
        <item x="146"/>
        <item x="214"/>
        <item x="73"/>
        <item x="78"/>
        <item x="5"/>
        <item x="98"/>
        <item x="149"/>
        <item x="28"/>
        <item x="4"/>
        <item x="99"/>
        <item x="179"/>
        <item x="95"/>
        <item x="152"/>
        <item x="224"/>
        <item x="82"/>
        <item x="220"/>
        <item x="55"/>
        <item x="127"/>
        <item x="129"/>
        <item x="22"/>
        <item x="153"/>
        <item t="default"/>
      </items>
    </pivotField>
    <pivotField showAll="0"/>
    <pivotField showAll="0"/>
    <pivotField showAll="0">
      <items count="2">
        <item x="0"/>
        <item t="default"/>
      </items>
    </pivotField>
  </pivotFields>
  <rowFields count="1">
    <field x="9"/>
  </rowFields>
  <rowItems count="79">
    <i>
      <x v="43"/>
    </i>
    <i>
      <x v="67"/>
    </i>
    <i>
      <x v="63"/>
    </i>
    <i>
      <x v="2"/>
    </i>
    <i>
      <x v="17"/>
    </i>
    <i>
      <x v="22"/>
    </i>
    <i>
      <x v="27"/>
    </i>
    <i>
      <x v="9"/>
    </i>
    <i>
      <x v="21"/>
    </i>
    <i>
      <x v="49"/>
    </i>
    <i>
      <x v="4"/>
    </i>
    <i>
      <x v="41"/>
    </i>
    <i>
      <x v="36"/>
    </i>
    <i>
      <x v="45"/>
    </i>
    <i>
      <x v="62"/>
    </i>
    <i>
      <x v="48"/>
    </i>
    <i>
      <x v="6"/>
    </i>
    <i>
      <x v="51"/>
    </i>
    <i>
      <x v="69"/>
    </i>
    <i>
      <x v="38"/>
    </i>
    <i>
      <x v="75"/>
    </i>
    <i>
      <x v="30"/>
    </i>
    <i>
      <x v="52"/>
    </i>
    <i>
      <x v="20"/>
    </i>
    <i>
      <x v="61"/>
    </i>
    <i>
      <x v="74"/>
    </i>
    <i>
      <x v="8"/>
    </i>
    <i>
      <x v="19"/>
    </i>
    <i>
      <x v="73"/>
    </i>
    <i>
      <x v="56"/>
    </i>
    <i>
      <x v="46"/>
    </i>
    <i>
      <x v="66"/>
    </i>
    <i>
      <x v="31"/>
    </i>
    <i>
      <x v="39"/>
    </i>
    <i>
      <x v="54"/>
    </i>
    <i>
      <x v="44"/>
    </i>
    <i>
      <x v="13"/>
    </i>
    <i>
      <x v="33"/>
    </i>
    <i>
      <x v="42"/>
    </i>
    <i>
      <x v="35"/>
    </i>
    <i>
      <x/>
    </i>
    <i>
      <x v="60"/>
    </i>
    <i>
      <x v="26"/>
    </i>
    <i>
      <x v="28"/>
    </i>
    <i>
      <x v="50"/>
    </i>
    <i>
      <x v="5"/>
    </i>
    <i>
      <x v="72"/>
    </i>
    <i>
      <x v="65"/>
    </i>
    <i>
      <x v="55"/>
    </i>
    <i>
      <x v="77"/>
    </i>
    <i>
      <x v="47"/>
    </i>
    <i>
      <x v="76"/>
    </i>
    <i>
      <x v="18"/>
    </i>
    <i>
      <x v="24"/>
    </i>
    <i>
      <x v="71"/>
    </i>
    <i>
      <x v="58"/>
    </i>
    <i>
      <x v="7"/>
    </i>
    <i>
      <x v="15"/>
    </i>
    <i>
      <x v="32"/>
    </i>
    <i>
      <x v="1"/>
    </i>
    <i>
      <x v="34"/>
    </i>
    <i>
      <x v="25"/>
    </i>
    <i>
      <x v="16"/>
    </i>
    <i>
      <x v="12"/>
    </i>
    <i>
      <x v="68"/>
    </i>
    <i>
      <x v="57"/>
    </i>
    <i>
      <x v="59"/>
    </i>
    <i>
      <x v="40"/>
    </i>
    <i>
      <x v="14"/>
    </i>
    <i>
      <x v="10"/>
    </i>
    <i>
      <x v="53"/>
    </i>
    <i>
      <x v="70"/>
    </i>
    <i>
      <x v="64"/>
    </i>
    <i>
      <x v="29"/>
    </i>
    <i>
      <x v="3"/>
    </i>
    <i>
      <x v="11"/>
    </i>
    <i>
      <x v="23"/>
    </i>
    <i>
      <x v="37"/>
    </i>
    <i t="grand">
      <x/>
    </i>
  </rowItems>
  <colItems count="1">
    <i/>
  </colItems>
  <dataFields count="1">
    <dataField name="Сумма по полю сумма чека" fld="4" baseField="0" baseItem="0" numFmtId="168"/>
  </dataFields>
  <formats count="2">
    <format dxfId="40">
      <pivotArea outline="0" collapsedLevelsAreSubtotals="1" fieldPosition="0"/>
    </format>
    <format dxfId="39">
      <pivotArea dataOnly="0" labelOnly="1" outline="0" axis="axisValues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9A2EE-1BE3-4786-8981-5872672DE4D3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A3:B24" firstHeaderRow="1" firstDataRow="1" firstDataCol="1"/>
  <pivotFields count="21"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axis="axisRow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showAll="0"/>
    <pivotField numFmtId="165" showAll="0"/>
    <pivotField numFmtId="9" showAll="0"/>
    <pivotField showAll="0"/>
    <pivotField numFmtId="9" showAll="0"/>
    <pivotField numFmtId="14" showAll="0"/>
    <pivotField showAll="0"/>
    <pivotField numFmtId="14" showAll="0"/>
    <pivotField numFmtId="1" showAll="0">
      <items count="254">
        <item x="38"/>
        <item x="196"/>
        <item x="111"/>
        <item x="191"/>
        <item x="66"/>
        <item x="192"/>
        <item x="116"/>
        <item x="97"/>
        <item x="131"/>
        <item x="243"/>
        <item x="204"/>
        <item x="39"/>
        <item x="238"/>
        <item x="242"/>
        <item x="186"/>
        <item x="137"/>
        <item x="189"/>
        <item x="88"/>
        <item x="43"/>
        <item x="194"/>
        <item x="223"/>
        <item x="76"/>
        <item x="183"/>
        <item x="17"/>
        <item x="36"/>
        <item x="117"/>
        <item x="93"/>
        <item x="133"/>
        <item x="101"/>
        <item x="57"/>
        <item x="40"/>
        <item x="213"/>
        <item x="208"/>
        <item x="141"/>
        <item x="108"/>
        <item x="246"/>
        <item x="201"/>
        <item x="89"/>
        <item x="236"/>
        <item x="157"/>
        <item x="188"/>
        <item x="18"/>
        <item x="169"/>
        <item x="69"/>
        <item x="195"/>
        <item x="100"/>
        <item x="155"/>
        <item x="12"/>
        <item x="31"/>
        <item x="206"/>
        <item x="48"/>
        <item x="51"/>
        <item x="176"/>
        <item x="219"/>
        <item x="54"/>
        <item x="225"/>
        <item x="2"/>
        <item x="71"/>
        <item x="235"/>
        <item x="252"/>
        <item x="34"/>
        <item x="60"/>
        <item x="118"/>
        <item x="42"/>
        <item x="168"/>
        <item x="181"/>
        <item x="218"/>
        <item x="81"/>
        <item x="86"/>
        <item x="14"/>
        <item x="187"/>
        <item x="67"/>
        <item x="234"/>
        <item x="130"/>
        <item x="33"/>
        <item x="180"/>
        <item x="80"/>
        <item x="110"/>
        <item x="237"/>
        <item x="207"/>
        <item x="145"/>
        <item x="74"/>
        <item x="49"/>
        <item x="13"/>
        <item x="126"/>
        <item x="193"/>
        <item x="132"/>
        <item x="216"/>
        <item x="228"/>
        <item x="25"/>
        <item x="61"/>
        <item x="203"/>
        <item x="142"/>
        <item x="185"/>
        <item x="241"/>
        <item x="161"/>
        <item x="44"/>
        <item x="173"/>
        <item x="119"/>
        <item x="63"/>
        <item x="72"/>
        <item x="64"/>
        <item x="37"/>
        <item x="45"/>
        <item x="250"/>
        <item x="177"/>
        <item x="144"/>
        <item x="75"/>
        <item x="32"/>
        <item x="165"/>
        <item x="19"/>
        <item x="46"/>
        <item x="171"/>
        <item x="65"/>
        <item x="1"/>
        <item x="0"/>
        <item x="233"/>
        <item x="147"/>
        <item x="84"/>
        <item x="205"/>
        <item x="231"/>
        <item x="6"/>
        <item x="115"/>
        <item x="245"/>
        <item x="251"/>
        <item x="96"/>
        <item x="212"/>
        <item x="174"/>
        <item x="211"/>
        <item x="114"/>
        <item x="239"/>
        <item x="21"/>
        <item x="200"/>
        <item x="139"/>
        <item x="156"/>
        <item x="202"/>
        <item x="226"/>
        <item x="90"/>
        <item x="197"/>
        <item x="106"/>
        <item x="109"/>
        <item x="222"/>
        <item x="77"/>
        <item x="105"/>
        <item x="92"/>
        <item x="56"/>
        <item x="240"/>
        <item x="35"/>
        <item x="143"/>
        <item x="178"/>
        <item x="166"/>
        <item x="121"/>
        <item x="164"/>
        <item x="120"/>
        <item x="198"/>
        <item x="9"/>
        <item x="113"/>
        <item x="221"/>
        <item x="50"/>
        <item x="29"/>
        <item x="159"/>
        <item x="162"/>
        <item x="68"/>
        <item x="24"/>
        <item x="217"/>
        <item x="247"/>
        <item x="123"/>
        <item x="154"/>
        <item x="8"/>
        <item x="52"/>
        <item x="229"/>
        <item x="248"/>
        <item x="15"/>
        <item x="209"/>
        <item x="20"/>
        <item x="160"/>
        <item x="107"/>
        <item x="112"/>
        <item x="134"/>
        <item x="182"/>
        <item x="102"/>
        <item x="190"/>
        <item x="167"/>
        <item x="103"/>
        <item x="184"/>
        <item x="59"/>
        <item x="249"/>
        <item x="175"/>
        <item x="11"/>
        <item x="150"/>
        <item x="10"/>
        <item x="23"/>
        <item x="27"/>
        <item x="138"/>
        <item x="30"/>
        <item x="104"/>
        <item x="62"/>
        <item x="151"/>
        <item x="3"/>
        <item x="83"/>
        <item x="163"/>
        <item x="58"/>
        <item x="136"/>
        <item x="94"/>
        <item x="172"/>
        <item x="91"/>
        <item x="170"/>
        <item x="70"/>
        <item x="140"/>
        <item x="124"/>
        <item x="53"/>
        <item x="47"/>
        <item x="158"/>
        <item x="7"/>
        <item x="148"/>
        <item x="244"/>
        <item x="122"/>
        <item x="199"/>
        <item x="26"/>
        <item x="41"/>
        <item x="128"/>
        <item x="79"/>
        <item x="16"/>
        <item x="210"/>
        <item x="85"/>
        <item x="232"/>
        <item x="87"/>
        <item x="125"/>
        <item x="227"/>
        <item x="215"/>
        <item x="230"/>
        <item x="135"/>
        <item x="146"/>
        <item x="214"/>
        <item x="73"/>
        <item x="78"/>
        <item x="5"/>
        <item x="98"/>
        <item x="149"/>
        <item x="28"/>
        <item x="4"/>
        <item x="99"/>
        <item x="179"/>
        <item x="95"/>
        <item x="152"/>
        <item x="224"/>
        <item x="82"/>
        <item x="220"/>
        <item x="55"/>
        <item x="127"/>
        <item x="129"/>
        <item x="22"/>
        <item x="153"/>
        <item t="default"/>
      </items>
    </pivotField>
    <pivotField showAll="0"/>
    <pivotField showAll="0"/>
    <pivotField showAll="0">
      <items count="2">
        <item x="0"/>
        <item t="default"/>
      </items>
    </pivotField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Среднее по полю кол-во штук в чеке" fld="3" subtotal="average" baseField="8" baseItem="17"/>
  </dataFields>
  <formats count="1">
    <format dxfId="37">
      <pivotArea collapsedLevelsAreSubtotals="1" fieldPosition="0">
        <references count="1">
          <reference field="8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3E59A-9CD3-4768-826C-E92E456AFDC0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21">
    <pivotField showAll="0"/>
    <pivotField showAll="0"/>
    <pivotField showAll="0"/>
    <pivotField showAll="0"/>
    <pivotField dataField="1" showAll="0"/>
    <pivotField numFmtId="164" showAll="0"/>
    <pivotField showAll="0"/>
    <pivotField showAll="0"/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9" showAll="0"/>
    <pivotField showAll="0"/>
    <pivotField numFmtId="9" showAll="0"/>
    <pivotField numFmtId="14" showAll="0"/>
    <pivotField showAll="0"/>
    <pivotField numFmtId="14" showAll="0"/>
    <pivotField numFmtId="1" showAll="0">
      <items count="254">
        <item x="38"/>
        <item x="196"/>
        <item x="111"/>
        <item x="191"/>
        <item x="66"/>
        <item x="192"/>
        <item x="116"/>
        <item x="97"/>
        <item x="131"/>
        <item x="243"/>
        <item x="204"/>
        <item x="39"/>
        <item x="238"/>
        <item x="242"/>
        <item x="186"/>
        <item x="137"/>
        <item x="189"/>
        <item x="88"/>
        <item x="43"/>
        <item x="194"/>
        <item x="223"/>
        <item x="76"/>
        <item x="183"/>
        <item x="17"/>
        <item x="36"/>
        <item x="117"/>
        <item x="93"/>
        <item x="133"/>
        <item x="101"/>
        <item x="57"/>
        <item x="40"/>
        <item x="213"/>
        <item x="208"/>
        <item x="141"/>
        <item x="108"/>
        <item x="246"/>
        <item x="201"/>
        <item x="89"/>
        <item x="236"/>
        <item x="157"/>
        <item x="188"/>
        <item x="18"/>
        <item x="169"/>
        <item x="69"/>
        <item x="195"/>
        <item x="100"/>
        <item x="155"/>
        <item x="12"/>
        <item x="31"/>
        <item x="206"/>
        <item x="48"/>
        <item x="51"/>
        <item x="176"/>
        <item x="219"/>
        <item x="54"/>
        <item x="225"/>
        <item x="2"/>
        <item x="71"/>
        <item x="235"/>
        <item x="252"/>
        <item x="34"/>
        <item x="60"/>
        <item x="118"/>
        <item x="42"/>
        <item x="168"/>
        <item x="181"/>
        <item x="218"/>
        <item x="81"/>
        <item x="86"/>
        <item x="14"/>
        <item x="187"/>
        <item x="67"/>
        <item x="234"/>
        <item x="130"/>
        <item x="33"/>
        <item x="180"/>
        <item x="80"/>
        <item x="110"/>
        <item x="237"/>
        <item x="207"/>
        <item x="145"/>
        <item x="74"/>
        <item x="49"/>
        <item x="13"/>
        <item x="126"/>
        <item x="193"/>
        <item x="132"/>
        <item x="216"/>
        <item x="228"/>
        <item x="25"/>
        <item x="61"/>
        <item x="203"/>
        <item x="142"/>
        <item x="185"/>
        <item x="241"/>
        <item x="161"/>
        <item x="44"/>
        <item x="173"/>
        <item x="119"/>
        <item x="63"/>
        <item x="72"/>
        <item x="64"/>
        <item x="37"/>
        <item x="45"/>
        <item x="250"/>
        <item x="177"/>
        <item x="144"/>
        <item x="75"/>
        <item x="32"/>
        <item x="165"/>
        <item x="19"/>
        <item x="46"/>
        <item x="171"/>
        <item x="65"/>
        <item x="1"/>
        <item x="0"/>
        <item x="233"/>
        <item x="147"/>
        <item x="84"/>
        <item x="205"/>
        <item x="231"/>
        <item x="6"/>
        <item x="115"/>
        <item x="245"/>
        <item x="251"/>
        <item x="96"/>
        <item x="212"/>
        <item x="174"/>
        <item x="211"/>
        <item x="114"/>
        <item x="239"/>
        <item x="21"/>
        <item x="200"/>
        <item x="139"/>
        <item x="156"/>
        <item x="202"/>
        <item x="226"/>
        <item x="90"/>
        <item x="197"/>
        <item x="106"/>
        <item x="109"/>
        <item x="222"/>
        <item x="77"/>
        <item x="105"/>
        <item x="92"/>
        <item x="56"/>
        <item x="240"/>
        <item x="35"/>
        <item x="143"/>
        <item x="178"/>
        <item x="166"/>
        <item x="121"/>
        <item x="164"/>
        <item x="120"/>
        <item x="198"/>
        <item x="9"/>
        <item x="113"/>
        <item x="221"/>
        <item x="50"/>
        <item x="29"/>
        <item x="159"/>
        <item x="162"/>
        <item x="68"/>
        <item x="24"/>
        <item x="217"/>
        <item x="247"/>
        <item x="123"/>
        <item x="154"/>
        <item x="8"/>
        <item x="52"/>
        <item x="229"/>
        <item x="248"/>
        <item x="15"/>
        <item x="209"/>
        <item x="20"/>
        <item x="160"/>
        <item x="107"/>
        <item x="112"/>
        <item x="134"/>
        <item x="182"/>
        <item x="102"/>
        <item x="190"/>
        <item x="167"/>
        <item x="103"/>
        <item x="184"/>
        <item x="59"/>
        <item x="249"/>
        <item x="175"/>
        <item x="11"/>
        <item x="150"/>
        <item x="10"/>
        <item x="23"/>
        <item x="27"/>
        <item x="138"/>
        <item x="30"/>
        <item x="104"/>
        <item x="62"/>
        <item x="151"/>
        <item x="3"/>
        <item x="83"/>
        <item x="163"/>
        <item x="58"/>
        <item x="136"/>
        <item x="94"/>
        <item x="172"/>
        <item x="91"/>
        <item x="170"/>
        <item x="70"/>
        <item x="140"/>
        <item x="124"/>
        <item x="53"/>
        <item x="47"/>
        <item x="158"/>
        <item x="7"/>
        <item x="148"/>
        <item x="244"/>
        <item x="122"/>
        <item x="199"/>
        <item x="26"/>
        <item x="41"/>
        <item x="128"/>
        <item x="79"/>
        <item x="16"/>
        <item x="210"/>
        <item x="85"/>
        <item x="232"/>
        <item x="87"/>
        <item x="125"/>
        <item x="227"/>
        <item x="215"/>
        <item x="230"/>
        <item x="135"/>
        <item x="146"/>
        <item x="214"/>
        <item x="73"/>
        <item x="78"/>
        <item x="5"/>
        <item x="98"/>
        <item x="149"/>
        <item x="28"/>
        <item x="4"/>
        <item x="99"/>
        <item x="179"/>
        <item x="95"/>
        <item x="152"/>
        <item x="224"/>
        <item x="82"/>
        <item x="220"/>
        <item x="55"/>
        <item x="127"/>
        <item x="129"/>
        <item x="22"/>
        <item x="153"/>
        <item t="default"/>
      </items>
    </pivotField>
    <pivotField showAll="0"/>
    <pivotField showAll="0"/>
    <pivotField showAll="0">
      <items count="2">
        <item x="0"/>
        <item t="default"/>
      </items>
    </pivotField>
  </pivotFields>
  <rowFields count="1">
    <field x="8"/>
  </rowFields>
  <rowItems count="21">
    <i>
      <x v="5"/>
    </i>
    <i>
      <x v="2"/>
    </i>
    <i>
      <x v="7"/>
    </i>
    <i>
      <x v="13"/>
    </i>
    <i>
      <x v="19"/>
    </i>
    <i>
      <x v="12"/>
    </i>
    <i>
      <x v="14"/>
    </i>
    <i>
      <x v="15"/>
    </i>
    <i>
      <x v="18"/>
    </i>
    <i>
      <x v="17"/>
    </i>
    <i>
      <x v="6"/>
    </i>
    <i>
      <x/>
    </i>
    <i>
      <x v="9"/>
    </i>
    <i>
      <x v="16"/>
    </i>
    <i>
      <x v="11"/>
    </i>
    <i>
      <x v="8"/>
    </i>
    <i>
      <x v="3"/>
    </i>
    <i>
      <x v="4"/>
    </i>
    <i>
      <x v="10"/>
    </i>
    <i>
      <x v="1"/>
    </i>
    <i t="grand">
      <x/>
    </i>
  </rowItems>
  <colItems count="1">
    <i/>
  </colItems>
  <dataFields count="1">
    <dataField name="Сумма по полю сумма чека" fld="4" baseField="8" baseItem="3"/>
  </dataFields>
  <formats count="1">
    <format dxfId="36">
      <pivotArea collapsedLevelsAreSubtotals="1" fieldPosition="0">
        <references count="1">
          <reference field="8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46CE9-0132-4E79-B638-7749FE4C026B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21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65" showAll="0"/>
    <pivotField numFmtId="9" showAll="0"/>
    <pivotField showAll="0"/>
    <pivotField numFmtId="9" showAll="0"/>
    <pivotField numFmtId="14" showAll="0"/>
    <pivotField showAll="0"/>
    <pivotField numFmtId="14" showAll="0"/>
    <pivotField numFmtId="1" showAll="0">
      <items count="254">
        <item x="38"/>
        <item x="196"/>
        <item x="111"/>
        <item x="191"/>
        <item x="66"/>
        <item x="192"/>
        <item x="116"/>
        <item x="97"/>
        <item x="131"/>
        <item x="243"/>
        <item x="204"/>
        <item x="39"/>
        <item x="238"/>
        <item x="242"/>
        <item x="186"/>
        <item x="137"/>
        <item x="189"/>
        <item x="88"/>
        <item x="43"/>
        <item x="194"/>
        <item x="223"/>
        <item x="76"/>
        <item x="183"/>
        <item x="17"/>
        <item x="36"/>
        <item x="117"/>
        <item x="93"/>
        <item x="133"/>
        <item x="101"/>
        <item x="57"/>
        <item x="40"/>
        <item x="213"/>
        <item x="208"/>
        <item x="141"/>
        <item x="108"/>
        <item x="246"/>
        <item x="201"/>
        <item x="89"/>
        <item x="236"/>
        <item x="157"/>
        <item x="188"/>
        <item x="18"/>
        <item x="169"/>
        <item x="69"/>
        <item x="195"/>
        <item x="100"/>
        <item x="155"/>
        <item x="12"/>
        <item x="31"/>
        <item x="206"/>
        <item x="48"/>
        <item x="51"/>
        <item x="176"/>
        <item x="219"/>
        <item x="54"/>
        <item x="225"/>
        <item x="2"/>
        <item x="71"/>
        <item x="235"/>
        <item x="252"/>
        <item x="34"/>
        <item x="60"/>
        <item x="118"/>
        <item x="42"/>
        <item x="168"/>
        <item x="181"/>
        <item x="218"/>
        <item x="81"/>
        <item x="86"/>
        <item x="14"/>
        <item x="187"/>
        <item x="67"/>
        <item x="234"/>
        <item x="130"/>
        <item x="33"/>
        <item x="180"/>
        <item x="80"/>
        <item x="110"/>
        <item x="237"/>
        <item x="207"/>
        <item x="145"/>
        <item x="74"/>
        <item x="49"/>
        <item x="13"/>
        <item x="126"/>
        <item x="193"/>
        <item x="132"/>
        <item x="216"/>
        <item x="228"/>
        <item x="25"/>
        <item x="61"/>
        <item x="203"/>
        <item x="142"/>
        <item x="185"/>
        <item x="241"/>
        <item x="161"/>
        <item x="44"/>
        <item x="173"/>
        <item x="119"/>
        <item x="63"/>
        <item x="72"/>
        <item x="64"/>
        <item x="37"/>
        <item x="45"/>
        <item x="250"/>
        <item x="177"/>
        <item x="144"/>
        <item x="75"/>
        <item x="32"/>
        <item x="165"/>
        <item x="19"/>
        <item x="46"/>
        <item x="171"/>
        <item x="65"/>
        <item x="1"/>
        <item x="0"/>
        <item x="233"/>
        <item x="147"/>
        <item x="84"/>
        <item x="205"/>
        <item x="231"/>
        <item x="6"/>
        <item x="115"/>
        <item x="245"/>
        <item x="251"/>
        <item x="96"/>
        <item x="212"/>
        <item x="174"/>
        <item x="211"/>
        <item x="114"/>
        <item x="239"/>
        <item x="21"/>
        <item x="200"/>
        <item x="139"/>
        <item x="156"/>
        <item x="202"/>
        <item x="226"/>
        <item x="90"/>
        <item x="197"/>
        <item x="106"/>
        <item x="109"/>
        <item x="222"/>
        <item x="77"/>
        <item x="105"/>
        <item x="92"/>
        <item x="56"/>
        <item x="240"/>
        <item x="35"/>
        <item x="143"/>
        <item x="178"/>
        <item x="166"/>
        <item x="121"/>
        <item x="164"/>
        <item x="120"/>
        <item x="198"/>
        <item x="9"/>
        <item x="113"/>
        <item x="221"/>
        <item x="50"/>
        <item x="29"/>
        <item x="159"/>
        <item x="162"/>
        <item x="68"/>
        <item x="24"/>
        <item x="217"/>
        <item x="247"/>
        <item x="123"/>
        <item x="154"/>
        <item x="8"/>
        <item x="52"/>
        <item x="229"/>
        <item x="248"/>
        <item x="15"/>
        <item x="209"/>
        <item x="20"/>
        <item x="160"/>
        <item x="107"/>
        <item x="112"/>
        <item x="134"/>
        <item x="182"/>
        <item x="102"/>
        <item x="190"/>
        <item x="167"/>
        <item x="103"/>
        <item x="184"/>
        <item x="59"/>
        <item x="249"/>
        <item x="175"/>
        <item x="11"/>
        <item x="150"/>
        <item x="10"/>
        <item x="23"/>
        <item x="27"/>
        <item x="138"/>
        <item x="30"/>
        <item x="104"/>
        <item x="62"/>
        <item x="151"/>
        <item x="3"/>
        <item x="83"/>
        <item x="163"/>
        <item x="58"/>
        <item x="136"/>
        <item x="94"/>
        <item x="172"/>
        <item x="91"/>
        <item x="170"/>
        <item x="70"/>
        <item x="140"/>
        <item x="124"/>
        <item x="53"/>
        <item x="47"/>
        <item x="158"/>
        <item x="7"/>
        <item x="148"/>
        <item x="244"/>
        <item x="122"/>
        <item x="199"/>
        <item x="26"/>
        <item x="41"/>
        <item x="128"/>
        <item x="79"/>
        <item x="16"/>
        <item x="210"/>
        <item x="85"/>
        <item x="232"/>
        <item x="87"/>
        <item x="125"/>
        <item x="227"/>
        <item x="215"/>
        <item x="230"/>
        <item x="135"/>
        <item x="146"/>
        <item x="214"/>
        <item x="73"/>
        <item x="78"/>
        <item x="5"/>
        <item x="98"/>
        <item x="149"/>
        <item x="28"/>
        <item x="4"/>
        <item x="99"/>
        <item x="179"/>
        <item x="95"/>
        <item x="152"/>
        <item x="224"/>
        <item x="82"/>
        <item x="220"/>
        <item x="55"/>
        <item x="127"/>
        <item x="129"/>
        <item x="22"/>
        <item x="153"/>
        <item t="default"/>
      </items>
    </pivotField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">
        <item x="0"/>
        <item t="default"/>
      </items>
    </pivotField>
  </pivotFields>
  <rowFields count="1">
    <field x="18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Сумма по полю сумма чека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59B27-0AAD-46F8-B655-84C49640028A}" name="Сводная таблица3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>
  <location ref="A1:B7" firstHeaderRow="1" firstDataRow="1" firstDataCol="1"/>
  <pivotFields count="11">
    <pivotField dataField="1" showAll="0"/>
    <pivotField showAll="0"/>
    <pivotField showAll="0"/>
    <pivotField showAll="0"/>
    <pivotField numFmtId="164" showAll="0"/>
    <pivotField showAll="0"/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Количество по полю id клиента" fld="0" subtotal="count" baseField="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E2BF1-2099-488A-B843-1ACACE231FAF}" name="Сводная таблица6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1">
    <pivotField numFmtId="1"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Программа лояльности клиента" fld="3" subtotal="count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C355C-091D-4A55-9B79-8ACB52EAFB83}" name="Сводная таблица1" cacheId="3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9">
  <location ref="A3:B308" firstHeaderRow="1" firstDataRow="1" firstDataCol="1"/>
  <pivotFields count="1">
    <pivotField axis="axisRow" dataField="1" showAll="0">
      <items count="306">
        <item x="4"/>
        <item x="204"/>
        <item x="118"/>
        <item x="36"/>
        <item x="0"/>
        <item x="148"/>
        <item x="79"/>
        <item x="121"/>
        <item x="62"/>
        <item x="211"/>
        <item x="1"/>
        <item x="92"/>
        <item x="199"/>
        <item x="282"/>
        <item x="206"/>
        <item x="65"/>
        <item x="51"/>
        <item x="168"/>
        <item x="230"/>
        <item x="39"/>
        <item x="40"/>
        <item x="290"/>
        <item x="274"/>
        <item x="169"/>
        <item x="120"/>
        <item x="221"/>
        <item x="179"/>
        <item x="258"/>
        <item x="240"/>
        <item x="112"/>
        <item x="64"/>
        <item x="145"/>
        <item x="82"/>
        <item x="128"/>
        <item x="63"/>
        <item x="87"/>
        <item x="113"/>
        <item x="268"/>
        <item x="289"/>
        <item x="125"/>
        <item x="115"/>
        <item x="161"/>
        <item x="164"/>
        <item x="276"/>
        <item x="2"/>
        <item x="190"/>
        <item x="88"/>
        <item x="208"/>
        <item x="275"/>
        <item x="295"/>
        <item x="191"/>
        <item x="3"/>
        <item x="116"/>
        <item x="69"/>
        <item x="181"/>
        <item x="122"/>
        <item x="35"/>
        <item x="198"/>
        <item x="223"/>
        <item x="212"/>
        <item x="229"/>
        <item x="200"/>
        <item x="110"/>
        <item x="238"/>
        <item x="90"/>
        <item x="182"/>
        <item x="139"/>
        <item x="215"/>
        <item x="57"/>
        <item x="15"/>
        <item x="234"/>
        <item x="83"/>
        <item x="255"/>
        <item x="195"/>
        <item x="137"/>
        <item x="156"/>
        <item x="227"/>
        <item x="205"/>
        <item x="34"/>
        <item x="42"/>
        <item x="89"/>
        <item x="209"/>
        <item x="166"/>
        <item x="158"/>
        <item x="153"/>
        <item x="44"/>
        <item x="66"/>
        <item x="277"/>
        <item x="130"/>
        <item x="50"/>
        <item x="303"/>
        <item x="253"/>
        <item x="80"/>
        <item x="37"/>
        <item x="138"/>
        <item x="119"/>
        <item x="38"/>
        <item x="163"/>
        <item x="256"/>
        <item x="5"/>
        <item x="228"/>
        <item x="61"/>
        <item x="159"/>
        <item x="261"/>
        <item x="214"/>
        <item x="146"/>
        <item x="147"/>
        <item x="43"/>
        <item x="150"/>
        <item x="281"/>
        <item x="32"/>
        <item x="103"/>
        <item x="70"/>
        <item x="226"/>
        <item x="270"/>
        <item x="220"/>
        <item x="162"/>
        <item x="98"/>
        <item x="250"/>
        <item x="241"/>
        <item x="33"/>
        <item x="85"/>
        <item x="170"/>
        <item x="269"/>
        <item x="114"/>
        <item x="126"/>
        <item x="141"/>
        <item x="257"/>
        <item x="242"/>
        <item x="97"/>
        <item x="86"/>
        <item x="210"/>
        <item x="157"/>
        <item x="6"/>
        <item x="58"/>
        <item x="180"/>
        <item x="127"/>
        <item x="217"/>
        <item x="151"/>
        <item x="154"/>
        <item x="31"/>
        <item x="171"/>
        <item x="287"/>
        <item x="100"/>
        <item x="59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73"/>
        <item x="26"/>
        <item x="27"/>
        <item x="28"/>
        <item x="29"/>
        <item x="30"/>
        <item x="41"/>
        <item x="45"/>
        <item x="46"/>
        <item x="47"/>
        <item x="48"/>
        <item x="49"/>
        <item x="52"/>
        <item x="53"/>
        <item x="54"/>
        <item x="55"/>
        <item x="56"/>
        <item x="60"/>
        <item x="67"/>
        <item x="68"/>
        <item x="71"/>
        <item x="75"/>
        <item x="81"/>
        <item x="84"/>
        <item x="91"/>
        <item x="93"/>
        <item x="94"/>
        <item x="95"/>
        <item x="96"/>
        <item x="99"/>
        <item x="101"/>
        <item x="102"/>
        <item x="104"/>
        <item x="105"/>
        <item x="106"/>
        <item x="107"/>
        <item x="108"/>
        <item x="109"/>
        <item x="111"/>
        <item x="117"/>
        <item x="123"/>
        <item x="124"/>
        <item x="72"/>
        <item x="129"/>
        <item x="131"/>
        <item x="132"/>
        <item x="133"/>
        <item x="134"/>
        <item x="135"/>
        <item x="136"/>
        <item x="140"/>
        <item x="142"/>
        <item x="143"/>
        <item x="144"/>
        <item x="74"/>
        <item x="149"/>
        <item x="152"/>
        <item x="155"/>
        <item x="160"/>
        <item x="165"/>
        <item x="77"/>
        <item x="167"/>
        <item x="172"/>
        <item x="173"/>
        <item x="174"/>
        <item x="175"/>
        <item x="176"/>
        <item x="177"/>
        <item x="178"/>
        <item x="183"/>
        <item x="184"/>
        <item x="185"/>
        <item x="186"/>
        <item x="187"/>
        <item x="188"/>
        <item x="189"/>
        <item x="192"/>
        <item x="193"/>
        <item x="194"/>
        <item x="196"/>
        <item x="197"/>
        <item x="201"/>
        <item x="202"/>
        <item x="203"/>
        <item x="207"/>
        <item x="213"/>
        <item x="216"/>
        <item x="218"/>
        <item x="219"/>
        <item x="222"/>
        <item x="224"/>
        <item x="225"/>
        <item x="231"/>
        <item x="232"/>
        <item x="233"/>
        <item x="235"/>
        <item x="236"/>
        <item x="237"/>
        <item x="239"/>
        <item x="243"/>
        <item x="244"/>
        <item x="245"/>
        <item x="246"/>
        <item x="247"/>
        <item x="248"/>
        <item x="249"/>
        <item x="251"/>
        <item x="252"/>
        <item x="254"/>
        <item x="259"/>
        <item x="260"/>
        <item x="262"/>
        <item x="263"/>
        <item x="264"/>
        <item x="265"/>
        <item x="266"/>
        <item x="267"/>
        <item x="271"/>
        <item x="272"/>
        <item x="273"/>
        <item x="76"/>
        <item x="278"/>
        <item x="279"/>
        <item x="280"/>
        <item x="78"/>
        <item x="283"/>
        <item x="284"/>
        <item x="285"/>
        <item x="286"/>
        <item x="288"/>
        <item x="291"/>
        <item x="292"/>
        <item x="293"/>
        <item x="294"/>
        <item x="296"/>
        <item x="297"/>
        <item x="298"/>
        <item x="299"/>
        <item x="300"/>
        <item x="301"/>
        <item x="302"/>
        <item x="304"/>
        <item t="default"/>
      </items>
    </pivotField>
  </pivotFields>
  <rowFields count="1">
    <field x="0"/>
  </rowFields>
  <rowItems count="305">
    <i>
      <x v="304"/>
    </i>
    <i>
      <x/>
    </i>
    <i>
      <x v="153"/>
    </i>
    <i>
      <x v="2"/>
    </i>
    <i>
      <x v="154"/>
    </i>
    <i>
      <x v="6"/>
    </i>
    <i>
      <x v="157"/>
    </i>
    <i>
      <x v="10"/>
    </i>
    <i>
      <x v="159"/>
    </i>
    <i>
      <x v="13"/>
    </i>
    <i>
      <x v="161"/>
    </i>
    <i>
      <x v="16"/>
    </i>
    <i>
      <x v="162"/>
    </i>
    <i>
      <x v="18"/>
    </i>
    <i>
      <x v="163"/>
    </i>
    <i>
      <x v="21"/>
    </i>
    <i>
      <x v="164"/>
    </i>
    <i>
      <x v="23"/>
    </i>
    <i>
      <x v="166"/>
    </i>
    <i>
      <x v="25"/>
    </i>
    <i>
      <x v="167"/>
    </i>
    <i>
      <x v="27"/>
    </i>
    <i>
      <x v="168"/>
    </i>
    <i>
      <x v="29"/>
    </i>
    <i>
      <x v="169"/>
    </i>
    <i>
      <x v="34"/>
    </i>
    <i>
      <x v="170"/>
    </i>
    <i>
      <x v="37"/>
    </i>
    <i>
      <x v="173"/>
    </i>
    <i>
      <x v="39"/>
    </i>
    <i>
      <x v="174"/>
    </i>
    <i>
      <x v="41"/>
    </i>
    <i>
      <x v="175"/>
    </i>
    <i>
      <x v="44"/>
    </i>
    <i>
      <x v="176"/>
    </i>
    <i>
      <x v="47"/>
    </i>
    <i>
      <x v="180"/>
    </i>
    <i>
      <x v="49"/>
    </i>
    <i>
      <x v="181"/>
    </i>
    <i>
      <x v="51"/>
    </i>
    <i>
      <x v="183"/>
    </i>
    <i>
      <x v="53"/>
    </i>
    <i>
      <x v="184"/>
    </i>
    <i>
      <x v="55"/>
    </i>
    <i>
      <x v="185"/>
    </i>
    <i>
      <x v="58"/>
    </i>
    <i>
      <x v="186"/>
    </i>
    <i>
      <x v="60"/>
    </i>
    <i>
      <x v="188"/>
    </i>
    <i>
      <x v="62"/>
    </i>
    <i>
      <x v="189"/>
    </i>
    <i>
      <x v="66"/>
    </i>
    <i>
      <x v="190"/>
    </i>
    <i>
      <x v="69"/>
    </i>
    <i>
      <x v="191"/>
    </i>
    <i>
      <x v="72"/>
    </i>
    <i>
      <x v="192"/>
    </i>
    <i>
      <x v="76"/>
    </i>
    <i>
      <x v="194"/>
    </i>
    <i>
      <x v="84"/>
    </i>
    <i>
      <x v="196"/>
    </i>
    <i>
      <x v="87"/>
    </i>
    <i>
      <x v="197"/>
    </i>
    <i>
      <x v="90"/>
    </i>
    <i>
      <x v="200"/>
    </i>
    <i>
      <x v="93"/>
    </i>
    <i>
      <x v="201"/>
    </i>
    <i>
      <x v="95"/>
    </i>
    <i>
      <x v="203"/>
    </i>
    <i>
      <x v="97"/>
    </i>
    <i>
      <x v="206"/>
    </i>
    <i>
      <x v="100"/>
    </i>
    <i>
      <x v="207"/>
    </i>
    <i>
      <x v="104"/>
    </i>
    <i>
      <x v="208"/>
    </i>
    <i>
      <x v="106"/>
    </i>
    <i>
      <x v="210"/>
    </i>
    <i>
      <x v="109"/>
    </i>
    <i>
      <x v="214"/>
    </i>
    <i>
      <x v="113"/>
    </i>
    <i>
      <x v="215"/>
    </i>
    <i>
      <x v="117"/>
    </i>
    <i>
      <x v="216"/>
    </i>
    <i>
      <x v="119"/>
    </i>
    <i>
      <x v="218"/>
    </i>
    <i>
      <x v="123"/>
    </i>
    <i>
      <x v="219"/>
    </i>
    <i>
      <x v="126"/>
    </i>
    <i>
      <x v="220"/>
    </i>
    <i>
      <x v="129"/>
    </i>
    <i>
      <x v="221"/>
    </i>
    <i>
      <x v="133"/>
    </i>
    <i>
      <x v="222"/>
    </i>
    <i>
      <x v="136"/>
    </i>
    <i>
      <x v="223"/>
    </i>
    <i>
      <x v="139"/>
    </i>
    <i>
      <x v="224"/>
    </i>
    <i>
      <x v="141"/>
    </i>
    <i>
      <x v="226"/>
    </i>
    <i>
      <x v="143"/>
    </i>
    <i>
      <x v="227"/>
    </i>
    <i>
      <x v="147"/>
    </i>
    <i>
      <x v="228"/>
    </i>
    <i>
      <x v="151"/>
    </i>
    <i>
      <x v="229"/>
    </i>
    <i>
      <x v="5"/>
    </i>
    <i>
      <x v="231"/>
    </i>
    <i>
      <x v="11"/>
    </i>
    <i>
      <x v="232"/>
    </i>
    <i>
      <x v="17"/>
    </i>
    <i>
      <x v="235"/>
    </i>
    <i>
      <x v="22"/>
    </i>
    <i>
      <x v="236"/>
    </i>
    <i>
      <x v="26"/>
    </i>
    <i>
      <x v="237"/>
    </i>
    <i>
      <x v="31"/>
    </i>
    <i>
      <x v="238"/>
    </i>
    <i>
      <x v="38"/>
    </i>
    <i>
      <x v="239"/>
    </i>
    <i>
      <x v="43"/>
    </i>
    <i>
      <x v="241"/>
    </i>
    <i>
      <x v="48"/>
    </i>
    <i>
      <x v="242"/>
    </i>
    <i>
      <x v="52"/>
    </i>
    <i>
      <x v="244"/>
    </i>
    <i>
      <x v="57"/>
    </i>
    <i>
      <x v="245"/>
    </i>
    <i>
      <x v="61"/>
    </i>
    <i>
      <x v="246"/>
    </i>
    <i>
      <x v="68"/>
    </i>
    <i>
      <x v="247"/>
    </i>
    <i>
      <x v="75"/>
    </i>
    <i>
      <x v="248"/>
    </i>
    <i>
      <x v="86"/>
    </i>
    <i>
      <x v="249"/>
    </i>
    <i>
      <x v="91"/>
    </i>
    <i>
      <x v="250"/>
    </i>
    <i>
      <x v="96"/>
    </i>
    <i>
      <x v="255"/>
    </i>
    <i>
      <x v="103"/>
    </i>
    <i>
      <x v="256"/>
    </i>
    <i>
      <x v="108"/>
    </i>
    <i>
      <x v="257"/>
    </i>
    <i>
      <x v="116"/>
    </i>
    <i>
      <x v="258"/>
    </i>
    <i>
      <x v="120"/>
    </i>
    <i>
      <x v="259"/>
    </i>
    <i>
      <x v="128"/>
    </i>
    <i>
      <x v="260"/>
    </i>
    <i>
      <x v="135"/>
    </i>
    <i>
      <x v="261"/>
    </i>
    <i>
      <x v="140"/>
    </i>
    <i>
      <x v="262"/>
    </i>
    <i>
      <x v="145"/>
    </i>
    <i>
      <x v="264"/>
    </i>
    <i>
      <x v="303"/>
    </i>
    <i>
      <x v="265"/>
    </i>
    <i>
      <x v="14"/>
    </i>
    <i>
      <x v="266"/>
    </i>
    <i>
      <x v="24"/>
    </i>
    <i>
      <x v="269"/>
    </i>
    <i>
      <x v="36"/>
    </i>
    <i>
      <x v="270"/>
    </i>
    <i>
      <x v="46"/>
    </i>
    <i>
      <x v="271"/>
    </i>
    <i>
      <x v="54"/>
    </i>
    <i>
      <x v="272"/>
    </i>
    <i>
      <x v="63"/>
    </i>
    <i>
      <x v="273"/>
    </i>
    <i>
      <x v="79"/>
    </i>
    <i>
      <x v="274"/>
    </i>
    <i>
      <x v="94"/>
    </i>
    <i>
      <x v="275"/>
    </i>
    <i>
      <x v="105"/>
    </i>
    <i>
      <x v="277"/>
    </i>
    <i>
      <x v="118"/>
    </i>
    <i>
      <x v="279"/>
    </i>
    <i>
      <x v="132"/>
    </i>
    <i>
      <x v="280"/>
    </i>
    <i>
      <x v="142"/>
    </i>
    <i>
      <x v="282"/>
    </i>
    <i>
      <x v="7"/>
    </i>
    <i>
      <x v="283"/>
    </i>
    <i>
      <x v="28"/>
    </i>
    <i>
      <x v="284"/>
    </i>
    <i>
      <x v="50"/>
    </i>
    <i>
      <x v="285"/>
    </i>
    <i>
      <x v="71"/>
    </i>
    <i>
      <x v="287"/>
    </i>
    <i>
      <x v="98"/>
    </i>
    <i>
      <x v="289"/>
    </i>
    <i>
      <x v="124"/>
    </i>
    <i>
      <x v="290"/>
    </i>
    <i>
      <x v="1"/>
    </i>
    <i>
      <x v="292"/>
    </i>
    <i>
      <x v="40"/>
    </i>
    <i>
      <x v="293"/>
    </i>
    <i>
      <x v="88"/>
    </i>
    <i>
      <x v="294"/>
    </i>
    <i>
      <x v="137"/>
    </i>
    <i>
      <x v="295"/>
    </i>
    <i>
      <x v="59"/>
    </i>
    <i>
      <x v="297"/>
    </i>
    <i>
      <x v="19"/>
    </i>
    <i>
      <x v="298"/>
    </i>
    <i>
      <x v="111"/>
    </i>
    <i>
      <x v="302"/>
    </i>
    <i>
      <x v="149"/>
    </i>
    <i>
      <x v="187"/>
    </i>
    <i>
      <x v="155"/>
    </i>
    <i>
      <x v="130"/>
    </i>
    <i>
      <x v="8"/>
    </i>
    <i>
      <x v="263"/>
    </i>
    <i>
      <x v="110"/>
    </i>
    <i>
      <x v="92"/>
    </i>
    <i>
      <x v="160"/>
    </i>
    <i>
      <x v="67"/>
    </i>
    <i>
      <x v="112"/>
    </i>
    <i>
      <x v="42"/>
    </i>
    <i>
      <x v="230"/>
    </i>
    <i>
      <x v="267"/>
    </i>
    <i>
      <x v="165"/>
    </i>
    <i>
      <x v="4"/>
    </i>
    <i>
      <x v="82"/>
    </i>
    <i>
      <x v="193"/>
    </i>
    <i>
      <x v="20"/>
    </i>
    <i>
      <x v="70"/>
    </i>
    <i>
      <x v="240"/>
    </i>
    <i>
      <x v="195"/>
    </i>
    <i>
      <x v="172"/>
    </i>
    <i>
      <x v="3"/>
    </i>
    <i>
      <x v="121"/>
    </i>
    <i>
      <x v="45"/>
    </i>
    <i>
      <x v="15"/>
    </i>
    <i>
      <x v="198"/>
    </i>
    <i>
      <x v="179"/>
    </i>
    <i>
      <x v="276"/>
    </i>
    <i>
      <x v="251"/>
    </i>
    <i>
      <x v="199"/>
    </i>
    <i>
      <x v="253"/>
    </i>
    <i>
      <x v="278"/>
    </i>
    <i>
      <x v="125"/>
    </i>
    <i>
      <x v="99"/>
    </i>
    <i>
      <x v="89"/>
    </i>
    <i>
      <x v="73"/>
    </i>
    <i>
      <x v="65"/>
    </i>
    <i>
      <x v="281"/>
    </i>
    <i>
      <x v="156"/>
    </i>
    <i>
      <x v="202"/>
    </i>
    <i>
      <x v="225"/>
    </i>
    <i>
      <x v="101"/>
    </i>
    <i>
      <x v="81"/>
    </i>
    <i>
      <x v="144"/>
    </i>
    <i>
      <x v="115"/>
    </i>
    <i>
      <x v="102"/>
    </i>
    <i>
      <x v="85"/>
    </i>
    <i>
      <x v="286"/>
    </i>
    <i>
      <x v="9"/>
    </i>
    <i>
      <x v="146"/>
    </i>
    <i>
      <x v="178"/>
    </i>
    <i>
      <x v="288"/>
    </i>
    <i>
      <x v="252"/>
    </i>
    <i>
      <x v="209"/>
    </i>
    <i>
      <x v="182"/>
    </i>
    <i>
      <x v="74"/>
    </i>
    <i>
      <x v="30"/>
    </i>
    <i>
      <x v="291"/>
    </i>
    <i>
      <x v="80"/>
    </i>
    <i>
      <x v="211"/>
    </i>
    <i>
      <x v="83"/>
    </i>
    <i>
      <x v="212"/>
    </i>
    <i>
      <x v="122"/>
    </i>
    <i>
      <x v="213"/>
    </i>
    <i>
      <x v="254"/>
    </i>
    <i>
      <x v="35"/>
    </i>
    <i>
      <x v="158"/>
    </i>
    <i>
      <x v="296"/>
    </i>
    <i>
      <x v="171"/>
    </i>
    <i>
      <x v="12"/>
    </i>
    <i>
      <x v="127"/>
    </i>
    <i>
      <x v="77"/>
    </i>
    <i>
      <x v="64"/>
    </i>
    <i>
      <x v="107"/>
    </i>
    <i>
      <x v="114"/>
    </i>
    <i>
      <x v="78"/>
    </i>
    <i>
      <x v="152"/>
    </i>
    <i>
      <x v="134"/>
    </i>
    <i>
      <x v="217"/>
    </i>
    <i>
      <x v="300"/>
    </i>
    <i>
      <x v="268"/>
    </i>
    <i>
      <x v="205"/>
    </i>
    <i>
      <x v="138"/>
    </i>
    <i>
      <x v="204"/>
    </i>
    <i>
      <x v="234"/>
    </i>
    <i>
      <x v="243"/>
    </i>
    <i>
      <x v="148"/>
    </i>
    <i>
      <x v="56"/>
    </i>
    <i>
      <x v="33"/>
    </i>
    <i>
      <x v="177"/>
    </i>
    <i>
      <x v="301"/>
    </i>
    <i>
      <x v="299"/>
    </i>
    <i>
      <x v="131"/>
    </i>
    <i>
      <x v="233"/>
    </i>
    <i>
      <x v="32"/>
    </i>
    <i>
      <x v="150"/>
    </i>
  </rowItems>
  <colItems count="1">
    <i/>
  </colItems>
  <dataFields count="1">
    <dataField name="Количество по полю Имя" fld="0" subtotal="count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151B63-CCCE-4491-93A1-6CA084D24F04}" name="Таблица4" displayName="Таблица4" ref="A3:N4" totalsRowShown="0">
  <autoFilter ref="A3:N4" xr:uid="{E0151B63-CCCE-4491-93A1-6CA084D24F04}"/>
  <tableColumns count="14">
    <tableColumn id="1" xr3:uid="{B8987B08-24D1-47AA-97FD-FC1B87CC692C}" name="id чека"/>
    <tableColumn id="2" xr3:uid="{F35BBE1F-26DC-4BBF-9203-18B93F9239C7}" name="id товара"/>
    <tableColumn id="3" xr3:uid="{5AA840F3-5A50-4EAE-B0EB-05CE7BFA0D31}" name="цена за шт в рублях"/>
    <tableColumn id="4" xr3:uid="{A8791B26-046A-4C2C-AD92-6C902C2D34DF}" name="кол-во штук в чеке"/>
    <tableColumn id="5" xr3:uid="{CE462D50-7601-477E-868E-0615196E61EA}" name="сумма чека"/>
    <tableColumn id="6" xr3:uid="{7D41FFC5-1A91-4D69-8FE3-0ED00633B8D3}" name="дата создания чека" dataDxfId="43"/>
    <tableColumn id="7" xr3:uid="{10487E01-0CD9-4A9F-B4B3-DEB5F279D72A}" name="магазин покупки"/>
    <tableColumn id="8" xr3:uid="{F0F0498F-7171-489D-BED8-CF6CFDF60C03}" name="id клиента"/>
    <tableColumn id="9" xr3:uid="{F6615A30-8FED-46B8-AC17-E65B71BEA43A}" name="Категория товара"/>
    <tableColumn id="10" xr3:uid="{881F8220-1F82-40CB-A581-C9FDFAE48CCB}" name="Поставщик"/>
    <tableColumn id="11" xr3:uid="{58F67843-C37A-40DF-90E3-56D8DE52DB59}" name="Средняя цена в категории за штуку"/>
    <tableColumn id="12" xr3:uid="{5B1EE470-3781-4948-8F08-DAF689D05937}" name="Выгода клиента"/>
    <tableColumn id="13" xr3:uid="{6A6CDACC-7D97-42BA-B7DA-5F5E5879C362}" name="средняя стоимость в категории по поставщику."/>
    <tableColumn id="14" xr3:uid="{7A6E9370-FC1E-44C5-B785-8FA746F815C6}" name="Выгода для клиента внутри поставщика.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BC2FB8-FC47-4C9E-984D-C3CE04EF1718}" name="Таблица5" displayName="Таблица5" ref="A3:N62" totalsRowShown="0">
  <autoFilter ref="A3:N62" xr:uid="{E4BC2FB8-FC47-4C9E-984D-C3CE04EF1718}"/>
  <tableColumns count="14">
    <tableColumn id="1" xr3:uid="{2A17CAE1-2239-4DE5-BF86-261DC86985CA}" name="id чека"/>
    <tableColumn id="2" xr3:uid="{9159D2AA-445C-4A55-85D9-DED588A943A6}" name="id товара"/>
    <tableColumn id="3" xr3:uid="{FC01855C-A6DE-487F-A195-60284F10BCCE}" name="цена за шт в рублях"/>
    <tableColumn id="4" xr3:uid="{0653D897-F981-46AE-BB88-E88B900A0024}" name="кол-во штук в чеке"/>
    <tableColumn id="5" xr3:uid="{824930CE-B85E-4ADC-9C5E-F20986702D62}" name="сумма чека"/>
    <tableColumn id="6" xr3:uid="{460E9FDD-3633-4DB3-9E21-7072E7F9E579}" name="дата создания чека" dataDxfId="38"/>
    <tableColumn id="7" xr3:uid="{173E7D29-AD5D-443E-A7B0-D607A9CC8280}" name="магазин покупки"/>
    <tableColumn id="8" xr3:uid="{6D36AEE0-DEC0-4066-BFB9-A4BAF6769A64}" name="id клиента"/>
    <tableColumn id="9" xr3:uid="{6B5DA111-6517-45B0-B93A-335C9CB5C78D}" name="Категория товара"/>
    <tableColumn id="10" xr3:uid="{C1ACCEE0-2ABA-4393-A659-4A64F2549854}" name="Поставщик"/>
    <tableColumn id="11" xr3:uid="{E08A2225-EFBA-4F65-9E4C-C1FB5B9BFE2C}" name="Средняя цена в категории за штуку"/>
    <tableColumn id="12" xr3:uid="{D0013628-683C-48F8-9EBE-FAB9995A3D87}" name="Выгода клиента"/>
    <tableColumn id="13" xr3:uid="{1816A5A1-4B72-44FC-9C06-CC1293149172}" name="средняя стоимость в категории по поставщику."/>
    <tableColumn id="14" xr3:uid="{B009D9D6-46B1-4CEE-B6D2-08B680C812DE}" name="Выгода для клиента внутри поставщика.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54F4B-891C-4E8E-A43A-7327436855EF}" name="Таблица1" displayName="Таблица1" ref="A1:T1001" totalsRowShown="0" headerRowDxfId="35" tableBorderDxfId="34">
  <autoFilter ref="A1:T1001" xr:uid="{04854F4B-891C-4E8E-A43A-7327436855EF}"/>
  <sortState xmlns:xlrd2="http://schemas.microsoft.com/office/spreadsheetml/2017/richdata2" ref="A30:P942">
    <sortCondition descending="1" ref="P30:P1001"/>
  </sortState>
  <tableColumns count="20">
    <tableColumn id="1" xr3:uid="{388B203A-3B5C-4B4C-A3B9-A1ABD6C55AB5}" name="id чека" dataDxfId="33"/>
    <tableColumn id="2" xr3:uid="{89C92C69-89FA-4D88-8934-046A1854107E}" name="id товара" dataDxfId="32"/>
    <tableColumn id="3" xr3:uid="{BE38106C-CFF8-4239-B612-EBD79D068F0B}" name="цена за шт в рублях" dataDxfId="31"/>
    <tableColumn id="4" xr3:uid="{1AC66CAD-113B-42D0-9499-EB0ACE54CAAF}" name="кол-во штук в чеке" dataDxfId="30"/>
    <tableColumn id="5" xr3:uid="{F6BD9399-69E8-46A2-8063-3100E7E35AB3}" name="сумма чека" dataDxfId="29"/>
    <tableColumn id="6" xr3:uid="{54E0C75B-3AD9-402E-8DFF-3F04D1103C23}" name="дата создания чека" dataDxfId="28"/>
    <tableColumn id="7" xr3:uid="{D25316E6-5FF2-4324-BE7C-B738E9D8DF25}" name="магазин покупки" dataDxfId="27"/>
    <tableColumn id="8" xr3:uid="{FEF34BF1-C657-4E28-B2DA-6908A1CAE00E}" name="id клиента" dataDxfId="26"/>
    <tableColumn id="9" xr3:uid="{642F030F-1B44-4B6E-BBA4-45115455EC23}" name="Категория товара" dataDxfId="25">
      <calculatedColumnFormula>VLOOKUP(продажи!$B2,товар!$A$1:$C$433,2)</calculatedColumnFormula>
    </tableColumn>
    <tableColumn id="10" xr3:uid="{CE5CE1E0-6090-4D69-8463-F0A4A5738969}" name="Поставщик" dataDxfId="24">
      <calculatedColumnFormula>VLOOKUP(B2,товар!$A$1:$C$433,3)</calculatedColumnFormula>
    </tableColumn>
    <tableColumn id="11" xr3:uid="{307A41E6-80B7-4126-B0D2-0342302E15F9}" name="Средняя цена в категории за штуку" dataDxfId="23">
      <calculatedColumnFormula>AVERAGEIF(продажи!$I$2:$I$1001,продажи!$I$2:$I$1001,продажи!$C$2:$C$1001)</calculatedColumnFormula>
    </tableColumn>
    <tableColumn id="12" xr3:uid="{84F0CD8D-126B-425F-9434-47BDF3294D87}" name="Выгода клиента" dataDxfId="22" dataCellStyle="Процентный">
      <calculatedColumnFormula>продажи!$C2/продажи!$K2-1</calculatedColumnFormula>
    </tableColumn>
    <tableColumn id="13" xr3:uid="{BA93F95E-1135-4033-BD91-25B24557A2DF}" name="средняя стоимость в категории по поставщику." dataDxfId="21">
      <calculatedColumnFormula>SUMIFS($C$2:$C$1001,$I$2:$I$1001,I2,$J$2:$J$1001,J2)</calculatedColumnFormula>
    </tableColumn>
    <tableColumn id="14" xr3:uid="{6CEDC3DC-75B3-405E-BCB2-DBA7A3CF959C}" name="Выгода для клиента внутри поставщика." dataDxfId="20" dataCellStyle="Процентный">
      <calculatedColumnFormula>Таблица1[[#This Row],[цена за шт в рублях]]/Таблица1[[#This Row],[средняя стоимость в категории по поставщику.]]-1</calculatedColumnFormula>
    </tableColumn>
    <tableColumn id="15" xr3:uid="{35C110E7-27EB-4AFC-A425-13FFC830F65A}" name="Дата регистрации клента" dataDxfId="19">
      <calculatedColumnFormula>VLOOKUP(Таблица1[[#This Row],[id клиента]],клиенты!$A$2:$E$435,5,0)</calculatedColumnFormula>
    </tableColumn>
    <tableColumn id="16" xr3:uid="{3108E88F-AABD-4670-8863-2C3D755F85F1}" name="Кол-во дней с момента регистрации" dataDxfId="18">
      <calculatedColumnFormula>Таблица1[[#This Row],[дата создания чека]]-Таблица1[[#This Row],[Дата регистрации клента]]</calculatedColumnFormula>
    </tableColumn>
    <tableColumn id="17" xr3:uid="{89906E61-B32F-421E-91C3-AD0BC4985074}" name="Текущая дата" dataDxfId="17">
      <calculatedColumnFormula>TODAY()</calculatedColumnFormula>
    </tableColumn>
    <tableColumn id="18" xr3:uid="{BC870074-823D-47DC-BD6B-C073EA1567CA}" name="Лайфтайм клиента" dataDxfId="16">
      <calculatedColumnFormula>(TODAY()-Таблица1[[#This Row],[Дата регистрации клента]])/30</calculatedColumnFormula>
    </tableColumn>
    <tableColumn id="19" xr3:uid="{5726A047-CE93-4E67-80A4-70728CA74D27}" name="Страна" dataDxfId="15">
      <calculatedColumnFormula>VLOOKUP(Таблица1[[#This Row],[id клиента]],Таблица8[[id клиента]:[Страна]],7,0)</calculatedColumnFormula>
    </tableColumn>
    <tableColumn id="20" xr3:uid="{DDD2A450-AC5F-4C0E-B3CF-F7930A3A4AE6}" name="Столбец2" dataDxfId="1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D2D008-BA26-4B22-A67E-43BA4E9B9BB5}" name="Таблица2" displayName="Таблица2" ref="A1:C1048576" totalsRowShown="0" headerRowDxfId="13" headerRowBorderDxfId="12" tableBorderDxfId="11">
  <autoFilter ref="A1:C1048576" xr:uid="{08D2D008-BA26-4B22-A67E-43BA4E9B9BB5}"/>
  <sortState xmlns:xlrd2="http://schemas.microsoft.com/office/spreadsheetml/2017/richdata2" ref="A2:C1048576">
    <sortCondition ref="A1:A1048576"/>
  </sortState>
  <tableColumns count="3">
    <tableColumn id="1" xr3:uid="{9E68EB5D-2A5F-45E6-9B5A-DC1F2C2F4D9E}" name="id товара"/>
    <tableColumn id="2" xr3:uid="{9C631D9C-F989-4227-9843-FA4FF657D257}" name="категория товара"/>
    <tableColumn id="3" xr3:uid="{5C1B8795-2C70-4325-871F-D48BA6B32E25}" name="поставщик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C3EA65-23C0-4275-9902-61652B1D4755}" name="Таблица8" displayName="Таблица8" ref="A1:K435" totalsRowShown="0" headerRowDxfId="10" headerRowBorderDxfId="9" tableBorderDxfId="8">
  <autoFilter ref="A1:K435" xr:uid="{22C3EA65-23C0-4275-9902-61652B1D4755}"/>
  <sortState xmlns:xlrd2="http://schemas.microsoft.com/office/spreadsheetml/2017/richdata2" ref="A2:H435">
    <sortCondition ref="C2:C435"/>
  </sortState>
  <tableColumns count="11">
    <tableColumn id="1" xr3:uid="{CC8FCB8E-FF46-47BA-98B8-44788F986BE5}" name="id клиента" dataDxfId="7"/>
    <tableColumn id="2" xr3:uid="{B403DB8C-8841-4B2F-9292-72C5DA364ABD}" name="номер телефона клиента"/>
    <tableColumn id="3" xr3:uid="{B7E1A613-FBB7-4D4D-888F-1692EC0F05C2}" name="ФИО"/>
    <tableColumn id="4" xr3:uid="{0A354E61-AD92-47F3-BBB1-5A32F445A1EB}" name="Программа лояльности клиента"/>
    <tableColumn id="5" xr3:uid="{A02C49AC-C757-4918-AAC8-894753359EED}" name="Дата регистрации клиента" dataDxfId="6"/>
    <tableColumn id="6" xr3:uid="{5FF2CAB0-80EA-4F6A-87B0-720D4ED7DD8E}" name="Код телефона" dataDxfId="5">
      <calculatedColumnFormula>LEFT(B2,LEN(B2)-13)</calculatedColumnFormula>
    </tableColumn>
    <tableColumn id="7" xr3:uid="{4CCB5C46-B996-4CB3-AC5F-49CB8DC0E4DE}" name="Страна" dataDxfId="4">
      <calculatedColumnFormula>INDEX('коды стран'!$A$2:$A$7, MATCH(F2, 'коды стран'!$B$2:$B$7, 0))</calculatedColumnFormula>
    </tableColumn>
    <tableColumn id="8" xr3:uid="{1A7341B0-3617-4C8D-8E6F-1CF334E7AB2C}" name="Столбец1" dataDxfId="3"/>
    <tableColumn id="9" xr3:uid="{454506A0-24BA-4FA1-A536-8C889209ECDA}" name="Имя" dataDxfId="2">
      <calculatedColumnFormula>LEFT(Таблица8[[#This Row],[ФИО]],(M2-1))</calculatedColumnFormula>
    </tableColumn>
    <tableColumn id="10" xr3:uid="{06AFA0E7-6671-4194-A6F0-8D81AD52DF9D}" name="Фамилия" dataDxfId="1">
      <calculatedColumnFormula>MID(Таблица8[[#This Row],[ФИО]],M2,(N2-M2))</calculatedColumnFormula>
    </tableColumn>
    <tableColumn id="11" xr3:uid="{3F8C6AE5-2A4F-44CF-A7BB-A6411665D607}" name="Отч" dataDxfId="0">
      <calculatedColumnFormula>RIGHT(Таблица8[[#This Row],[ФИО]],(O2-N2))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2F9B-FBD5-4648-932F-65C6D3263094}">
  <dimension ref="C2:N31"/>
  <sheetViews>
    <sheetView showGridLines="0" tabSelected="1" workbookViewId="0">
      <selection activeCell="E4" sqref="E4"/>
    </sheetView>
  </sheetViews>
  <sheetFormatPr defaultColWidth="10.85546875" defaultRowHeight="15.75" x14ac:dyDescent="0.25"/>
  <cols>
    <col min="1" max="1" width="10.85546875" style="2"/>
    <col min="2" max="2" width="5.28515625" style="2" customWidth="1"/>
    <col min="3" max="3" width="64.7109375" style="2" customWidth="1"/>
    <col min="4" max="4" width="3.28515625" style="2" bestFit="1" customWidth="1"/>
    <col min="5" max="5" width="48.140625" style="2" bestFit="1" customWidth="1"/>
    <col min="6" max="6" width="102.42578125" style="2" bestFit="1" customWidth="1"/>
    <col min="7" max="7" width="13.42578125" style="2" bestFit="1" customWidth="1"/>
    <col min="8" max="8" width="57.28515625" style="2" bestFit="1" customWidth="1"/>
    <col min="9" max="9" width="54.7109375" style="2" customWidth="1"/>
    <col min="10" max="10" width="46.140625" style="2" bestFit="1" customWidth="1"/>
    <col min="11" max="12" width="10.85546875" style="2"/>
    <col min="13" max="13" width="56.7109375" style="2" bestFit="1" customWidth="1"/>
    <col min="14" max="14" width="35.42578125" style="2" bestFit="1" customWidth="1"/>
    <col min="15" max="17" width="10.85546875" style="2"/>
    <col min="18" max="18" width="25.7109375" style="2" bestFit="1" customWidth="1"/>
    <col min="19" max="16384" width="10.85546875" style="2"/>
  </cols>
  <sheetData>
    <row r="2" spans="3:13" ht="16.5" thickBot="1" x14ac:dyDescent="0.3"/>
    <row r="3" spans="3:13" ht="21.75" thickBot="1" x14ac:dyDescent="0.4">
      <c r="C3" s="18" t="s">
        <v>1977</v>
      </c>
    </row>
    <row r="4" spans="3:13" ht="18.75" x14ac:dyDescent="0.3">
      <c r="C4" s="19" t="s">
        <v>1043</v>
      </c>
    </row>
    <row r="5" spans="3:13" ht="16.5" thickBot="1" x14ac:dyDescent="0.3"/>
    <row r="6" spans="3:13" x14ac:dyDescent="0.25">
      <c r="C6" s="11" t="s">
        <v>1033</v>
      </c>
      <c r="D6" s="11" t="s">
        <v>1042</v>
      </c>
      <c r="E6" s="11" t="s">
        <v>1034</v>
      </c>
      <c r="F6" s="15" t="s">
        <v>1039</v>
      </c>
      <c r="G6" s="4"/>
      <c r="I6" s="4"/>
      <c r="J6" s="4"/>
    </row>
    <row r="7" spans="3:13" x14ac:dyDescent="0.25">
      <c r="C7" s="12" t="s">
        <v>1014</v>
      </c>
      <c r="D7" s="12">
        <v>1</v>
      </c>
      <c r="E7" s="12" t="s">
        <v>1015</v>
      </c>
      <c r="F7" t="s">
        <v>1673</v>
      </c>
      <c r="G7" s="7"/>
    </row>
    <row r="8" spans="3:13" x14ac:dyDescent="0.25">
      <c r="C8" s="9"/>
      <c r="D8" s="9">
        <v>2</v>
      </c>
      <c r="E8" s="9" t="s">
        <v>1035</v>
      </c>
      <c r="F8" t="s">
        <v>1679</v>
      </c>
      <c r="G8" s="7"/>
    </row>
    <row r="9" spans="3:13" x14ac:dyDescent="0.25">
      <c r="C9" s="10"/>
      <c r="D9" s="10">
        <v>3</v>
      </c>
      <c r="E9" s="10" t="s">
        <v>1040</v>
      </c>
      <c r="F9" t="s">
        <v>1070</v>
      </c>
      <c r="G9" s="7"/>
    </row>
    <row r="10" spans="3:13" x14ac:dyDescent="0.25">
      <c r="C10" s="12" t="s">
        <v>1018</v>
      </c>
      <c r="D10" s="12">
        <v>4</v>
      </c>
      <c r="E10" s="8" t="s">
        <v>1036</v>
      </c>
      <c r="F10" t="s">
        <v>1676</v>
      </c>
      <c r="G10" s="7"/>
    </row>
    <row r="11" spans="3:13" x14ac:dyDescent="0.25">
      <c r="C11" s="10"/>
      <c r="D11" s="10">
        <v>5</v>
      </c>
      <c r="E11" s="13" t="s">
        <v>1032</v>
      </c>
      <c r="F11" s="16" t="s">
        <v>1677</v>
      </c>
      <c r="G11" s="7"/>
      <c r="J11" s="4"/>
    </row>
    <row r="12" spans="3:13" x14ac:dyDescent="0.25">
      <c r="C12" s="12" t="s">
        <v>1016</v>
      </c>
      <c r="D12" s="12">
        <v>6</v>
      </c>
      <c r="E12" s="8" t="s">
        <v>1041</v>
      </c>
      <c r="F12" t="s">
        <v>1674</v>
      </c>
      <c r="G12" s="7"/>
      <c r="J12" s="4"/>
    </row>
    <row r="13" spans="3:13" x14ac:dyDescent="0.25">
      <c r="C13" s="10"/>
      <c r="D13" s="10">
        <v>7</v>
      </c>
      <c r="E13" s="13" t="s">
        <v>1022</v>
      </c>
      <c r="F13" s="16" t="s">
        <v>1678</v>
      </c>
      <c r="G13" s="7"/>
      <c r="J13" s="4"/>
    </row>
    <row r="14" spans="3:13" x14ac:dyDescent="0.25">
      <c r="C14" s="9" t="s">
        <v>1017</v>
      </c>
      <c r="D14" s="9">
        <v>8</v>
      </c>
      <c r="E14" s="9" t="s">
        <v>1024</v>
      </c>
      <c r="F14" s="16" t="s">
        <v>1680</v>
      </c>
      <c r="G14" s="7"/>
      <c r="J14" s="4"/>
      <c r="M14" s="4"/>
    </row>
    <row r="15" spans="3:13" x14ac:dyDescent="0.25">
      <c r="C15" s="9"/>
      <c r="D15" s="9">
        <v>9</v>
      </c>
      <c r="E15" s="9" t="s">
        <v>1037</v>
      </c>
      <c r="F15" s="16" t="s">
        <v>1681</v>
      </c>
      <c r="G15" s="7"/>
      <c r="H15" s="4"/>
      <c r="J15" s="4"/>
      <c r="M15" s="4"/>
    </row>
    <row r="16" spans="3:13" x14ac:dyDescent="0.25">
      <c r="C16" s="9"/>
      <c r="D16" s="9">
        <v>10</v>
      </c>
      <c r="E16" s="14" t="s">
        <v>1038</v>
      </c>
      <c r="F16" s="16" t="s">
        <v>1974</v>
      </c>
      <c r="G16" s="7"/>
      <c r="H16" s="4"/>
      <c r="J16" s="4"/>
      <c r="M16" s="4"/>
    </row>
    <row r="17" spans="3:14" x14ac:dyDescent="0.25">
      <c r="C17" s="9"/>
      <c r="D17" s="9">
        <v>11</v>
      </c>
      <c r="E17" s="14" t="s">
        <v>1030</v>
      </c>
      <c r="F17" t="s">
        <v>1975</v>
      </c>
      <c r="G17" s="7"/>
      <c r="H17" s="4"/>
      <c r="J17" s="4"/>
      <c r="M17" s="4"/>
    </row>
    <row r="18" spans="3:14" ht="16.5" thickBot="1" x14ac:dyDescent="0.3">
      <c r="C18" s="10"/>
      <c r="D18" s="10">
        <v>12</v>
      </c>
      <c r="E18" s="13" t="s">
        <v>1031</v>
      </c>
      <c r="F18" s="17" t="s">
        <v>1976</v>
      </c>
      <c r="G18" s="7"/>
      <c r="H18" s="4"/>
      <c r="J18" s="4"/>
      <c r="M18" s="4"/>
    </row>
    <row r="19" spans="3:14" ht="16.5" thickBot="1" x14ac:dyDescent="0.3">
      <c r="G19" s="7"/>
      <c r="H19" s="4"/>
    </row>
    <row r="20" spans="3:14" x14ac:dyDescent="0.25">
      <c r="C20" s="3" t="s">
        <v>1019</v>
      </c>
      <c r="D20" s="4"/>
      <c r="J20" s="4"/>
    </row>
    <row r="21" spans="3:14" x14ac:dyDescent="0.25">
      <c r="C21" s="5" t="s">
        <v>1020</v>
      </c>
      <c r="J21" s="4"/>
    </row>
    <row r="22" spans="3:14" x14ac:dyDescent="0.25">
      <c r="C22" s="5" t="s">
        <v>1021</v>
      </c>
      <c r="J22" s="4"/>
      <c r="M22" s="4"/>
      <c r="N22" s="4"/>
    </row>
    <row r="23" spans="3:14" x14ac:dyDescent="0.25">
      <c r="C23" s="5" t="s">
        <v>1023</v>
      </c>
    </row>
    <row r="24" spans="3:14" x14ac:dyDescent="0.25">
      <c r="C24" s="5" t="s">
        <v>1025</v>
      </c>
      <c r="M24" s="4"/>
      <c r="N24" s="4"/>
    </row>
    <row r="25" spans="3:14" x14ac:dyDescent="0.25">
      <c r="C25" s="5" t="s">
        <v>1026</v>
      </c>
    </row>
    <row r="26" spans="3:14" x14ac:dyDescent="0.25">
      <c r="C26" s="5" t="s">
        <v>1027</v>
      </c>
      <c r="M26" s="65"/>
      <c r="N26" s="65"/>
    </row>
    <row r="27" spans="3:14" x14ac:dyDescent="0.25">
      <c r="C27" s="5" t="s">
        <v>1028</v>
      </c>
      <c r="N27" s="4"/>
    </row>
    <row r="28" spans="3:14" ht="16.5" thickBot="1" x14ac:dyDescent="0.3">
      <c r="C28" s="6" t="s">
        <v>1029</v>
      </c>
      <c r="N28" s="4"/>
    </row>
    <row r="29" spans="3:14" x14ac:dyDescent="0.25">
      <c r="N29" s="4"/>
    </row>
    <row r="31" spans="3:14" x14ac:dyDescent="0.25">
      <c r="N31" s="4"/>
    </row>
  </sheetData>
  <mergeCells count="1">
    <mergeCell ref="M26:N2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D27D-0B7A-425D-955A-31867E3FC3A0}">
  <dimension ref="A1"/>
  <sheetViews>
    <sheetView topLeftCell="A82" workbookViewId="0">
      <selection activeCell="N106" sqref="N10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5910-9A91-4C37-BA35-5CD81F1809A1}">
  <dimension ref="A1:D27"/>
  <sheetViews>
    <sheetView workbookViewId="0">
      <selection activeCell="N20" sqref="N20"/>
    </sheetView>
  </sheetViews>
  <sheetFormatPr defaultRowHeight="15" x14ac:dyDescent="0.25"/>
  <cols>
    <col min="1" max="1" width="17.28515625" bestFit="1" customWidth="1"/>
    <col min="2" max="2" width="27" bestFit="1" customWidth="1"/>
  </cols>
  <sheetData>
    <row r="1" spans="1:2" x14ac:dyDescent="0.25">
      <c r="A1" s="20" t="s">
        <v>6</v>
      </c>
      <c r="B1" t="s">
        <v>21</v>
      </c>
    </row>
    <row r="3" spans="1:2" x14ac:dyDescent="0.25">
      <c r="A3" s="20" t="s">
        <v>1044</v>
      </c>
      <c r="B3" t="s">
        <v>1048</v>
      </c>
    </row>
    <row r="4" spans="1:2" x14ac:dyDescent="0.25">
      <c r="A4" s="21" t="s">
        <v>1046</v>
      </c>
      <c r="B4" s="30">
        <v>19503</v>
      </c>
    </row>
    <row r="5" spans="1:2" x14ac:dyDescent="0.25">
      <c r="A5" s="22" t="s">
        <v>1049</v>
      </c>
      <c r="B5" s="30">
        <v>963</v>
      </c>
    </row>
    <row r="6" spans="1:2" x14ac:dyDescent="0.25">
      <c r="A6" s="22" t="s">
        <v>1050</v>
      </c>
      <c r="B6" s="30">
        <v>1185</v>
      </c>
    </row>
    <row r="7" spans="1:2" x14ac:dyDescent="0.25">
      <c r="A7" s="22" t="s">
        <v>1051</v>
      </c>
      <c r="B7" s="30">
        <v>2444</v>
      </c>
    </row>
    <row r="8" spans="1:2" x14ac:dyDescent="0.25">
      <c r="A8" s="22" t="s">
        <v>1052</v>
      </c>
      <c r="B8" s="30">
        <v>448</v>
      </c>
    </row>
    <row r="9" spans="1:2" x14ac:dyDescent="0.25">
      <c r="A9" s="22" t="s">
        <v>1053</v>
      </c>
      <c r="B9" s="30">
        <v>460</v>
      </c>
    </row>
    <row r="10" spans="1:2" x14ac:dyDescent="0.25">
      <c r="A10" s="22" t="s">
        <v>1054</v>
      </c>
      <c r="B10" s="30">
        <v>2898</v>
      </c>
    </row>
    <row r="11" spans="1:2" x14ac:dyDescent="0.25">
      <c r="A11" s="22" t="s">
        <v>1055</v>
      </c>
      <c r="B11" s="30">
        <v>2715</v>
      </c>
    </row>
    <row r="12" spans="1:2" x14ac:dyDescent="0.25">
      <c r="A12" s="22" t="s">
        <v>1056</v>
      </c>
      <c r="B12" s="30">
        <v>3967</v>
      </c>
    </row>
    <row r="13" spans="1:2" x14ac:dyDescent="0.25">
      <c r="A13" s="22" t="s">
        <v>1057</v>
      </c>
      <c r="B13" s="30">
        <v>2378</v>
      </c>
    </row>
    <row r="14" spans="1:2" x14ac:dyDescent="0.25">
      <c r="A14" s="22" t="s">
        <v>1058</v>
      </c>
      <c r="B14" s="30">
        <v>1397</v>
      </c>
    </row>
    <row r="15" spans="1:2" x14ac:dyDescent="0.25">
      <c r="A15" s="22" t="s">
        <v>1059</v>
      </c>
      <c r="B15" s="30">
        <v>648</v>
      </c>
    </row>
    <row r="16" spans="1:2" x14ac:dyDescent="0.25">
      <c r="A16" s="21" t="s">
        <v>1047</v>
      </c>
      <c r="B16" s="30">
        <v>8159</v>
      </c>
    </row>
    <row r="17" spans="1:4" x14ac:dyDescent="0.25">
      <c r="A17" s="22" t="s">
        <v>1049</v>
      </c>
      <c r="B17" s="30">
        <v>3648</v>
      </c>
    </row>
    <row r="18" spans="1:4" x14ac:dyDescent="0.25">
      <c r="A18" s="22" t="s">
        <v>1050</v>
      </c>
      <c r="B18" s="30">
        <v>1056</v>
      </c>
    </row>
    <row r="19" spans="1:4" x14ac:dyDescent="0.25">
      <c r="A19" s="22" t="s">
        <v>1051</v>
      </c>
      <c r="B19" s="30">
        <v>762</v>
      </c>
    </row>
    <row r="20" spans="1:4" x14ac:dyDescent="0.25">
      <c r="A20" s="22" t="s">
        <v>1052</v>
      </c>
      <c r="B20" s="30">
        <v>2693</v>
      </c>
    </row>
    <row r="21" spans="1:4" x14ac:dyDescent="0.25">
      <c r="A21" s="21" t="s">
        <v>1045</v>
      </c>
      <c r="B21" s="30">
        <v>27662</v>
      </c>
    </row>
    <row r="24" spans="1:4" x14ac:dyDescent="0.25">
      <c r="D24" t="s">
        <v>1066</v>
      </c>
    </row>
    <row r="25" spans="1:4" x14ac:dyDescent="0.25">
      <c r="D25" t="s">
        <v>1067</v>
      </c>
    </row>
    <row r="26" spans="1:4" x14ac:dyDescent="0.25">
      <c r="D26" t="s">
        <v>1068</v>
      </c>
    </row>
    <row r="27" spans="1:4" x14ac:dyDescent="0.25">
      <c r="D27" t="s">
        <v>1069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9662-A487-44A7-B36F-5DDBB22D2600}">
  <dimension ref="A3:D25"/>
  <sheetViews>
    <sheetView workbookViewId="0">
      <selection activeCell="D25" sqref="D25"/>
    </sheetView>
  </sheetViews>
  <sheetFormatPr defaultRowHeight="15" x14ac:dyDescent="0.25"/>
  <cols>
    <col min="1" max="1" width="23.5703125" bestFit="1" customWidth="1"/>
    <col min="2" max="2" width="33.140625" bestFit="1" customWidth="1"/>
  </cols>
  <sheetData>
    <row r="3" spans="1:2" x14ac:dyDescent="0.25">
      <c r="A3" s="20" t="s">
        <v>1044</v>
      </c>
      <c r="B3" t="s">
        <v>1064</v>
      </c>
    </row>
    <row r="4" spans="1:2" x14ac:dyDescent="0.25">
      <c r="A4" s="21" t="s">
        <v>18</v>
      </c>
      <c r="B4" s="25">
        <v>0.13314534519299331</v>
      </c>
    </row>
    <row r="5" spans="1:2" x14ac:dyDescent="0.25">
      <c r="A5" s="21" t="s">
        <v>10</v>
      </c>
      <c r="B5" s="25">
        <v>6.5458688101188836E-2</v>
      </c>
    </row>
    <row r="6" spans="1:2" x14ac:dyDescent="0.25">
      <c r="A6" s="21" t="s">
        <v>19</v>
      </c>
      <c r="B6" s="25">
        <v>4.7852648811471908E-2</v>
      </c>
    </row>
    <row r="7" spans="1:2" x14ac:dyDescent="0.25">
      <c r="A7" s="21" t="s">
        <v>20</v>
      </c>
      <c r="B7" s="25">
        <v>4.5777190114042451E-2</v>
      </c>
    </row>
    <row r="8" spans="1:2" x14ac:dyDescent="0.25">
      <c r="A8" s="21" t="s">
        <v>27</v>
      </c>
      <c r="B8" s="25">
        <v>4.2135560270227822E-2</v>
      </c>
    </row>
    <row r="9" spans="1:2" x14ac:dyDescent="0.25">
      <c r="A9" s="21" t="s">
        <v>25</v>
      </c>
      <c r="B9" s="25">
        <v>3.9584187657497022E-2</v>
      </c>
    </row>
    <row r="10" spans="1:2" x14ac:dyDescent="0.25">
      <c r="A10" s="21" t="s">
        <v>23</v>
      </c>
      <c r="B10" s="25">
        <v>2.6621364094879363E-2</v>
      </c>
    </row>
    <row r="11" spans="1:2" x14ac:dyDescent="0.25">
      <c r="A11" s="21" t="s">
        <v>15</v>
      </c>
      <c r="B11" s="25">
        <v>1.9548994868373359E-2</v>
      </c>
    </row>
    <row r="12" spans="1:2" x14ac:dyDescent="0.25">
      <c r="A12" s="21" t="s">
        <v>14</v>
      </c>
      <c r="B12" s="25">
        <v>4.3236684682376649E-3</v>
      </c>
    </row>
    <row r="13" spans="1:2" x14ac:dyDescent="0.25">
      <c r="A13" s="21" t="s">
        <v>26</v>
      </c>
      <c r="B13" s="25">
        <v>-8.9704364821494888E-3</v>
      </c>
    </row>
    <row r="14" spans="1:2" x14ac:dyDescent="0.25">
      <c r="A14" s="21" t="s">
        <v>8</v>
      </c>
      <c r="B14" s="25">
        <v>-1.1007391455613379E-2</v>
      </c>
    </row>
    <row r="15" spans="1:2" x14ac:dyDescent="0.25">
      <c r="A15" s="21" t="s">
        <v>24</v>
      </c>
      <c r="B15" s="25">
        <v>-2.4982715594806547E-2</v>
      </c>
    </row>
    <row r="16" spans="1:2" x14ac:dyDescent="0.25">
      <c r="A16" s="21" t="s">
        <v>17</v>
      </c>
      <c r="B16" s="25">
        <v>-2.7504514727433791E-2</v>
      </c>
    </row>
    <row r="17" spans="1:4" x14ac:dyDescent="0.25">
      <c r="A17" s="21" t="s">
        <v>22</v>
      </c>
      <c r="B17" s="25">
        <v>-3.2146689851375775E-2</v>
      </c>
    </row>
    <row r="18" spans="1:4" x14ac:dyDescent="0.25">
      <c r="A18" s="21" t="s">
        <v>9</v>
      </c>
      <c r="B18" s="25">
        <v>-3.5471436613604371E-2</v>
      </c>
    </row>
    <row r="19" spans="1:4" x14ac:dyDescent="0.25">
      <c r="A19" s="21" t="s">
        <v>13</v>
      </c>
      <c r="B19" s="25">
        <v>-3.7146382938237202E-2</v>
      </c>
    </row>
    <row r="20" spans="1:4" x14ac:dyDescent="0.25">
      <c r="A20" s="21" t="s">
        <v>11</v>
      </c>
      <c r="B20" s="25">
        <v>-3.9557255731827064E-2</v>
      </c>
    </row>
    <row r="21" spans="1:4" x14ac:dyDescent="0.25">
      <c r="A21" s="21" t="s">
        <v>16</v>
      </c>
      <c r="B21" s="25">
        <v>-4.0185016505333057E-2</v>
      </c>
    </row>
    <row r="22" spans="1:4" x14ac:dyDescent="0.25">
      <c r="A22" s="21" t="s">
        <v>21</v>
      </c>
      <c r="B22" s="25">
        <v>-6.3422653134508081E-2</v>
      </c>
    </row>
    <row r="23" spans="1:4" x14ac:dyDescent="0.25">
      <c r="A23" s="21" t="s">
        <v>12</v>
      </c>
      <c r="B23" s="25">
        <v>-6.6618318619657391E-2</v>
      </c>
    </row>
    <row r="25" spans="1:4" x14ac:dyDescent="0.25">
      <c r="D25" t="s">
        <v>1073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54FB-6A2E-4C0F-A248-61F05608FAC6}">
  <dimension ref="A3:D25"/>
  <sheetViews>
    <sheetView workbookViewId="0">
      <selection activeCell="D25" sqref="D25"/>
    </sheetView>
  </sheetViews>
  <sheetFormatPr defaultRowHeight="15" x14ac:dyDescent="0.25"/>
  <cols>
    <col min="1" max="1" width="23.5703125" bestFit="1" customWidth="1"/>
    <col min="2" max="2" width="11.7109375" bestFit="1" customWidth="1"/>
  </cols>
  <sheetData>
    <row r="3" spans="1:2" x14ac:dyDescent="0.25">
      <c r="A3" s="20" t="s">
        <v>1044</v>
      </c>
      <c r="B3" t="s">
        <v>1065</v>
      </c>
    </row>
    <row r="4" spans="1:2" x14ac:dyDescent="0.25">
      <c r="A4" s="21" t="s">
        <v>22</v>
      </c>
      <c r="B4" s="29">
        <v>52844</v>
      </c>
    </row>
    <row r="5" spans="1:2" x14ac:dyDescent="0.25">
      <c r="A5" s="21" t="s">
        <v>17</v>
      </c>
      <c r="B5" s="29">
        <v>51789</v>
      </c>
    </row>
    <row r="6" spans="1:2" x14ac:dyDescent="0.25">
      <c r="A6" s="21" t="s">
        <v>15</v>
      </c>
      <c r="B6" s="29">
        <v>49580</v>
      </c>
    </row>
    <row r="7" spans="1:2" x14ac:dyDescent="0.25">
      <c r="A7" s="21" t="s">
        <v>12</v>
      </c>
      <c r="B7" s="29">
        <v>48746</v>
      </c>
    </row>
    <row r="8" spans="1:2" x14ac:dyDescent="0.25">
      <c r="A8" s="21" t="s">
        <v>11</v>
      </c>
      <c r="B8" s="29">
        <v>47028</v>
      </c>
    </row>
    <row r="9" spans="1:2" x14ac:dyDescent="0.25">
      <c r="A9" s="21" t="s">
        <v>10</v>
      </c>
      <c r="B9" s="29">
        <v>43098</v>
      </c>
    </row>
    <row r="10" spans="1:2" x14ac:dyDescent="0.25">
      <c r="A10" s="21" t="s">
        <v>23</v>
      </c>
      <c r="B10" s="29">
        <v>42837</v>
      </c>
    </row>
    <row r="11" spans="1:2" x14ac:dyDescent="0.25">
      <c r="A11" s="21" t="s">
        <v>25</v>
      </c>
      <c r="B11" s="29">
        <v>41106</v>
      </c>
    </row>
    <row r="12" spans="1:2" x14ac:dyDescent="0.25">
      <c r="A12" s="21" t="s">
        <v>8</v>
      </c>
      <c r="B12" s="29">
        <v>41010</v>
      </c>
    </row>
    <row r="13" spans="1:2" x14ac:dyDescent="0.25">
      <c r="A13" s="21" t="s">
        <v>14</v>
      </c>
      <c r="B13" s="29">
        <v>40029</v>
      </c>
    </row>
    <row r="14" spans="1:2" x14ac:dyDescent="0.25">
      <c r="A14" s="21" t="s">
        <v>19</v>
      </c>
      <c r="B14" s="29">
        <v>39168</v>
      </c>
    </row>
    <row r="15" spans="1:2" x14ac:dyDescent="0.25">
      <c r="A15" s="21" t="s">
        <v>18</v>
      </c>
      <c r="B15" s="29">
        <v>38312</v>
      </c>
    </row>
    <row r="16" spans="1:2" x14ac:dyDescent="0.25">
      <c r="A16" s="21" t="s">
        <v>24</v>
      </c>
      <c r="B16" s="29">
        <v>37636</v>
      </c>
    </row>
    <row r="17" spans="1:4" x14ac:dyDescent="0.25">
      <c r="A17" s="21" t="s">
        <v>27</v>
      </c>
      <c r="B17" s="29">
        <v>36448</v>
      </c>
    </row>
    <row r="18" spans="1:4" x14ac:dyDescent="0.25">
      <c r="A18" s="21" t="s">
        <v>16</v>
      </c>
      <c r="B18" s="29">
        <v>36436</v>
      </c>
    </row>
    <row r="19" spans="1:4" x14ac:dyDescent="0.25">
      <c r="A19" s="21" t="s">
        <v>13</v>
      </c>
      <c r="B19" s="29">
        <v>35012</v>
      </c>
    </row>
    <row r="20" spans="1:4" x14ac:dyDescent="0.25">
      <c r="A20" s="21" t="s">
        <v>9</v>
      </c>
      <c r="B20" s="29">
        <v>32463</v>
      </c>
    </row>
    <row r="21" spans="1:4" x14ac:dyDescent="0.25">
      <c r="A21" s="21" t="s">
        <v>26</v>
      </c>
      <c r="B21" s="29">
        <v>31954</v>
      </c>
    </row>
    <row r="22" spans="1:4" x14ac:dyDescent="0.25">
      <c r="A22" s="21" t="s">
        <v>21</v>
      </c>
      <c r="B22" s="29">
        <v>27662</v>
      </c>
    </row>
    <row r="23" spans="1:4" x14ac:dyDescent="0.25">
      <c r="A23" s="21" t="s">
        <v>20</v>
      </c>
      <c r="B23" s="29">
        <v>27275</v>
      </c>
    </row>
    <row r="24" spans="1:4" x14ac:dyDescent="0.25">
      <c r="A24" s="21" t="s">
        <v>1045</v>
      </c>
      <c r="B24" s="28">
        <v>800433</v>
      </c>
    </row>
    <row r="25" spans="1:4" x14ac:dyDescent="0.25">
      <c r="D25" t="s">
        <v>1070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92A4-702B-482C-8609-064DFDD06D04}">
  <dimension ref="A1:N4"/>
  <sheetViews>
    <sheetView workbookViewId="0">
      <selection activeCell="E14" sqref="E14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21.42578125" bestFit="1" customWidth="1"/>
    <col min="4" max="4" width="20.7109375" bestFit="1" customWidth="1"/>
    <col min="5" max="5" width="13.85546875" bestFit="1" customWidth="1"/>
    <col min="6" max="6" width="21.140625" bestFit="1" customWidth="1"/>
    <col min="7" max="7" width="18.85546875" bestFit="1" customWidth="1"/>
    <col min="8" max="8" width="12.85546875" bestFit="1" customWidth="1"/>
    <col min="9" max="9" width="19.28515625" bestFit="1" customWidth="1"/>
    <col min="10" max="10" width="13.28515625" bestFit="1" customWidth="1"/>
    <col min="11" max="11" width="36.140625" bestFit="1" customWidth="1"/>
    <col min="12" max="12" width="18.140625" bestFit="1" customWidth="1"/>
    <col min="13" max="13" width="47.5703125" bestFit="1" customWidth="1"/>
    <col min="14" max="14" width="41.42578125" bestFit="1" customWidth="1"/>
  </cols>
  <sheetData>
    <row r="1" spans="1:14" x14ac:dyDescent="0.25">
      <c r="A1" s="27" t="s">
        <v>1075</v>
      </c>
    </row>
    <row r="3" spans="1:1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1060</v>
      </c>
      <c r="J3" t="s">
        <v>1061</v>
      </c>
      <c r="K3" t="s">
        <v>1062</v>
      </c>
      <c r="L3" t="s">
        <v>1063</v>
      </c>
      <c r="M3" t="s">
        <v>1071</v>
      </c>
      <c r="N3" t="s">
        <v>1072</v>
      </c>
    </row>
    <row r="4" spans="1:14" x14ac:dyDescent="0.25">
      <c r="A4">
        <v>682</v>
      </c>
      <c r="B4">
        <v>110</v>
      </c>
      <c r="C4">
        <v>84</v>
      </c>
      <c r="D4">
        <v>5</v>
      </c>
      <c r="E4">
        <v>420</v>
      </c>
      <c r="F4" s="26">
        <v>45029</v>
      </c>
      <c r="G4" t="s">
        <v>13</v>
      </c>
      <c r="H4">
        <v>225</v>
      </c>
      <c r="I4" t="s">
        <v>40</v>
      </c>
      <c r="J4" t="s">
        <v>39</v>
      </c>
      <c r="K4">
        <v>265.47674418604652</v>
      </c>
      <c r="L4">
        <v>-0.68358810389382851</v>
      </c>
      <c r="M4">
        <v>10237</v>
      </c>
      <c r="N4">
        <v>-0.99179447103643648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E5C0-6F68-4CEB-9F1B-2955A41E4593}">
  <dimension ref="A1:C82"/>
  <sheetViews>
    <sheetView workbookViewId="0">
      <selection activeCell="C31" sqref="C31"/>
    </sheetView>
  </sheetViews>
  <sheetFormatPr defaultRowHeight="15" x14ac:dyDescent="0.25"/>
  <cols>
    <col min="1" max="1" width="18.140625" bestFit="1" customWidth="1"/>
    <col min="2" max="2" width="62.5703125" bestFit="1" customWidth="1"/>
    <col min="3" max="3" width="60.7109375" bestFit="1" customWidth="1"/>
    <col min="4" max="4" width="9.42578125" bestFit="1" customWidth="1"/>
    <col min="5" max="5" width="5.85546875" bestFit="1" customWidth="1"/>
    <col min="6" max="6" width="6.42578125" bestFit="1" customWidth="1"/>
    <col min="7" max="7" width="10.85546875" bestFit="1" customWidth="1"/>
    <col min="8" max="8" width="8.42578125" bestFit="1" customWidth="1"/>
    <col min="9" max="9" width="5.85546875" bestFit="1" customWidth="1"/>
    <col min="10" max="10" width="7.42578125" bestFit="1" customWidth="1"/>
    <col min="11" max="11" width="8.85546875" bestFit="1" customWidth="1"/>
    <col min="12" max="12" width="5.28515625" bestFit="1" customWidth="1"/>
    <col min="13" max="13" width="5.85546875" bestFit="1" customWidth="1"/>
    <col min="14" max="14" width="6.28515625" bestFit="1" customWidth="1"/>
    <col min="15" max="15" width="5.28515625" bestFit="1" customWidth="1"/>
    <col min="16" max="16" width="5.42578125" bestFit="1" customWidth="1"/>
    <col min="17" max="17" width="5.28515625" bestFit="1" customWidth="1"/>
    <col min="18" max="18" width="8.140625" bestFit="1" customWidth="1"/>
    <col min="19" max="19" width="5.5703125" bestFit="1" customWidth="1"/>
    <col min="20" max="20" width="5.28515625" bestFit="1" customWidth="1"/>
    <col min="21" max="21" width="7" bestFit="1" customWidth="1"/>
    <col min="22" max="22" width="11.85546875" bestFit="1" customWidth="1"/>
  </cols>
  <sheetData>
    <row r="1" spans="1:2" x14ac:dyDescent="0.25">
      <c r="A1" s="20" t="s">
        <v>1060</v>
      </c>
      <c r="B1" t="s">
        <v>1076</v>
      </c>
    </row>
    <row r="3" spans="1:2" x14ac:dyDescent="0.25">
      <c r="A3" s="20" t="s">
        <v>1044</v>
      </c>
      <c r="B3" t="s">
        <v>1079</v>
      </c>
    </row>
    <row r="4" spans="1:2" x14ac:dyDescent="0.25">
      <c r="A4" s="21" t="s">
        <v>71</v>
      </c>
      <c r="B4" s="51">
        <v>2929</v>
      </c>
    </row>
    <row r="5" spans="1:2" x14ac:dyDescent="0.25">
      <c r="A5" s="21" t="s">
        <v>34</v>
      </c>
      <c r="B5" s="51">
        <v>1846</v>
      </c>
    </row>
    <row r="6" spans="1:2" x14ac:dyDescent="0.25">
      <c r="A6" s="21" t="s">
        <v>107</v>
      </c>
      <c r="B6" s="51">
        <v>6412</v>
      </c>
    </row>
    <row r="7" spans="1:2" x14ac:dyDescent="0.25">
      <c r="A7" s="21" t="s">
        <v>123</v>
      </c>
      <c r="B7" s="51">
        <v>504</v>
      </c>
    </row>
    <row r="8" spans="1:2" x14ac:dyDescent="0.25">
      <c r="A8" s="21" t="s">
        <v>82</v>
      </c>
      <c r="B8" s="51">
        <v>5248</v>
      </c>
    </row>
    <row r="9" spans="1:2" x14ac:dyDescent="0.25">
      <c r="A9" s="21" t="s">
        <v>122</v>
      </c>
      <c r="B9" s="51">
        <v>2244</v>
      </c>
    </row>
    <row r="10" spans="1:2" x14ac:dyDescent="0.25">
      <c r="A10" s="21" t="s">
        <v>70</v>
      </c>
      <c r="B10" s="51">
        <v>4943</v>
      </c>
    </row>
    <row r="11" spans="1:2" x14ac:dyDescent="0.25">
      <c r="A11" s="21" t="s">
        <v>105</v>
      </c>
      <c r="B11" s="51">
        <v>2569</v>
      </c>
    </row>
    <row r="12" spans="1:2" x14ac:dyDescent="0.25">
      <c r="A12" s="21" t="s">
        <v>104</v>
      </c>
      <c r="B12" s="51">
        <v>3935</v>
      </c>
    </row>
    <row r="13" spans="1:2" x14ac:dyDescent="0.25">
      <c r="A13" s="21" t="s">
        <v>102</v>
      </c>
      <c r="B13" s="51">
        <v>5885</v>
      </c>
    </row>
    <row r="14" spans="1:2" x14ac:dyDescent="0.25">
      <c r="A14" s="21" t="s">
        <v>112</v>
      </c>
      <c r="B14" s="51">
        <v>1089</v>
      </c>
    </row>
    <row r="15" spans="1:2" x14ac:dyDescent="0.25">
      <c r="A15" s="21" t="s">
        <v>52</v>
      </c>
      <c r="B15" s="51">
        <v>420</v>
      </c>
    </row>
    <row r="16" spans="1:2" x14ac:dyDescent="0.25">
      <c r="A16" s="21" t="s">
        <v>120</v>
      </c>
      <c r="B16" s="51">
        <v>2225</v>
      </c>
    </row>
    <row r="17" spans="1:3" x14ac:dyDescent="0.25">
      <c r="A17" s="21" t="s">
        <v>110</v>
      </c>
      <c r="B17" s="51">
        <v>3112</v>
      </c>
    </row>
    <row r="18" spans="1:3" x14ac:dyDescent="0.25">
      <c r="A18" s="21" t="s">
        <v>94</v>
      </c>
      <c r="B18" s="51">
        <v>1511</v>
      </c>
    </row>
    <row r="19" spans="1:3" x14ac:dyDescent="0.25">
      <c r="A19" s="21" t="s">
        <v>77</v>
      </c>
      <c r="B19" s="51">
        <v>1762</v>
      </c>
    </row>
    <row r="20" spans="1:3" x14ac:dyDescent="0.25">
      <c r="A20" s="21" t="s">
        <v>88</v>
      </c>
      <c r="B20" s="51">
        <v>2433</v>
      </c>
    </row>
    <row r="21" spans="1:3" x14ac:dyDescent="0.25">
      <c r="A21" s="21" t="s">
        <v>64</v>
      </c>
      <c r="B21" s="51">
        <v>6757</v>
      </c>
    </row>
    <row r="22" spans="1:3" x14ac:dyDescent="0.25">
      <c r="A22" s="21" t="s">
        <v>97</v>
      </c>
      <c r="B22" s="51">
        <v>2609</v>
      </c>
    </row>
    <row r="23" spans="1:3" x14ac:dyDescent="0.25">
      <c r="A23" s="21" t="s">
        <v>65</v>
      </c>
      <c r="B23" s="51">
        <v>3548</v>
      </c>
    </row>
    <row r="24" spans="1:3" x14ac:dyDescent="0.25">
      <c r="A24" s="21" t="s">
        <v>68</v>
      </c>
      <c r="B24" s="51">
        <v>3493</v>
      </c>
    </row>
    <row r="25" spans="1:3" x14ac:dyDescent="0.25">
      <c r="A25" s="21" t="s">
        <v>114</v>
      </c>
      <c r="B25" s="51">
        <v>4585</v>
      </c>
    </row>
    <row r="26" spans="1:3" x14ac:dyDescent="0.25">
      <c r="A26" s="21" t="s">
        <v>91</v>
      </c>
      <c r="B26" s="51">
        <v>6852</v>
      </c>
    </row>
    <row r="27" spans="1:3" x14ac:dyDescent="0.25">
      <c r="A27" s="21" t="s">
        <v>113</v>
      </c>
      <c r="B27" s="51">
        <v>387</v>
      </c>
      <c r="C27" t="s">
        <v>1675</v>
      </c>
    </row>
    <row r="28" spans="1:3" x14ac:dyDescent="0.25">
      <c r="A28" s="21" t="s">
        <v>103</v>
      </c>
      <c r="B28" s="51">
        <v>2229</v>
      </c>
    </row>
    <row r="29" spans="1:3" x14ac:dyDescent="0.25">
      <c r="A29" s="21" t="s">
        <v>36</v>
      </c>
      <c r="B29" s="51">
        <v>1848</v>
      </c>
    </row>
    <row r="30" spans="1:3" x14ac:dyDescent="0.25">
      <c r="A30" s="21" t="s">
        <v>51</v>
      </c>
      <c r="B30" s="51">
        <v>2671</v>
      </c>
    </row>
    <row r="31" spans="1:3" x14ac:dyDescent="0.25">
      <c r="A31" s="21" t="s">
        <v>43</v>
      </c>
      <c r="B31" s="51">
        <v>4946</v>
      </c>
    </row>
    <row r="32" spans="1:3" x14ac:dyDescent="0.25">
      <c r="A32" s="21" t="s">
        <v>78</v>
      </c>
      <c r="B32" s="51">
        <v>2814</v>
      </c>
    </row>
    <row r="33" spans="1:2" x14ac:dyDescent="0.25">
      <c r="A33" s="21" t="s">
        <v>95</v>
      </c>
      <c r="B33" s="51">
        <v>796</v>
      </c>
    </row>
    <row r="34" spans="1:2" x14ac:dyDescent="0.25">
      <c r="A34" s="21" t="s">
        <v>75</v>
      </c>
      <c r="B34" s="51">
        <v>4287</v>
      </c>
    </row>
    <row r="35" spans="1:2" x14ac:dyDescent="0.25">
      <c r="A35" s="21" t="s">
        <v>111</v>
      </c>
      <c r="B35" s="51">
        <v>3974</v>
      </c>
    </row>
    <row r="36" spans="1:2" x14ac:dyDescent="0.25">
      <c r="A36" s="21" t="s">
        <v>92</v>
      </c>
      <c r="B36" s="51">
        <v>2802</v>
      </c>
    </row>
    <row r="37" spans="1:2" x14ac:dyDescent="0.25">
      <c r="A37" s="21" t="s">
        <v>100</v>
      </c>
      <c r="B37" s="51">
        <v>4200</v>
      </c>
    </row>
    <row r="38" spans="1:2" x14ac:dyDescent="0.25">
      <c r="A38" s="21" t="s">
        <v>83</v>
      </c>
      <c r="B38" s="51">
        <v>2189</v>
      </c>
    </row>
    <row r="39" spans="1:2" x14ac:dyDescent="0.25">
      <c r="A39" s="21" t="s">
        <v>101</v>
      </c>
      <c r="B39" s="51">
        <v>3622</v>
      </c>
    </row>
    <row r="40" spans="1:2" x14ac:dyDescent="0.25">
      <c r="A40" s="21" t="s">
        <v>54</v>
      </c>
      <c r="B40" s="51">
        <v>4431</v>
      </c>
    </row>
    <row r="41" spans="1:2" x14ac:dyDescent="0.25">
      <c r="A41" s="21" t="s">
        <v>119</v>
      </c>
      <c r="B41" s="51">
        <v>82</v>
      </c>
    </row>
    <row r="42" spans="1:2" x14ac:dyDescent="0.25">
      <c r="A42" s="21" t="s">
        <v>14</v>
      </c>
      <c r="B42" s="51">
        <v>3799</v>
      </c>
    </row>
    <row r="43" spans="1:2" x14ac:dyDescent="0.25">
      <c r="A43" s="21" t="s">
        <v>63</v>
      </c>
      <c r="B43" s="51">
        <v>2559.9499999999998</v>
      </c>
    </row>
    <row r="44" spans="1:2" x14ac:dyDescent="0.25">
      <c r="A44" s="21" t="s">
        <v>85</v>
      </c>
      <c r="B44" s="51">
        <v>1703.375</v>
      </c>
    </row>
    <row r="45" spans="1:2" x14ac:dyDescent="0.25">
      <c r="A45" s="21" t="s">
        <v>62</v>
      </c>
      <c r="B45" s="51">
        <v>5165</v>
      </c>
    </row>
    <row r="46" spans="1:2" x14ac:dyDescent="0.25">
      <c r="A46" s="21" t="s">
        <v>81</v>
      </c>
      <c r="B46" s="51">
        <v>3283</v>
      </c>
    </row>
    <row r="47" spans="1:2" x14ac:dyDescent="0.25">
      <c r="A47" s="21" t="s">
        <v>39</v>
      </c>
      <c r="B47" s="51">
        <v>10237</v>
      </c>
    </row>
    <row r="48" spans="1:2" x14ac:dyDescent="0.25">
      <c r="A48" s="21" t="s">
        <v>98</v>
      </c>
      <c r="B48" s="51">
        <v>3538</v>
      </c>
    </row>
    <row r="49" spans="1:2" x14ac:dyDescent="0.25">
      <c r="A49" s="21" t="s">
        <v>61</v>
      </c>
      <c r="B49" s="51">
        <v>5172</v>
      </c>
    </row>
    <row r="50" spans="1:2" x14ac:dyDescent="0.25">
      <c r="A50" s="21" t="s">
        <v>99</v>
      </c>
      <c r="B50" s="51">
        <v>3507</v>
      </c>
    </row>
    <row r="51" spans="1:2" x14ac:dyDescent="0.25">
      <c r="A51" s="21" t="s">
        <v>116</v>
      </c>
      <c r="B51" s="51">
        <v>2120</v>
      </c>
    </row>
    <row r="52" spans="1:2" x14ac:dyDescent="0.25">
      <c r="A52" s="21" t="s">
        <v>73</v>
      </c>
      <c r="B52" s="51">
        <v>5929</v>
      </c>
    </row>
    <row r="53" spans="1:2" x14ac:dyDescent="0.25">
      <c r="A53" s="21" t="s">
        <v>80</v>
      </c>
      <c r="B53" s="51">
        <v>6053</v>
      </c>
    </row>
    <row r="54" spans="1:2" x14ac:dyDescent="0.25">
      <c r="A54" s="21" t="s">
        <v>117</v>
      </c>
      <c r="B54" s="51">
        <v>2902</v>
      </c>
    </row>
    <row r="55" spans="1:2" x14ac:dyDescent="0.25">
      <c r="A55" s="21" t="s">
        <v>89</v>
      </c>
      <c r="B55" s="51">
        <v>4988</v>
      </c>
    </row>
    <row r="56" spans="1:2" x14ac:dyDescent="0.25">
      <c r="A56" s="21" t="s">
        <v>93</v>
      </c>
      <c r="B56" s="51">
        <v>3166</v>
      </c>
    </row>
    <row r="57" spans="1:2" x14ac:dyDescent="0.25">
      <c r="A57" s="21" t="s">
        <v>86</v>
      </c>
      <c r="B57" s="51">
        <v>878</v>
      </c>
    </row>
    <row r="58" spans="1:2" x14ac:dyDescent="0.25">
      <c r="A58" s="21" t="s">
        <v>115</v>
      </c>
      <c r="B58" s="51">
        <v>3405</v>
      </c>
    </row>
    <row r="59" spans="1:2" x14ac:dyDescent="0.25">
      <c r="A59" s="21" t="s">
        <v>121</v>
      </c>
      <c r="B59" s="51">
        <v>2796</v>
      </c>
    </row>
    <row r="60" spans="1:2" x14ac:dyDescent="0.25">
      <c r="A60" s="21" t="s">
        <v>106</v>
      </c>
      <c r="B60" s="51">
        <v>2737</v>
      </c>
    </row>
    <row r="61" spans="1:2" x14ac:dyDescent="0.25">
      <c r="A61" s="21" t="s">
        <v>118</v>
      </c>
      <c r="B61" s="51">
        <v>2164</v>
      </c>
    </row>
    <row r="62" spans="1:2" x14ac:dyDescent="0.25">
      <c r="A62" s="21" t="s">
        <v>30</v>
      </c>
      <c r="B62" s="51">
        <v>2080</v>
      </c>
    </row>
    <row r="63" spans="1:2" x14ac:dyDescent="0.25">
      <c r="A63" s="21" t="s">
        <v>47</v>
      </c>
      <c r="B63" s="51">
        <v>1608</v>
      </c>
    </row>
    <row r="64" spans="1:2" x14ac:dyDescent="0.25">
      <c r="A64" s="21" t="s">
        <v>79</v>
      </c>
      <c r="B64" s="51">
        <v>2843</v>
      </c>
    </row>
    <row r="65" spans="1:2" x14ac:dyDescent="0.25">
      <c r="A65" s="21" t="s">
        <v>28</v>
      </c>
      <c r="B65" s="51">
        <v>3604</v>
      </c>
    </row>
    <row r="66" spans="1:2" x14ac:dyDescent="0.25">
      <c r="A66" s="21" t="s">
        <v>109</v>
      </c>
      <c r="B66" s="51">
        <v>4630</v>
      </c>
    </row>
    <row r="67" spans="1:2" x14ac:dyDescent="0.25">
      <c r="A67" s="21" t="s">
        <v>49</v>
      </c>
      <c r="B67" s="51">
        <v>8943</v>
      </c>
    </row>
    <row r="68" spans="1:2" x14ac:dyDescent="0.25">
      <c r="A68" s="21" t="s">
        <v>59</v>
      </c>
      <c r="B68" s="51">
        <v>1127</v>
      </c>
    </row>
    <row r="69" spans="1:2" x14ac:dyDescent="0.25">
      <c r="A69" s="21" t="s">
        <v>67</v>
      </c>
      <c r="B69" s="51">
        <v>3023</v>
      </c>
    </row>
    <row r="70" spans="1:2" x14ac:dyDescent="0.25">
      <c r="A70" s="21" t="s">
        <v>38</v>
      </c>
      <c r="B70" s="51">
        <v>3358</v>
      </c>
    </row>
    <row r="71" spans="1:2" x14ac:dyDescent="0.25">
      <c r="A71" s="21" t="s">
        <v>32</v>
      </c>
      <c r="B71" s="51">
        <v>9023</v>
      </c>
    </row>
    <row r="72" spans="1:2" x14ac:dyDescent="0.25">
      <c r="A72" s="21" t="s">
        <v>58</v>
      </c>
      <c r="B72" s="51">
        <v>2526</v>
      </c>
    </row>
    <row r="73" spans="1:2" x14ac:dyDescent="0.25">
      <c r="A73" s="21" t="s">
        <v>87</v>
      </c>
      <c r="B73" s="51">
        <v>4226</v>
      </c>
    </row>
    <row r="74" spans="1:2" x14ac:dyDescent="0.25">
      <c r="A74" s="21" t="s">
        <v>56</v>
      </c>
      <c r="B74" s="51">
        <v>1281</v>
      </c>
    </row>
    <row r="75" spans="1:2" x14ac:dyDescent="0.25">
      <c r="A75" s="21" t="s">
        <v>84</v>
      </c>
      <c r="B75" s="51">
        <v>2222</v>
      </c>
    </row>
    <row r="76" spans="1:2" x14ac:dyDescent="0.25">
      <c r="A76" s="21" t="s">
        <v>45</v>
      </c>
      <c r="B76" s="51">
        <v>2871</v>
      </c>
    </row>
    <row r="77" spans="1:2" x14ac:dyDescent="0.25">
      <c r="A77" s="21" t="s">
        <v>74</v>
      </c>
      <c r="B77" s="51">
        <v>4059</v>
      </c>
    </row>
    <row r="78" spans="1:2" x14ac:dyDescent="0.25">
      <c r="A78" s="21" t="s">
        <v>96</v>
      </c>
      <c r="B78" s="51">
        <v>4171</v>
      </c>
    </row>
    <row r="79" spans="1:2" x14ac:dyDescent="0.25">
      <c r="A79" s="21" t="s">
        <v>66</v>
      </c>
      <c r="B79" s="51">
        <v>4970</v>
      </c>
    </row>
    <row r="80" spans="1:2" x14ac:dyDescent="0.25">
      <c r="A80" s="21" t="s">
        <v>124</v>
      </c>
      <c r="B80" s="51">
        <v>2092</v>
      </c>
    </row>
    <row r="81" spans="1:2" x14ac:dyDescent="0.25">
      <c r="A81" s="21" t="s">
        <v>41</v>
      </c>
      <c r="B81" s="51">
        <v>2773</v>
      </c>
    </row>
    <row r="82" spans="1:2" x14ac:dyDescent="0.25">
      <c r="A82" s="21" t="s">
        <v>1045</v>
      </c>
      <c r="B82" s="51">
        <v>4445.66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DADF-DB10-4A16-B977-8384764DE6B3}">
  <dimension ref="A1:B82"/>
  <sheetViews>
    <sheetView workbookViewId="0">
      <selection activeCell="B15" sqref="B15"/>
    </sheetView>
  </sheetViews>
  <sheetFormatPr defaultRowHeight="15" x14ac:dyDescent="0.25"/>
  <cols>
    <col min="1" max="1" width="18.140625" bestFit="1" customWidth="1"/>
    <col min="2" max="2" width="56.42578125" bestFit="1" customWidth="1"/>
    <col min="3" max="3" width="8.42578125" bestFit="1" customWidth="1"/>
    <col min="4" max="4" width="9.42578125" bestFit="1" customWidth="1"/>
    <col min="5" max="5" width="5.85546875" bestFit="1" customWidth="1"/>
    <col min="6" max="6" width="6.42578125" bestFit="1" customWidth="1"/>
    <col min="7" max="7" width="10.85546875" bestFit="1" customWidth="1"/>
    <col min="8" max="8" width="8.42578125" bestFit="1" customWidth="1"/>
    <col min="9" max="9" width="5.85546875" bestFit="1" customWidth="1"/>
    <col min="10" max="10" width="7.42578125" bestFit="1" customWidth="1"/>
    <col min="11" max="11" width="8.85546875" bestFit="1" customWidth="1"/>
    <col min="12" max="12" width="5.28515625" bestFit="1" customWidth="1"/>
    <col min="13" max="13" width="5.85546875" bestFit="1" customWidth="1"/>
    <col min="14" max="14" width="6.28515625" bestFit="1" customWidth="1"/>
    <col min="15" max="15" width="5.28515625" bestFit="1" customWidth="1"/>
    <col min="16" max="16" width="5.42578125" bestFit="1" customWidth="1"/>
    <col min="17" max="17" width="5.28515625" bestFit="1" customWidth="1"/>
    <col min="18" max="18" width="8.140625" bestFit="1" customWidth="1"/>
    <col min="19" max="19" width="5.5703125" bestFit="1" customWidth="1"/>
    <col min="20" max="20" width="5.28515625" bestFit="1" customWidth="1"/>
    <col min="21" max="21" width="7" bestFit="1" customWidth="1"/>
    <col min="22" max="22" width="11.85546875" bestFit="1" customWidth="1"/>
  </cols>
  <sheetData>
    <row r="1" spans="1:2" x14ac:dyDescent="0.25">
      <c r="A1" s="20" t="s">
        <v>1060</v>
      </c>
      <c r="B1" t="s">
        <v>1076</v>
      </c>
    </row>
    <row r="3" spans="1:2" x14ac:dyDescent="0.25">
      <c r="A3" s="20" t="s">
        <v>1044</v>
      </c>
      <c r="B3" t="s">
        <v>1074</v>
      </c>
    </row>
    <row r="4" spans="1:2" x14ac:dyDescent="0.25">
      <c r="A4" s="21" t="s">
        <v>119</v>
      </c>
      <c r="B4" s="25">
        <v>0</v>
      </c>
    </row>
    <row r="5" spans="1:2" x14ac:dyDescent="0.25">
      <c r="A5" s="21" t="s">
        <v>113</v>
      </c>
      <c r="B5" s="25">
        <v>-0.5</v>
      </c>
    </row>
    <row r="6" spans="1:2" x14ac:dyDescent="0.25">
      <c r="A6" s="21" t="s">
        <v>86</v>
      </c>
      <c r="B6" s="25">
        <v>-0.66666666666666663</v>
      </c>
    </row>
    <row r="7" spans="1:2" x14ac:dyDescent="0.25">
      <c r="A7" s="21" t="s">
        <v>123</v>
      </c>
      <c r="B7" s="25">
        <v>-0.66666666666666663</v>
      </c>
    </row>
    <row r="8" spans="1:2" x14ac:dyDescent="0.25">
      <c r="A8" s="21" t="s">
        <v>52</v>
      </c>
      <c r="B8" s="25">
        <v>-0.66666666666666663</v>
      </c>
    </row>
    <row r="9" spans="1:2" x14ac:dyDescent="0.25">
      <c r="A9" s="21" t="s">
        <v>56</v>
      </c>
      <c r="B9" s="25">
        <v>-0.75</v>
      </c>
    </row>
    <row r="10" spans="1:2" x14ac:dyDescent="0.25">
      <c r="A10" s="21" t="s">
        <v>85</v>
      </c>
      <c r="B10" s="25">
        <v>-0.75</v>
      </c>
    </row>
    <row r="11" spans="1:2" x14ac:dyDescent="0.25">
      <c r="A11" s="21" t="s">
        <v>112</v>
      </c>
      <c r="B11" s="25">
        <v>-0.75</v>
      </c>
    </row>
    <row r="12" spans="1:2" x14ac:dyDescent="0.25">
      <c r="A12" s="21" t="s">
        <v>59</v>
      </c>
      <c r="B12" s="25">
        <v>-0.75</v>
      </c>
    </row>
    <row r="13" spans="1:2" x14ac:dyDescent="0.25">
      <c r="A13" s="21" t="s">
        <v>34</v>
      </c>
      <c r="B13" s="25">
        <v>-0.8</v>
      </c>
    </row>
    <row r="14" spans="1:2" x14ac:dyDescent="0.25">
      <c r="A14" s="21" t="s">
        <v>95</v>
      </c>
      <c r="B14" s="25">
        <v>-0.8</v>
      </c>
    </row>
    <row r="15" spans="1:2" x14ac:dyDescent="0.25">
      <c r="A15" s="21" t="s">
        <v>77</v>
      </c>
      <c r="B15" s="25">
        <v>-0.83333333333333337</v>
      </c>
    </row>
    <row r="16" spans="1:2" x14ac:dyDescent="0.25">
      <c r="A16" s="21" t="s">
        <v>47</v>
      </c>
      <c r="B16" s="25">
        <v>-0.83333333333333337</v>
      </c>
    </row>
    <row r="17" spans="1:2" x14ac:dyDescent="0.25">
      <c r="A17" s="21" t="s">
        <v>122</v>
      </c>
      <c r="B17" s="25">
        <v>-0.8571428571428571</v>
      </c>
    </row>
    <row r="18" spans="1:2" x14ac:dyDescent="0.25">
      <c r="A18" s="21" t="s">
        <v>120</v>
      </c>
      <c r="B18" s="25">
        <v>-0.8571428571428571</v>
      </c>
    </row>
    <row r="19" spans="1:2" x14ac:dyDescent="0.25">
      <c r="A19" s="21" t="s">
        <v>94</v>
      </c>
      <c r="B19" s="25">
        <v>-0.8571428571428571</v>
      </c>
    </row>
    <row r="20" spans="1:2" x14ac:dyDescent="0.25">
      <c r="A20" s="21" t="s">
        <v>36</v>
      </c>
      <c r="B20" s="25">
        <v>-0.8571428571428571</v>
      </c>
    </row>
    <row r="21" spans="1:2" x14ac:dyDescent="0.25">
      <c r="A21" s="21" t="s">
        <v>83</v>
      </c>
      <c r="B21" s="25">
        <v>-0.875</v>
      </c>
    </row>
    <row r="22" spans="1:2" x14ac:dyDescent="0.25">
      <c r="A22" s="21" t="s">
        <v>58</v>
      </c>
      <c r="B22" s="25">
        <v>-0.88888888888888884</v>
      </c>
    </row>
    <row r="23" spans="1:2" x14ac:dyDescent="0.25">
      <c r="A23" s="21" t="s">
        <v>78</v>
      </c>
      <c r="B23" s="25">
        <v>-0.88888888888888884</v>
      </c>
    </row>
    <row r="24" spans="1:2" x14ac:dyDescent="0.25">
      <c r="A24" s="21" t="s">
        <v>116</v>
      </c>
      <c r="B24" s="25">
        <v>-0.88888888888888884</v>
      </c>
    </row>
    <row r="25" spans="1:2" x14ac:dyDescent="0.25">
      <c r="A25" s="21" t="s">
        <v>103</v>
      </c>
      <c r="B25" s="25">
        <v>-0.88888888888888884</v>
      </c>
    </row>
    <row r="26" spans="1:2" x14ac:dyDescent="0.25">
      <c r="A26" s="21" t="s">
        <v>124</v>
      </c>
      <c r="B26" s="25">
        <v>-0.88888888888888884</v>
      </c>
    </row>
    <row r="27" spans="1:2" x14ac:dyDescent="0.25">
      <c r="A27" s="21" t="s">
        <v>92</v>
      </c>
      <c r="B27" s="25">
        <v>-0.88888888888888884</v>
      </c>
    </row>
    <row r="28" spans="1:2" x14ac:dyDescent="0.25">
      <c r="A28" s="21" t="s">
        <v>97</v>
      </c>
      <c r="B28" s="25">
        <v>-0.88888888888888906</v>
      </c>
    </row>
    <row r="29" spans="1:2" x14ac:dyDescent="0.25">
      <c r="A29" s="21" t="s">
        <v>88</v>
      </c>
      <c r="B29" s="25">
        <v>-0.9</v>
      </c>
    </row>
    <row r="30" spans="1:2" x14ac:dyDescent="0.25">
      <c r="A30" s="21" t="s">
        <v>63</v>
      </c>
      <c r="B30" s="25">
        <v>-0.9</v>
      </c>
    </row>
    <row r="31" spans="1:2" x14ac:dyDescent="0.25">
      <c r="A31" s="21" t="s">
        <v>118</v>
      </c>
      <c r="B31" s="25">
        <v>-0.9</v>
      </c>
    </row>
    <row r="32" spans="1:2" x14ac:dyDescent="0.25">
      <c r="A32" s="21" t="s">
        <v>30</v>
      </c>
      <c r="B32" s="25">
        <v>-0.9</v>
      </c>
    </row>
    <row r="33" spans="1:2" x14ac:dyDescent="0.25">
      <c r="A33" s="21" t="s">
        <v>105</v>
      </c>
      <c r="B33" s="25">
        <v>-0.9</v>
      </c>
    </row>
    <row r="34" spans="1:2" x14ac:dyDescent="0.25">
      <c r="A34" s="21" t="s">
        <v>110</v>
      </c>
      <c r="B34" s="25">
        <v>-0.9</v>
      </c>
    </row>
    <row r="35" spans="1:2" x14ac:dyDescent="0.25">
      <c r="A35" s="21" t="s">
        <v>93</v>
      </c>
      <c r="B35" s="25">
        <v>-0.9</v>
      </c>
    </row>
    <row r="36" spans="1:2" x14ac:dyDescent="0.25">
      <c r="A36" s="21" t="s">
        <v>84</v>
      </c>
      <c r="B36" s="25">
        <v>-0.9</v>
      </c>
    </row>
    <row r="37" spans="1:2" x14ac:dyDescent="0.25">
      <c r="A37" s="21" t="s">
        <v>45</v>
      </c>
      <c r="B37" s="25">
        <v>-0.9</v>
      </c>
    </row>
    <row r="38" spans="1:2" x14ac:dyDescent="0.25">
      <c r="A38" s="21" t="s">
        <v>106</v>
      </c>
      <c r="B38" s="25">
        <v>-0.90000000000000013</v>
      </c>
    </row>
    <row r="39" spans="1:2" x14ac:dyDescent="0.25">
      <c r="A39" s="21" t="s">
        <v>51</v>
      </c>
      <c r="B39" s="25">
        <v>-0.90909090909090895</v>
      </c>
    </row>
    <row r="40" spans="1:2" x14ac:dyDescent="0.25">
      <c r="A40" s="21" t="s">
        <v>121</v>
      </c>
      <c r="B40" s="25">
        <v>-0.90909090909090895</v>
      </c>
    </row>
    <row r="41" spans="1:2" x14ac:dyDescent="0.25">
      <c r="A41" s="21" t="s">
        <v>65</v>
      </c>
      <c r="B41" s="25">
        <v>-0.90909090909090906</v>
      </c>
    </row>
    <row r="42" spans="1:2" x14ac:dyDescent="0.25">
      <c r="A42" s="21" t="s">
        <v>98</v>
      </c>
      <c r="B42" s="25">
        <v>-0.90909090909090906</v>
      </c>
    </row>
    <row r="43" spans="1:2" x14ac:dyDescent="0.25">
      <c r="A43" s="21" t="s">
        <v>71</v>
      </c>
      <c r="B43" s="25">
        <v>-0.90909090909090906</v>
      </c>
    </row>
    <row r="44" spans="1:2" x14ac:dyDescent="0.25">
      <c r="A44" s="21" t="s">
        <v>41</v>
      </c>
      <c r="B44" s="25">
        <v>-0.90909090909090906</v>
      </c>
    </row>
    <row r="45" spans="1:2" x14ac:dyDescent="0.25">
      <c r="A45" s="21" t="s">
        <v>99</v>
      </c>
      <c r="B45" s="25">
        <v>-0.90909090909090906</v>
      </c>
    </row>
    <row r="46" spans="1:2" x14ac:dyDescent="0.25">
      <c r="A46" s="21" t="s">
        <v>101</v>
      </c>
      <c r="B46" s="25">
        <v>-0.90909090909090906</v>
      </c>
    </row>
    <row r="47" spans="1:2" x14ac:dyDescent="0.25">
      <c r="A47" s="21" t="s">
        <v>81</v>
      </c>
      <c r="B47" s="25">
        <v>-0.91666666666666652</v>
      </c>
    </row>
    <row r="48" spans="1:2" x14ac:dyDescent="0.25">
      <c r="A48" s="21" t="s">
        <v>67</v>
      </c>
      <c r="B48" s="25">
        <v>-0.91666666666666663</v>
      </c>
    </row>
    <row r="49" spans="1:2" x14ac:dyDescent="0.25">
      <c r="A49" s="21" t="s">
        <v>111</v>
      </c>
      <c r="B49" s="25">
        <v>-0.91666666666666663</v>
      </c>
    </row>
    <row r="50" spans="1:2" x14ac:dyDescent="0.25">
      <c r="A50" s="21" t="s">
        <v>117</v>
      </c>
      <c r="B50" s="25">
        <v>-0.91666666666666663</v>
      </c>
    </row>
    <row r="51" spans="1:2" x14ac:dyDescent="0.25">
      <c r="A51" s="21" t="s">
        <v>79</v>
      </c>
      <c r="B51" s="25">
        <v>-0.91666666666666663</v>
      </c>
    </row>
    <row r="52" spans="1:2" x14ac:dyDescent="0.25">
      <c r="A52" s="21" t="s">
        <v>14</v>
      </c>
      <c r="B52" s="25">
        <v>-0.91666666666666685</v>
      </c>
    </row>
    <row r="53" spans="1:2" x14ac:dyDescent="0.25">
      <c r="A53" s="21" t="s">
        <v>38</v>
      </c>
      <c r="B53" s="25">
        <v>-0.92307692307692291</v>
      </c>
    </row>
    <row r="54" spans="1:2" x14ac:dyDescent="0.25">
      <c r="A54" s="21" t="s">
        <v>96</v>
      </c>
      <c r="B54" s="25">
        <v>-0.92307692307692291</v>
      </c>
    </row>
    <row r="55" spans="1:2" x14ac:dyDescent="0.25">
      <c r="A55" s="21" t="s">
        <v>100</v>
      </c>
      <c r="B55" s="25">
        <v>-0.92307692307692313</v>
      </c>
    </row>
    <row r="56" spans="1:2" x14ac:dyDescent="0.25">
      <c r="A56" s="21" t="s">
        <v>68</v>
      </c>
      <c r="B56" s="25">
        <v>-0.9285714285714286</v>
      </c>
    </row>
    <row r="57" spans="1:2" x14ac:dyDescent="0.25">
      <c r="A57" s="21" t="s">
        <v>87</v>
      </c>
      <c r="B57" s="25">
        <v>-0.93333333333333335</v>
      </c>
    </row>
    <row r="58" spans="1:2" x14ac:dyDescent="0.25">
      <c r="A58" s="21" t="s">
        <v>28</v>
      </c>
      <c r="B58" s="25">
        <v>-0.93333333333333335</v>
      </c>
    </row>
    <row r="59" spans="1:2" x14ac:dyDescent="0.25">
      <c r="A59" s="21" t="s">
        <v>74</v>
      </c>
      <c r="B59" s="25">
        <v>-0.93749999999999989</v>
      </c>
    </row>
    <row r="60" spans="1:2" x14ac:dyDescent="0.25">
      <c r="A60" s="21" t="s">
        <v>115</v>
      </c>
      <c r="B60" s="25">
        <v>-0.9375</v>
      </c>
    </row>
    <row r="61" spans="1:2" x14ac:dyDescent="0.25">
      <c r="A61" s="21" t="s">
        <v>62</v>
      </c>
      <c r="B61" s="25">
        <v>-0.94117647058823528</v>
      </c>
    </row>
    <row r="62" spans="1:2" x14ac:dyDescent="0.25">
      <c r="A62" s="21" t="s">
        <v>114</v>
      </c>
      <c r="B62" s="25">
        <v>-0.94117647058823528</v>
      </c>
    </row>
    <row r="63" spans="1:2" x14ac:dyDescent="0.25">
      <c r="A63" s="21" t="s">
        <v>54</v>
      </c>
      <c r="B63" s="25">
        <v>-0.94117647058823528</v>
      </c>
    </row>
    <row r="64" spans="1:2" x14ac:dyDescent="0.25">
      <c r="A64" s="21" t="s">
        <v>89</v>
      </c>
      <c r="B64" s="25">
        <v>-0.94117647058823528</v>
      </c>
    </row>
    <row r="65" spans="1:2" x14ac:dyDescent="0.25">
      <c r="A65" s="21" t="s">
        <v>104</v>
      </c>
      <c r="B65" s="25">
        <v>-0.94117647058823528</v>
      </c>
    </row>
    <row r="66" spans="1:2" x14ac:dyDescent="0.25">
      <c r="A66" s="21" t="s">
        <v>109</v>
      </c>
      <c r="B66" s="25">
        <v>-0.94117647058823528</v>
      </c>
    </row>
    <row r="67" spans="1:2" x14ac:dyDescent="0.25">
      <c r="A67" s="21" t="s">
        <v>43</v>
      </c>
      <c r="B67" s="25">
        <v>-0.9444444444444442</v>
      </c>
    </row>
    <row r="68" spans="1:2" x14ac:dyDescent="0.25">
      <c r="A68" s="21" t="s">
        <v>75</v>
      </c>
      <c r="B68" s="25">
        <v>-0.9444444444444442</v>
      </c>
    </row>
    <row r="69" spans="1:2" x14ac:dyDescent="0.25">
      <c r="A69" s="21" t="s">
        <v>82</v>
      </c>
      <c r="B69" s="25">
        <v>-0.94736842105263175</v>
      </c>
    </row>
    <row r="70" spans="1:2" x14ac:dyDescent="0.25">
      <c r="A70" s="21" t="s">
        <v>70</v>
      </c>
      <c r="B70" s="25">
        <v>-0.94736842105263175</v>
      </c>
    </row>
    <row r="71" spans="1:2" x14ac:dyDescent="0.25">
      <c r="A71" s="21" t="s">
        <v>66</v>
      </c>
      <c r="B71" s="25">
        <v>-0.95</v>
      </c>
    </row>
    <row r="72" spans="1:2" x14ac:dyDescent="0.25">
      <c r="A72" s="21" t="s">
        <v>102</v>
      </c>
      <c r="B72" s="25">
        <v>-0.95238095238095222</v>
      </c>
    </row>
    <row r="73" spans="1:2" x14ac:dyDescent="0.25">
      <c r="A73" s="21" t="s">
        <v>80</v>
      </c>
      <c r="B73" s="25">
        <v>-0.95238095238095222</v>
      </c>
    </row>
    <row r="74" spans="1:2" x14ac:dyDescent="0.25">
      <c r="A74" s="21" t="s">
        <v>61</v>
      </c>
      <c r="B74" s="25">
        <v>-0.95238095238095233</v>
      </c>
    </row>
    <row r="75" spans="1:2" x14ac:dyDescent="0.25">
      <c r="A75" s="21" t="s">
        <v>107</v>
      </c>
      <c r="B75" s="25">
        <v>-0.95454545454545459</v>
      </c>
    </row>
    <row r="76" spans="1:2" x14ac:dyDescent="0.25">
      <c r="A76" s="21" t="s">
        <v>73</v>
      </c>
      <c r="B76" s="25">
        <v>-0.95652173913043481</v>
      </c>
    </row>
    <row r="77" spans="1:2" x14ac:dyDescent="0.25">
      <c r="A77" s="21" t="s">
        <v>64</v>
      </c>
      <c r="B77" s="25">
        <v>-0.96296296296296269</v>
      </c>
    </row>
    <row r="78" spans="1:2" x14ac:dyDescent="0.25">
      <c r="A78" s="21" t="s">
        <v>91</v>
      </c>
      <c r="B78" s="25">
        <v>-0.9655172413793105</v>
      </c>
    </row>
    <row r="79" spans="1:2" x14ac:dyDescent="0.25">
      <c r="A79" s="21" t="s">
        <v>32</v>
      </c>
      <c r="B79" s="25">
        <v>-0.96875000000000011</v>
      </c>
    </row>
    <row r="80" spans="1:2" x14ac:dyDescent="0.25">
      <c r="A80" s="21" t="s">
        <v>49</v>
      </c>
      <c r="B80" s="25">
        <v>-0.96969696969696995</v>
      </c>
    </row>
    <row r="81" spans="1:2" x14ac:dyDescent="0.25">
      <c r="A81" s="21" t="s">
        <v>39</v>
      </c>
      <c r="B81" s="25">
        <v>-0.97297297297297314</v>
      </c>
    </row>
    <row r="82" spans="1:2" x14ac:dyDescent="0.25">
      <c r="A82" s="21" t="s">
        <v>1045</v>
      </c>
      <c r="B82" s="25">
        <v>-0.92000000000000015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7413-98F5-4999-80D9-FE97D9B10BE5}">
  <dimension ref="A3:E82"/>
  <sheetViews>
    <sheetView workbookViewId="0">
      <selection activeCell="F24" sqref="F24"/>
    </sheetView>
  </sheetViews>
  <sheetFormatPr defaultRowHeight="15" x14ac:dyDescent="0.25"/>
  <cols>
    <col min="1" max="1" width="18.140625" bestFit="1" customWidth="1"/>
    <col min="2" max="2" width="28.42578125" style="49" bestFit="1" customWidth="1"/>
  </cols>
  <sheetData>
    <row r="3" spans="1:2" x14ac:dyDescent="0.25">
      <c r="A3" s="20" t="s">
        <v>1044</v>
      </c>
      <c r="B3" s="30" t="s">
        <v>1048</v>
      </c>
    </row>
    <row r="4" spans="1:2" x14ac:dyDescent="0.25">
      <c r="A4" s="21" t="s">
        <v>39</v>
      </c>
      <c r="B4" s="30">
        <v>29430</v>
      </c>
    </row>
    <row r="5" spans="1:2" x14ac:dyDescent="0.25">
      <c r="A5" s="21" t="s">
        <v>32</v>
      </c>
      <c r="B5" s="30">
        <v>24872</v>
      </c>
    </row>
    <row r="6" spans="1:2" x14ac:dyDescent="0.25">
      <c r="A6" s="21" t="s">
        <v>49</v>
      </c>
      <c r="B6" s="30">
        <v>24200</v>
      </c>
    </row>
    <row r="7" spans="1:2" x14ac:dyDescent="0.25">
      <c r="A7" s="21" t="s">
        <v>107</v>
      </c>
      <c r="B7" s="30">
        <v>21191</v>
      </c>
    </row>
    <row r="8" spans="1:2" x14ac:dyDescent="0.25">
      <c r="A8" s="21" t="s">
        <v>64</v>
      </c>
      <c r="B8" s="30">
        <v>20462</v>
      </c>
    </row>
    <row r="9" spans="1:2" x14ac:dyDescent="0.25">
      <c r="A9" s="21" t="s">
        <v>91</v>
      </c>
      <c r="B9" s="30">
        <v>20345</v>
      </c>
    </row>
    <row r="10" spans="1:2" x14ac:dyDescent="0.25">
      <c r="A10" s="21" t="s">
        <v>43</v>
      </c>
      <c r="B10" s="30">
        <v>18739</v>
      </c>
    </row>
    <row r="11" spans="1:2" x14ac:dyDescent="0.25">
      <c r="A11" s="21" t="s">
        <v>102</v>
      </c>
      <c r="B11" s="30">
        <v>18368</v>
      </c>
    </row>
    <row r="12" spans="1:2" x14ac:dyDescent="0.25">
      <c r="A12" s="21" t="s">
        <v>114</v>
      </c>
      <c r="B12" s="30">
        <v>17471</v>
      </c>
    </row>
    <row r="13" spans="1:2" x14ac:dyDescent="0.25">
      <c r="A13" s="21" t="s">
        <v>80</v>
      </c>
      <c r="B13" s="30">
        <v>16874</v>
      </c>
    </row>
    <row r="14" spans="1:2" x14ac:dyDescent="0.25">
      <c r="A14" s="21" t="s">
        <v>82</v>
      </c>
      <c r="B14" s="30">
        <v>15751</v>
      </c>
    </row>
    <row r="15" spans="1:2" x14ac:dyDescent="0.25">
      <c r="A15" s="21" t="s">
        <v>62</v>
      </c>
      <c r="B15" s="30">
        <v>15581</v>
      </c>
    </row>
    <row r="16" spans="1:2" x14ac:dyDescent="0.25">
      <c r="A16" s="21" t="s">
        <v>54</v>
      </c>
      <c r="B16" s="30">
        <v>15507</v>
      </c>
    </row>
    <row r="17" spans="1:5" x14ac:dyDescent="0.25">
      <c r="A17" s="21" t="s">
        <v>61</v>
      </c>
      <c r="B17" s="30">
        <v>14516</v>
      </c>
    </row>
    <row r="18" spans="1:5" x14ac:dyDescent="0.25">
      <c r="A18" s="21" t="s">
        <v>109</v>
      </c>
      <c r="B18" s="30">
        <v>14457</v>
      </c>
    </row>
    <row r="19" spans="1:5" x14ac:dyDescent="0.25">
      <c r="A19" s="21" t="s">
        <v>73</v>
      </c>
      <c r="B19" s="30">
        <v>13987</v>
      </c>
    </row>
    <row r="20" spans="1:5" x14ac:dyDescent="0.25">
      <c r="A20" s="21" t="s">
        <v>70</v>
      </c>
      <c r="B20" s="30">
        <v>13772</v>
      </c>
    </row>
    <row r="21" spans="1:5" x14ac:dyDescent="0.25">
      <c r="A21" s="21" t="s">
        <v>89</v>
      </c>
      <c r="B21" s="30">
        <v>13106</v>
      </c>
    </row>
    <row r="22" spans="1:5" x14ac:dyDescent="0.25">
      <c r="A22" s="21" t="s">
        <v>87</v>
      </c>
      <c r="B22" s="30">
        <v>13056</v>
      </c>
      <c r="E22" t="s">
        <v>1677</v>
      </c>
    </row>
    <row r="23" spans="1:5" x14ac:dyDescent="0.25">
      <c r="A23" s="21" t="s">
        <v>14</v>
      </c>
      <c r="B23" s="30">
        <v>12899</v>
      </c>
    </row>
    <row r="24" spans="1:5" x14ac:dyDescent="0.25">
      <c r="A24" s="21" t="s">
        <v>66</v>
      </c>
      <c r="B24" s="30">
        <v>12851</v>
      </c>
    </row>
    <row r="25" spans="1:5" x14ac:dyDescent="0.25">
      <c r="A25" s="21" t="s">
        <v>75</v>
      </c>
      <c r="B25" s="30">
        <v>12813</v>
      </c>
    </row>
    <row r="26" spans="1:5" x14ac:dyDescent="0.25">
      <c r="A26" s="21" t="s">
        <v>93</v>
      </c>
      <c r="B26" s="30">
        <v>12712</v>
      </c>
    </row>
    <row r="27" spans="1:5" x14ac:dyDescent="0.25">
      <c r="A27" s="21" t="s">
        <v>68</v>
      </c>
      <c r="B27" s="30">
        <v>12474</v>
      </c>
    </row>
    <row r="28" spans="1:5" x14ac:dyDescent="0.25">
      <c r="A28" s="21" t="s">
        <v>28</v>
      </c>
      <c r="B28" s="30">
        <v>12078</v>
      </c>
    </row>
    <row r="29" spans="1:5" x14ac:dyDescent="0.25">
      <c r="A29" s="21" t="s">
        <v>96</v>
      </c>
      <c r="B29" s="30">
        <v>11937</v>
      </c>
    </row>
    <row r="30" spans="1:5" x14ac:dyDescent="0.25">
      <c r="A30" s="21" t="s">
        <v>104</v>
      </c>
      <c r="B30" s="30">
        <v>11845</v>
      </c>
    </row>
    <row r="31" spans="1:5" x14ac:dyDescent="0.25">
      <c r="A31" s="21" t="s">
        <v>65</v>
      </c>
      <c r="B31" s="30">
        <v>11630</v>
      </c>
    </row>
    <row r="32" spans="1:5" x14ac:dyDescent="0.25">
      <c r="A32" s="21" t="s">
        <v>74</v>
      </c>
      <c r="B32" s="30">
        <v>11100</v>
      </c>
    </row>
    <row r="33" spans="1:2" x14ac:dyDescent="0.25">
      <c r="A33" s="21" t="s">
        <v>106</v>
      </c>
      <c r="B33" s="30">
        <v>10813</v>
      </c>
    </row>
    <row r="34" spans="1:2" x14ac:dyDescent="0.25">
      <c r="A34" s="21" t="s">
        <v>99</v>
      </c>
      <c r="B34" s="30">
        <v>10714</v>
      </c>
    </row>
    <row r="35" spans="1:2" x14ac:dyDescent="0.25">
      <c r="A35" s="21" t="s">
        <v>38</v>
      </c>
      <c r="B35" s="30">
        <v>10620</v>
      </c>
    </row>
    <row r="36" spans="1:2" x14ac:dyDescent="0.25">
      <c r="A36" s="21" t="s">
        <v>111</v>
      </c>
      <c r="B36" s="30">
        <v>10451</v>
      </c>
    </row>
    <row r="37" spans="1:2" x14ac:dyDescent="0.25">
      <c r="A37" s="21" t="s">
        <v>63</v>
      </c>
      <c r="B37" s="30">
        <v>10223</v>
      </c>
    </row>
    <row r="38" spans="1:2" x14ac:dyDescent="0.25">
      <c r="A38" s="21" t="s">
        <v>115</v>
      </c>
      <c r="B38" s="30">
        <v>10168</v>
      </c>
    </row>
    <row r="39" spans="1:2" x14ac:dyDescent="0.25">
      <c r="A39" s="21" t="s">
        <v>98</v>
      </c>
      <c r="B39" s="30">
        <v>9900</v>
      </c>
    </row>
    <row r="40" spans="1:2" x14ac:dyDescent="0.25">
      <c r="A40" s="21" t="s">
        <v>110</v>
      </c>
      <c r="B40" s="30">
        <v>9699</v>
      </c>
    </row>
    <row r="41" spans="1:2" x14ac:dyDescent="0.25">
      <c r="A41" s="21" t="s">
        <v>100</v>
      </c>
      <c r="B41" s="30">
        <v>9294</v>
      </c>
    </row>
    <row r="42" spans="1:2" x14ac:dyDescent="0.25">
      <c r="A42" s="21" t="s">
        <v>81</v>
      </c>
      <c r="B42" s="30">
        <v>9286</v>
      </c>
    </row>
    <row r="43" spans="1:2" x14ac:dyDescent="0.25">
      <c r="A43" s="21" t="s">
        <v>101</v>
      </c>
      <c r="B43" s="30">
        <v>9123</v>
      </c>
    </row>
    <row r="44" spans="1:2" x14ac:dyDescent="0.25">
      <c r="A44" s="21" t="s">
        <v>71</v>
      </c>
      <c r="B44" s="30">
        <v>8954</v>
      </c>
    </row>
    <row r="45" spans="1:2" x14ac:dyDescent="0.25">
      <c r="A45" s="21" t="s">
        <v>79</v>
      </c>
      <c r="B45" s="30">
        <v>8905</v>
      </c>
    </row>
    <row r="46" spans="1:2" x14ac:dyDescent="0.25">
      <c r="A46" s="21" t="s">
        <v>51</v>
      </c>
      <c r="B46" s="30">
        <v>8861</v>
      </c>
    </row>
    <row r="47" spans="1:2" x14ac:dyDescent="0.25">
      <c r="A47" s="21" t="s">
        <v>78</v>
      </c>
      <c r="B47" s="30">
        <v>8841</v>
      </c>
    </row>
    <row r="48" spans="1:2" x14ac:dyDescent="0.25">
      <c r="A48" s="21" t="s">
        <v>117</v>
      </c>
      <c r="B48" s="30">
        <v>8649</v>
      </c>
    </row>
    <row r="49" spans="1:2" x14ac:dyDescent="0.25">
      <c r="A49" s="21" t="s">
        <v>122</v>
      </c>
      <c r="B49" s="30">
        <v>8568</v>
      </c>
    </row>
    <row r="50" spans="1:2" x14ac:dyDescent="0.25">
      <c r="A50" s="21" t="s">
        <v>45</v>
      </c>
      <c r="B50" s="30">
        <v>8543</v>
      </c>
    </row>
    <row r="51" spans="1:2" x14ac:dyDescent="0.25">
      <c r="A51" s="21" t="s">
        <v>67</v>
      </c>
      <c r="B51" s="30">
        <v>8502</v>
      </c>
    </row>
    <row r="52" spans="1:2" x14ac:dyDescent="0.25">
      <c r="A52" s="21" t="s">
        <v>121</v>
      </c>
      <c r="B52" s="30">
        <v>8237</v>
      </c>
    </row>
    <row r="53" spans="1:2" x14ac:dyDescent="0.25">
      <c r="A53" s="21" t="s">
        <v>41</v>
      </c>
      <c r="B53" s="30">
        <v>8230</v>
      </c>
    </row>
    <row r="54" spans="1:2" x14ac:dyDescent="0.25">
      <c r="A54" s="21" t="s">
        <v>116</v>
      </c>
      <c r="B54" s="30">
        <v>8047</v>
      </c>
    </row>
    <row r="55" spans="1:2" x14ac:dyDescent="0.25">
      <c r="A55" s="21" t="s">
        <v>124</v>
      </c>
      <c r="B55" s="30">
        <v>7964</v>
      </c>
    </row>
    <row r="56" spans="1:2" x14ac:dyDescent="0.25">
      <c r="A56" s="21" t="s">
        <v>97</v>
      </c>
      <c r="B56" s="30">
        <v>7420</v>
      </c>
    </row>
    <row r="57" spans="1:2" x14ac:dyDescent="0.25">
      <c r="A57" s="21" t="s">
        <v>103</v>
      </c>
      <c r="B57" s="30">
        <v>7239</v>
      </c>
    </row>
    <row r="58" spans="1:2" x14ac:dyDescent="0.25">
      <c r="A58" s="21" t="s">
        <v>84</v>
      </c>
      <c r="B58" s="30">
        <v>7224</v>
      </c>
    </row>
    <row r="59" spans="1:2" x14ac:dyDescent="0.25">
      <c r="A59" s="21" t="s">
        <v>30</v>
      </c>
      <c r="B59" s="30">
        <v>6781</v>
      </c>
    </row>
    <row r="60" spans="1:2" x14ac:dyDescent="0.25">
      <c r="A60" s="21" t="s">
        <v>105</v>
      </c>
      <c r="B60" s="30">
        <v>6367</v>
      </c>
    </row>
    <row r="61" spans="1:2" x14ac:dyDescent="0.25">
      <c r="A61" s="21" t="s">
        <v>77</v>
      </c>
      <c r="B61" s="30">
        <v>6364</v>
      </c>
    </row>
    <row r="62" spans="1:2" x14ac:dyDescent="0.25">
      <c r="A62" s="21" t="s">
        <v>92</v>
      </c>
      <c r="B62" s="30">
        <v>6329</v>
      </c>
    </row>
    <row r="63" spans="1:2" x14ac:dyDescent="0.25">
      <c r="A63" s="21" t="s">
        <v>34</v>
      </c>
      <c r="B63" s="30">
        <v>6186</v>
      </c>
    </row>
    <row r="64" spans="1:2" x14ac:dyDescent="0.25">
      <c r="A64" s="21" t="s">
        <v>83</v>
      </c>
      <c r="B64" s="30">
        <v>6162</v>
      </c>
    </row>
    <row r="65" spans="1:2" x14ac:dyDescent="0.25">
      <c r="A65" s="21" t="s">
        <v>36</v>
      </c>
      <c r="B65" s="30">
        <v>6133</v>
      </c>
    </row>
    <row r="66" spans="1:2" x14ac:dyDescent="0.25">
      <c r="A66" s="21" t="s">
        <v>88</v>
      </c>
      <c r="B66" s="30">
        <v>5915</v>
      </c>
    </row>
    <row r="67" spans="1:2" x14ac:dyDescent="0.25">
      <c r="A67" s="21" t="s">
        <v>120</v>
      </c>
      <c r="B67" s="30">
        <v>5903</v>
      </c>
    </row>
    <row r="68" spans="1:2" x14ac:dyDescent="0.25">
      <c r="A68" s="21" t="s">
        <v>58</v>
      </c>
      <c r="B68" s="30">
        <v>5896</v>
      </c>
    </row>
    <row r="69" spans="1:2" x14ac:dyDescent="0.25">
      <c r="A69" s="21" t="s">
        <v>118</v>
      </c>
      <c r="B69" s="30">
        <v>5878</v>
      </c>
    </row>
    <row r="70" spans="1:2" x14ac:dyDescent="0.25">
      <c r="A70" s="21" t="s">
        <v>47</v>
      </c>
      <c r="B70" s="30">
        <v>5299</v>
      </c>
    </row>
    <row r="71" spans="1:2" x14ac:dyDescent="0.25">
      <c r="A71" s="21" t="s">
        <v>85</v>
      </c>
      <c r="B71" s="30">
        <v>5099</v>
      </c>
    </row>
    <row r="72" spans="1:2" x14ac:dyDescent="0.25">
      <c r="A72" s="21" t="s">
        <v>94</v>
      </c>
      <c r="B72" s="30">
        <v>4813</v>
      </c>
    </row>
    <row r="73" spans="1:2" x14ac:dyDescent="0.25">
      <c r="A73" s="21" t="s">
        <v>112</v>
      </c>
      <c r="B73" s="30">
        <v>3892</v>
      </c>
    </row>
    <row r="74" spans="1:2" x14ac:dyDescent="0.25">
      <c r="A74" s="21" t="s">
        <v>86</v>
      </c>
      <c r="B74" s="30">
        <v>3625</v>
      </c>
    </row>
    <row r="75" spans="1:2" x14ac:dyDescent="0.25">
      <c r="A75" s="21" t="s">
        <v>56</v>
      </c>
      <c r="B75" s="30">
        <v>3104</v>
      </c>
    </row>
    <row r="76" spans="1:2" x14ac:dyDescent="0.25">
      <c r="A76" s="21" t="s">
        <v>59</v>
      </c>
      <c r="B76" s="30">
        <v>2748</v>
      </c>
    </row>
    <row r="77" spans="1:2" x14ac:dyDescent="0.25">
      <c r="A77" s="21" t="s">
        <v>95</v>
      </c>
      <c r="B77" s="30">
        <v>1546</v>
      </c>
    </row>
    <row r="78" spans="1:2" x14ac:dyDescent="0.25">
      <c r="A78" s="21" t="s">
        <v>123</v>
      </c>
      <c r="B78" s="30">
        <v>1529</v>
      </c>
    </row>
    <row r="79" spans="1:2" x14ac:dyDescent="0.25">
      <c r="A79" s="21" t="s">
        <v>52</v>
      </c>
      <c r="B79" s="30">
        <v>1201</v>
      </c>
    </row>
    <row r="80" spans="1:2" x14ac:dyDescent="0.25">
      <c r="A80" s="21" t="s">
        <v>113</v>
      </c>
      <c r="B80" s="30">
        <v>1082</v>
      </c>
    </row>
    <row r="81" spans="1:2" x14ac:dyDescent="0.25">
      <c r="A81" s="21" t="s">
        <v>119</v>
      </c>
      <c r="B81" s="30">
        <v>82</v>
      </c>
    </row>
    <row r="82" spans="1:2" x14ac:dyDescent="0.25">
      <c r="A82" s="21" t="s">
        <v>1045</v>
      </c>
      <c r="B82" s="30">
        <v>800433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6CC2-E986-414A-94D1-1B09374AB07A}">
  <dimension ref="A1:N62"/>
  <sheetViews>
    <sheetView workbookViewId="0">
      <selection activeCell="A3" sqref="A3:N62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21.42578125" bestFit="1" customWidth="1"/>
    <col min="4" max="4" width="20.7109375" bestFit="1" customWidth="1"/>
    <col min="5" max="5" width="13.85546875" bestFit="1" customWidth="1"/>
    <col min="6" max="6" width="21.140625" bestFit="1" customWidth="1"/>
    <col min="7" max="7" width="23.5703125" bestFit="1" customWidth="1"/>
    <col min="8" max="8" width="12.85546875" bestFit="1" customWidth="1"/>
    <col min="9" max="9" width="19.28515625" bestFit="1" customWidth="1"/>
    <col min="10" max="10" width="16.28515625" bestFit="1" customWidth="1"/>
    <col min="11" max="11" width="36.140625" bestFit="1" customWidth="1"/>
    <col min="12" max="12" width="18.140625" bestFit="1" customWidth="1"/>
    <col min="13" max="13" width="47.5703125" bestFit="1" customWidth="1"/>
    <col min="14" max="14" width="41.42578125" bestFit="1" customWidth="1"/>
  </cols>
  <sheetData>
    <row r="1" spans="1:14" x14ac:dyDescent="0.25">
      <c r="A1" s="27" t="s">
        <v>1078</v>
      </c>
    </row>
    <row r="3" spans="1:1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1060</v>
      </c>
      <c r="J3" t="s">
        <v>1061</v>
      </c>
      <c r="K3" t="s">
        <v>1062</v>
      </c>
      <c r="L3" t="s">
        <v>1063</v>
      </c>
      <c r="M3" t="s">
        <v>1071</v>
      </c>
      <c r="N3" t="s">
        <v>1072</v>
      </c>
    </row>
    <row r="4" spans="1:14" x14ac:dyDescent="0.25">
      <c r="A4">
        <v>984</v>
      </c>
      <c r="B4">
        <v>404</v>
      </c>
      <c r="C4">
        <v>304</v>
      </c>
      <c r="D4">
        <v>5</v>
      </c>
      <c r="E4">
        <v>1520</v>
      </c>
      <c r="F4" s="26">
        <v>45288</v>
      </c>
      <c r="G4" t="s">
        <v>11</v>
      </c>
      <c r="H4">
        <v>17</v>
      </c>
      <c r="I4" t="s">
        <v>46</v>
      </c>
      <c r="J4" t="s">
        <v>73</v>
      </c>
      <c r="K4">
        <v>263.25423728813558</v>
      </c>
      <c r="L4">
        <v>0.15477723409734745</v>
      </c>
      <c r="M4">
        <v>5929</v>
      </c>
      <c r="N4">
        <v>-0.94872659807724746</v>
      </c>
    </row>
    <row r="5" spans="1:14" x14ac:dyDescent="0.25">
      <c r="A5">
        <v>964</v>
      </c>
      <c r="B5">
        <v>448</v>
      </c>
      <c r="C5">
        <v>484</v>
      </c>
      <c r="D5">
        <v>1</v>
      </c>
      <c r="E5">
        <v>484</v>
      </c>
      <c r="F5" s="26">
        <v>45301</v>
      </c>
      <c r="G5" t="s">
        <v>10</v>
      </c>
      <c r="H5">
        <v>404</v>
      </c>
      <c r="I5" t="s">
        <v>46</v>
      </c>
      <c r="J5" t="s">
        <v>73</v>
      </c>
      <c r="K5">
        <v>263.25423728813558</v>
      </c>
      <c r="L5">
        <v>0.83852691218130326</v>
      </c>
      <c r="M5">
        <v>5929</v>
      </c>
      <c r="N5">
        <v>-0.91836734693877553</v>
      </c>
    </row>
    <row r="6" spans="1:14" x14ac:dyDescent="0.25">
      <c r="A6">
        <v>943</v>
      </c>
      <c r="B6">
        <v>447</v>
      </c>
      <c r="C6">
        <v>118</v>
      </c>
      <c r="D6">
        <v>3</v>
      </c>
      <c r="E6">
        <v>354</v>
      </c>
      <c r="F6" s="26">
        <v>45337</v>
      </c>
      <c r="G6" t="s">
        <v>16</v>
      </c>
      <c r="H6">
        <v>9</v>
      </c>
      <c r="I6" t="s">
        <v>46</v>
      </c>
      <c r="J6" t="s">
        <v>66</v>
      </c>
      <c r="K6">
        <v>263.25423728813558</v>
      </c>
      <c r="L6">
        <v>-0.55176409992274011</v>
      </c>
      <c r="M6">
        <v>4970</v>
      </c>
      <c r="N6">
        <v>-0.97625754527162978</v>
      </c>
    </row>
    <row r="7" spans="1:14" x14ac:dyDescent="0.25">
      <c r="A7">
        <v>935</v>
      </c>
      <c r="B7">
        <v>9</v>
      </c>
      <c r="C7">
        <v>321</v>
      </c>
      <c r="D7">
        <v>1</v>
      </c>
      <c r="E7">
        <v>321</v>
      </c>
      <c r="F7" s="26">
        <v>45173</v>
      </c>
      <c r="G7" t="s">
        <v>23</v>
      </c>
      <c r="H7">
        <v>217</v>
      </c>
      <c r="I7" t="s">
        <v>46</v>
      </c>
      <c r="J7" t="s">
        <v>45</v>
      </c>
      <c r="K7">
        <v>263.25423728813558</v>
      </c>
      <c r="L7">
        <v>0.21935359258305431</v>
      </c>
      <c r="M7">
        <v>2871</v>
      </c>
      <c r="N7">
        <v>-0.88819226750261238</v>
      </c>
    </row>
    <row r="8" spans="1:14" x14ac:dyDescent="0.25">
      <c r="A8">
        <v>925</v>
      </c>
      <c r="B8">
        <v>46</v>
      </c>
      <c r="C8">
        <v>290</v>
      </c>
      <c r="D8">
        <v>3</v>
      </c>
      <c r="E8">
        <v>870</v>
      </c>
      <c r="F8" s="26">
        <v>45059</v>
      </c>
      <c r="G8" t="s">
        <v>13</v>
      </c>
      <c r="H8">
        <v>460</v>
      </c>
      <c r="I8" t="s">
        <v>46</v>
      </c>
      <c r="J8" t="s">
        <v>77</v>
      </c>
      <c r="K8">
        <v>263.25423728813558</v>
      </c>
      <c r="L8">
        <v>0.10159670357970652</v>
      </c>
      <c r="M8">
        <v>1762</v>
      </c>
      <c r="N8">
        <v>-0.8354143019296254</v>
      </c>
    </row>
    <row r="9" spans="1:14" x14ac:dyDescent="0.25">
      <c r="A9">
        <v>923</v>
      </c>
      <c r="B9">
        <v>465</v>
      </c>
      <c r="C9">
        <v>71</v>
      </c>
      <c r="D9">
        <v>5</v>
      </c>
      <c r="E9">
        <v>355</v>
      </c>
      <c r="F9" s="26">
        <v>45253</v>
      </c>
      <c r="G9" t="s">
        <v>16</v>
      </c>
      <c r="H9">
        <v>321</v>
      </c>
      <c r="I9" t="s">
        <v>46</v>
      </c>
      <c r="J9" t="s">
        <v>73</v>
      </c>
      <c r="K9">
        <v>263.25423728813558</v>
      </c>
      <c r="L9">
        <v>-0.73029873808910639</v>
      </c>
      <c r="M9">
        <v>5929</v>
      </c>
      <c r="N9">
        <v>-0.98802496205093604</v>
      </c>
    </row>
    <row r="10" spans="1:14" x14ac:dyDescent="0.25">
      <c r="A10">
        <v>913</v>
      </c>
      <c r="B10">
        <v>465</v>
      </c>
      <c r="C10">
        <v>177</v>
      </c>
      <c r="D10">
        <v>1</v>
      </c>
      <c r="E10">
        <v>177</v>
      </c>
      <c r="F10" s="26">
        <v>45122</v>
      </c>
      <c r="G10" t="s">
        <v>16</v>
      </c>
      <c r="H10">
        <v>167</v>
      </c>
      <c r="I10" t="s">
        <v>46</v>
      </c>
      <c r="J10" t="s">
        <v>73</v>
      </c>
      <c r="K10">
        <v>263.25423728813558</v>
      </c>
      <c r="L10">
        <v>-0.32764614988411023</v>
      </c>
      <c r="M10">
        <v>5929</v>
      </c>
      <c r="N10">
        <v>-0.97014673638050264</v>
      </c>
    </row>
    <row r="11" spans="1:14" x14ac:dyDescent="0.25">
      <c r="A11">
        <v>902</v>
      </c>
      <c r="B11">
        <v>444</v>
      </c>
      <c r="C11">
        <v>328</v>
      </c>
      <c r="D11">
        <v>3</v>
      </c>
      <c r="E11">
        <v>984</v>
      </c>
      <c r="F11" s="26">
        <v>45102</v>
      </c>
      <c r="G11" t="s">
        <v>27</v>
      </c>
      <c r="H11">
        <v>292</v>
      </c>
      <c r="I11" t="s">
        <v>46</v>
      </c>
      <c r="J11" t="s">
        <v>66</v>
      </c>
      <c r="K11">
        <v>263.25423728813558</v>
      </c>
      <c r="L11">
        <v>0.24594385784187489</v>
      </c>
      <c r="M11">
        <v>4970</v>
      </c>
      <c r="N11">
        <v>-0.93400402414486927</v>
      </c>
    </row>
    <row r="12" spans="1:14" x14ac:dyDescent="0.25">
      <c r="A12">
        <v>855</v>
      </c>
      <c r="B12">
        <v>239</v>
      </c>
      <c r="C12">
        <v>397</v>
      </c>
      <c r="D12">
        <v>2</v>
      </c>
      <c r="E12">
        <v>794</v>
      </c>
      <c r="F12" s="26">
        <v>45398</v>
      </c>
      <c r="G12" t="s">
        <v>14</v>
      </c>
      <c r="H12">
        <v>65</v>
      </c>
      <c r="I12" t="s">
        <v>46</v>
      </c>
      <c r="J12" t="s">
        <v>66</v>
      </c>
      <c r="K12">
        <v>263.25423728813558</v>
      </c>
      <c r="L12">
        <v>0.50804790110739129</v>
      </c>
      <c r="M12">
        <v>4970</v>
      </c>
      <c r="N12">
        <v>-0.9201207243460765</v>
      </c>
    </row>
    <row r="13" spans="1:14" x14ac:dyDescent="0.25">
      <c r="A13">
        <v>10</v>
      </c>
      <c r="B13">
        <v>100</v>
      </c>
      <c r="C13">
        <v>449</v>
      </c>
      <c r="D13">
        <v>2</v>
      </c>
      <c r="E13">
        <v>898</v>
      </c>
      <c r="F13" s="26">
        <v>45032</v>
      </c>
      <c r="G13" t="s">
        <v>13</v>
      </c>
      <c r="H13">
        <v>413</v>
      </c>
      <c r="I13" t="s">
        <v>46</v>
      </c>
      <c r="J13" t="s">
        <v>73</v>
      </c>
      <c r="K13">
        <v>263.25423728813558</v>
      </c>
      <c r="L13">
        <v>0.7055755858872006</v>
      </c>
      <c r="M13">
        <v>5929</v>
      </c>
      <c r="N13">
        <v>-0.92427053466014508</v>
      </c>
    </row>
    <row r="14" spans="1:14" x14ac:dyDescent="0.25">
      <c r="A14">
        <v>848</v>
      </c>
      <c r="B14">
        <v>319</v>
      </c>
      <c r="C14">
        <v>193</v>
      </c>
      <c r="D14">
        <v>1</v>
      </c>
      <c r="E14">
        <v>193</v>
      </c>
      <c r="F14" s="26">
        <v>45396</v>
      </c>
      <c r="G14" t="s">
        <v>15</v>
      </c>
      <c r="H14">
        <v>43</v>
      </c>
      <c r="I14" t="s">
        <v>46</v>
      </c>
      <c r="J14" t="s">
        <v>66</v>
      </c>
      <c r="K14">
        <v>263.25423728813558</v>
      </c>
      <c r="L14">
        <v>-0.26686840072109197</v>
      </c>
      <c r="M14">
        <v>4970</v>
      </c>
      <c r="N14">
        <v>-0.96116700201207239</v>
      </c>
    </row>
    <row r="15" spans="1:14" x14ac:dyDescent="0.25">
      <c r="A15">
        <v>837</v>
      </c>
      <c r="B15">
        <v>104</v>
      </c>
      <c r="C15">
        <v>420</v>
      </c>
      <c r="D15">
        <v>2</v>
      </c>
      <c r="E15">
        <v>840</v>
      </c>
      <c r="F15" s="26">
        <v>45427</v>
      </c>
      <c r="G15" t="s">
        <v>10</v>
      </c>
      <c r="H15">
        <v>26</v>
      </c>
      <c r="I15" t="s">
        <v>46</v>
      </c>
      <c r="J15" t="s">
        <v>73</v>
      </c>
      <c r="K15">
        <v>263.25423728813558</v>
      </c>
      <c r="L15">
        <v>0.59541591552923001</v>
      </c>
      <c r="M15">
        <v>5929</v>
      </c>
      <c r="N15">
        <v>-0.92916174734356549</v>
      </c>
    </row>
    <row r="16" spans="1:14" x14ac:dyDescent="0.25">
      <c r="A16">
        <v>826</v>
      </c>
      <c r="B16">
        <v>352</v>
      </c>
      <c r="C16">
        <v>391</v>
      </c>
      <c r="D16">
        <v>1</v>
      </c>
      <c r="E16">
        <v>391</v>
      </c>
      <c r="F16" s="26">
        <v>45099</v>
      </c>
      <c r="G16" t="s">
        <v>20</v>
      </c>
      <c r="H16">
        <v>367</v>
      </c>
      <c r="I16" t="s">
        <v>46</v>
      </c>
      <c r="J16" t="s">
        <v>66</v>
      </c>
      <c r="K16">
        <v>263.25423728813558</v>
      </c>
      <c r="L16">
        <v>0.48525624517125943</v>
      </c>
      <c r="M16">
        <v>4970</v>
      </c>
      <c r="N16">
        <v>-0.92132796780684101</v>
      </c>
    </row>
    <row r="17" spans="1:14" x14ac:dyDescent="0.25">
      <c r="A17">
        <v>814</v>
      </c>
      <c r="B17">
        <v>319</v>
      </c>
      <c r="C17">
        <v>148</v>
      </c>
      <c r="D17">
        <v>1</v>
      </c>
      <c r="E17">
        <v>148</v>
      </c>
      <c r="F17" s="26">
        <v>45143</v>
      </c>
      <c r="G17" t="s">
        <v>14</v>
      </c>
      <c r="H17">
        <v>445</v>
      </c>
      <c r="I17" t="s">
        <v>46</v>
      </c>
      <c r="J17" t="s">
        <v>66</v>
      </c>
      <c r="K17">
        <v>263.25423728813558</v>
      </c>
      <c r="L17">
        <v>-0.43780582024208081</v>
      </c>
      <c r="M17">
        <v>4970</v>
      </c>
      <c r="N17">
        <v>-0.9702213279678068</v>
      </c>
    </row>
    <row r="18" spans="1:14" x14ac:dyDescent="0.25">
      <c r="A18">
        <v>789</v>
      </c>
      <c r="B18">
        <v>408</v>
      </c>
      <c r="C18">
        <v>60</v>
      </c>
      <c r="D18">
        <v>4</v>
      </c>
      <c r="E18">
        <v>240</v>
      </c>
      <c r="F18" s="26">
        <v>45299</v>
      </c>
      <c r="G18" t="s">
        <v>15</v>
      </c>
      <c r="H18">
        <v>486</v>
      </c>
      <c r="I18" t="s">
        <v>46</v>
      </c>
      <c r="J18" t="s">
        <v>66</v>
      </c>
      <c r="K18">
        <v>263.25423728813558</v>
      </c>
      <c r="L18">
        <v>-0.7720834406386814</v>
      </c>
      <c r="M18">
        <v>4970</v>
      </c>
      <c r="N18">
        <v>-0.98792756539235416</v>
      </c>
    </row>
    <row r="19" spans="1:14" x14ac:dyDescent="0.25">
      <c r="A19">
        <v>778</v>
      </c>
      <c r="B19">
        <v>468</v>
      </c>
      <c r="C19">
        <v>182</v>
      </c>
      <c r="D19">
        <v>5</v>
      </c>
      <c r="E19">
        <v>910</v>
      </c>
      <c r="F19" s="26">
        <v>45005</v>
      </c>
      <c r="G19" t="s">
        <v>24</v>
      </c>
      <c r="H19">
        <v>445</v>
      </c>
      <c r="I19" t="s">
        <v>46</v>
      </c>
      <c r="J19" t="s">
        <v>45</v>
      </c>
      <c r="K19">
        <v>263.25423728813558</v>
      </c>
      <c r="L19">
        <v>-0.30865310327066697</v>
      </c>
      <c r="M19">
        <v>2871</v>
      </c>
      <c r="N19">
        <v>-0.93660745384883315</v>
      </c>
    </row>
    <row r="20" spans="1:14" x14ac:dyDescent="0.25">
      <c r="A20">
        <v>770</v>
      </c>
      <c r="B20">
        <v>155</v>
      </c>
      <c r="C20">
        <v>310</v>
      </c>
      <c r="D20">
        <v>4</v>
      </c>
      <c r="E20">
        <v>1240</v>
      </c>
      <c r="F20" s="26">
        <v>44930</v>
      </c>
      <c r="G20" t="s">
        <v>19</v>
      </c>
      <c r="H20">
        <v>346</v>
      </c>
      <c r="I20" t="s">
        <v>46</v>
      </c>
      <c r="J20" t="s">
        <v>66</v>
      </c>
      <c r="K20">
        <v>263.25423728813558</v>
      </c>
      <c r="L20">
        <v>0.17756889003347931</v>
      </c>
      <c r="M20">
        <v>4970</v>
      </c>
      <c r="N20">
        <v>-0.93762575452716301</v>
      </c>
    </row>
    <row r="21" spans="1:14" x14ac:dyDescent="0.25">
      <c r="A21">
        <v>768</v>
      </c>
      <c r="B21">
        <v>468</v>
      </c>
      <c r="C21">
        <v>167</v>
      </c>
      <c r="D21">
        <v>4</v>
      </c>
      <c r="E21">
        <v>668</v>
      </c>
      <c r="F21" s="26">
        <v>45211</v>
      </c>
      <c r="G21" t="s">
        <v>27</v>
      </c>
      <c r="H21">
        <v>377</v>
      </c>
      <c r="I21" t="s">
        <v>46</v>
      </c>
      <c r="J21" t="s">
        <v>45</v>
      </c>
      <c r="K21">
        <v>263.25423728813558</v>
      </c>
      <c r="L21">
        <v>-0.36563224311099662</v>
      </c>
      <c r="M21">
        <v>2871</v>
      </c>
      <c r="N21">
        <v>-0.9418321142459074</v>
      </c>
    </row>
    <row r="22" spans="1:14" x14ac:dyDescent="0.25">
      <c r="A22">
        <v>767</v>
      </c>
      <c r="B22">
        <v>259</v>
      </c>
      <c r="C22">
        <v>90</v>
      </c>
      <c r="D22">
        <v>4</v>
      </c>
      <c r="E22">
        <v>360</v>
      </c>
      <c r="F22" s="26">
        <v>45058</v>
      </c>
      <c r="G22" t="s">
        <v>12</v>
      </c>
      <c r="H22">
        <v>79</v>
      </c>
      <c r="I22" t="s">
        <v>46</v>
      </c>
      <c r="J22" t="s">
        <v>73</v>
      </c>
      <c r="K22">
        <v>263.25423728813558</v>
      </c>
      <c r="L22">
        <v>-0.65812516095802209</v>
      </c>
      <c r="M22">
        <v>5929</v>
      </c>
      <c r="N22">
        <v>-0.98482037443076409</v>
      </c>
    </row>
    <row r="23" spans="1:14" x14ac:dyDescent="0.25">
      <c r="A23">
        <v>758</v>
      </c>
      <c r="B23">
        <v>67</v>
      </c>
      <c r="C23">
        <v>274</v>
      </c>
      <c r="D23">
        <v>4</v>
      </c>
      <c r="E23">
        <v>1096</v>
      </c>
      <c r="F23" s="26">
        <v>45298</v>
      </c>
      <c r="G23" t="s">
        <v>10</v>
      </c>
      <c r="H23">
        <v>262</v>
      </c>
      <c r="I23" t="s">
        <v>46</v>
      </c>
      <c r="J23" t="s">
        <v>45</v>
      </c>
      <c r="K23">
        <v>263.25423728813558</v>
      </c>
      <c r="L23">
        <v>4.0818954416688147E-2</v>
      </c>
      <c r="M23">
        <v>2871</v>
      </c>
      <c r="N23">
        <v>-0.90456287008011149</v>
      </c>
    </row>
    <row r="24" spans="1:14" x14ac:dyDescent="0.25">
      <c r="A24">
        <v>753</v>
      </c>
      <c r="B24">
        <v>61</v>
      </c>
      <c r="C24">
        <v>183</v>
      </c>
      <c r="D24">
        <v>5</v>
      </c>
      <c r="E24">
        <v>915</v>
      </c>
      <c r="F24" s="26">
        <v>45062</v>
      </c>
      <c r="G24" t="s">
        <v>17</v>
      </c>
      <c r="H24">
        <v>191</v>
      </c>
      <c r="I24" t="s">
        <v>46</v>
      </c>
      <c r="J24" t="s">
        <v>66</v>
      </c>
      <c r="K24">
        <v>263.25423728813558</v>
      </c>
      <c r="L24">
        <v>-0.30485449394797837</v>
      </c>
      <c r="M24">
        <v>4970</v>
      </c>
      <c r="N24">
        <v>-0.96317907444668005</v>
      </c>
    </row>
    <row r="25" spans="1:14" x14ac:dyDescent="0.25">
      <c r="A25">
        <v>741</v>
      </c>
      <c r="B25">
        <v>263</v>
      </c>
      <c r="C25">
        <v>173</v>
      </c>
      <c r="D25">
        <v>3</v>
      </c>
      <c r="E25">
        <v>519</v>
      </c>
      <c r="F25" s="26">
        <v>45390</v>
      </c>
      <c r="G25" t="s">
        <v>22</v>
      </c>
      <c r="H25">
        <v>142</v>
      </c>
      <c r="I25" t="s">
        <v>46</v>
      </c>
      <c r="J25" t="s">
        <v>77</v>
      </c>
      <c r="K25">
        <v>263.25423728813558</v>
      </c>
      <c r="L25">
        <v>-0.34284058717486476</v>
      </c>
      <c r="M25">
        <v>1762</v>
      </c>
      <c r="N25">
        <v>-0.90181611804767314</v>
      </c>
    </row>
    <row r="26" spans="1:14" x14ac:dyDescent="0.25">
      <c r="A26">
        <v>740</v>
      </c>
      <c r="B26">
        <v>46</v>
      </c>
      <c r="C26">
        <v>370</v>
      </c>
      <c r="D26">
        <v>5</v>
      </c>
      <c r="E26">
        <v>1850</v>
      </c>
      <c r="F26" s="26">
        <v>45034</v>
      </c>
      <c r="G26" t="s">
        <v>25</v>
      </c>
      <c r="H26">
        <v>103</v>
      </c>
      <c r="I26" t="s">
        <v>46</v>
      </c>
      <c r="J26" t="s">
        <v>77</v>
      </c>
      <c r="K26">
        <v>263.25423728813558</v>
      </c>
      <c r="L26">
        <v>0.40548544939479791</v>
      </c>
      <c r="M26">
        <v>1762</v>
      </c>
      <c r="N26">
        <v>-0.79001135073779793</v>
      </c>
    </row>
    <row r="27" spans="1:14" x14ac:dyDescent="0.25">
      <c r="A27">
        <v>717</v>
      </c>
      <c r="B27">
        <v>448</v>
      </c>
      <c r="C27">
        <v>72</v>
      </c>
      <c r="D27">
        <v>5</v>
      </c>
      <c r="E27">
        <v>360</v>
      </c>
      <c r="F27" s="26">
        <v>45409</v>
      </c>
      <c r="G27" t="s">
        <v>18</v>
      </c>
      <c r="H27">
        <v>63</v>
      </c>
      <c r="I27" t="s">
        <v>46</v>
      </c>
      <c r="J27" t="s">
        <v>73</v>
      </c>
      <c r="K27">
        <v>263.25423728813558</v>
      </c>
      <c r="L27">
        <v>-0.72650012876641767</v>
      </c>
      <c r="M27">
        <v>5929</v>
      </c>
      <c r="N27">
        <v>-0.98785629954461118</v>
      </c>
    </row>
    <row r="28" spans="1:14" x14ac:dyDescent="0.25">
      <c r="A28">
        <v>706</v>
      </c>
      <c r="B28">
        <v>444</v>
      </c>
      <c r="C28">
        <v>315</v>
      </c>
      <c r="D28">
        <v>4</v>
      </c>
      <c r="E28">
        <v>1260</v>
      </c>
      <c r="F28" s="26">
        <v>45041</v>
      </c>
      <c r="G28" t="s">
        <v>12</v>
      </c>
      <c r="H28">
        <v>414</v>
      </c>
      <c r="I28" t="s">
        <v>46</v>
      </c>
      <c r="J28" t="s">
        <v>66</v>
      </c>
      <c r="K28">
        <v>263.25423728813558</v>
      </c>
      <c r="L28">
        <v>0.19656193664692245</v>
      </c>
      <c r="M28">
        <v>4970</v>
      </c>
      <c r="N28">
        <v>-0.93661971830985913</v>
      </c>
    </row>
    <row r="29" spans="1:14" x14ac:dyDescent="0.25">
      <c r="A29">
        <v>703</v>
      </c>
      <c r="B29">
        <v>46</v>
      </c>
      <c r="C29">
        <v>228</v>
      </c>
      <c r="D29">
        <v>5</v>
      </c>
      <c r="E29">
        <v>1140</v>
      </c>
      <c r="F29" s="26">
        <v>45017</v>
      </c>
      <c r="G29" t="s">
        <v>11</v>
      </c>
      <c r="H29">
        <v>272</v>
      </c>
      <c r="I29" t="s">
        <v>46</v>
      </c>
      <c r="J29" t="s">
        <v>77</v>
      </c>
      <c r="K29">
        <v>263.25423728813558</v>
      </c>
      <c r="L29">
        <v>-0.13391707442698941</v>
      </c>
      <c r="M29">
        <v>1762</v>
      </c>
      <c r="N29">
        <v>-0.87060158910329166</v>
      </c>
    </row>
    <row r="30" spans="1:14" x14ac:dyDescent="0.25">
      <c r="A30">
        <v>620</v>
      </c>
      <c r="B30">
        <v>67</v>
      </c>
      <c r="C30">
        <v>142</v>
      </c>
      <c r="D30">
        <v>4</v>
      </c>
      <c r="E30">
        <v>568</v>
      </c>
      <c r="F30" s="26">
        <v>45256</v>
      </c>
      <c r="G30" t="s">
        <v>8</v>
      </c>
      <c r="H30">
        <v>69</v>
      </c>
      <c r="I30" t="s">
        <v>46</v>
      </c>
      <c r="J30" t="s">
        <v>45</v>
      </c>
      <c r="K30">
        <v>263.25423728813558</v>
      </c>
      <c r="L30">
        <v>-0.46059747617821267</v>
      </c>
      <c r="M30">
        <v>2871</v>
      </c>
      <c r="N30">
        <v>-0.95053988157436431</v>
      </c>
    </row>
    <row r="31" spans="1:14" x14ac:dyDescent="0.25">
      <c r="A31">
        <v>610</v>
      </c>
      <c r="B31">
        <v>315</v>
      </c>
      <c r="C31">
        <v>232</v>
      </c>
      <c r="D31">
        <v>1</v>
      </c>
      <c r="E31">
        <v>232</v>
      </c>
      <c r="F31" s="26">
        <v>44929</v>
      </c>
      <c r="G31" t="s">
        <v>13</v>
      </c>
      <c r="H31">
        <v>247</v>
      </c>
      <c r="I31" t="s">
        <v>46</v>
      </c>
      <c r="J31" t="s">
        <v>45</v>
      </c>
      <c r="K31">
        <v>263.25423728813558</v>
      </c>
      <c r="L31">
        <v>-0.11872263713623488</v>
      </c>
      <c r="M31">
        <v>2871</v>
      </c>
      <c r="N31">
        <v>-0.91919191919191923</v>
      </c>
    </row>
    <row r="32" spans="1:14" x14ac:dyDescent="0.25">
      <c r="A32">
        <v>583</v>
      </c>
      <c r="B32">
        <v>233</v>
      </c>
      <c r="C32">
        <v>419</v>
      </c>
      <c r="D32">
        <v>5</v>
      </c>
      <c r="E32">
        <v>2095</v>
      </c>
      <c r="F32" s="26">
        <v>45304</v>
      </c>
      <c r="G32" t="s">
        <v>25</v>
      </c>
      <c r="H32">
        <v>388</v>
      </c>
      <c r="I32" t="s">
        <v>46</v>
      </c>
      <c r="J32" t="s">
        <v>73</v>
      </c>
      <c r="K32">
        <v>263.25423728813558</v>
      </c>
      <c r="L32">
        <v>0.59161730620654129</v>
      </c>
      <c r="M32">
        <v>5929</v>
      </c>
      <c r="N32">
        <v>-0.92933040984989035</v>
      </c>
    </row>
    <row r="33" spans="1:14" x14ac:dyDescent="0.25">
      <c r="A33">
        <v>562</v>
      </c>
      <c r="B33">
        <v>448</v>
      </c>
      <c r="C33">
        <v>170</v>
      </c>
      <c r="D33">
        <v>1</v>
      </c>
      <c r="E33">
        <v>170</v>
      </c>
      <c r="F33" s="26">
        <v>45075</v>
      </c>
      <c r="G33" t="s">
        <v>26</v>
      </c>
      <c r="H33">
        <v>43</v>
      </c>
      <c r="I33" t="s">
        <v>46</v>
      </c>
      <c r="J33" t="s">
        <v>73</v>
      </c>
      <c r="K33">
        <v>263.25423728813558</v>
      </c>
      <c r="L33">
        <v>-0.35423641514293069</v>
      </c>
      <c r="M33">
        <v>5929</v>
      </c>
      <c r="N33">
        <v>-0.97132737392477653</v>
      </c>
    </row>
    <row r="34" spans="1:14" x14ac:dyDescent="0.25">
      <c r="A34">
        <v>547</v>
      </c>
      <c r="B34">
        <v>444</v>
      </c>
      <c r="C34">
        <v>59</v>
      </c>
      <c r="D34">
        <v>2</v>
      </c>
      <c r="E34">
        <v>118</v>
      </c>
      <c r="F34" s="26">
        <v>45263</v>
      </c>
      <c r="G34" t="s">
        <v>27</v>
      </c>
      <c r="H34">
        <v>381</v>
      </c>
      <c r="I34" t="s">
        <v>46</v>
      </c>
      <c r="J34" t="s">
        <v>66</v>
      </c>
      <c r="K34">
        <v>263.25423728813558</v>
      </c>
      <c r="L34">
        <v>-0.77588204996137011</v>
      </c>
      <c r="M34">
        <v>4970</v>
      </c>
      <c r="N34">
        <v>-0.98812877263581489</v>
      </c>
    </row>
    <row r="35" spans="1:14" x14ac:dyDescent="0.25">
      <c r="A35">
        <v>534</v>
      </c>
      <c r="B35">
        <v>315</v>
      </c>
      <c r="C35">
        <v>348</v>
      </c>
      <c r="D35">
        <v>2</v>
      </c>
      <c r="E35">
        <v>696</v>
      </c>
      <c r="F35" s="26">
        <v>45002</v>
      </c>
      <c r="G35" t="s">
        <v>12</v>
      </c>
      <c r="H35">
        <v>402</v>
      </c>
      <c r="I35" t="s">
        <v>46</v>
      </c>
      <c r="J35" t="s">
        <v>45</v>
      </c>
      <c r="K35">
        <v>263.25423728813558</v>
      </c>
      <c r="L35">
        <v>0.32191604429564769</v>
      </c>
      <c r="M35">
        <v>2871</v>
      </c>
      <c r="N35">
        <v>-0.87878787878787878</v>
      </c>
    </row>
    <row r="36" spans="1:14" x14ac:dyDescent="0.25">
      <c r="A36">
        <v>33</v>
      </c>
      <c r="B36">
        <v>104</v>
      </c>
      <c r="C36">
        <v>351</v>
      </c>
      <c r="D36">
        <v>1</v>
      </c>
      <c r="E36">
        <v>351</v>
      </c>
      <c r="F36" s="26">
        <v>44997</v>
      </c>
      <c r="G36" t="s">
        <v>20</v>
      </c>
      <c r="H36">
        <v>324</v>
      </c>
      <c r="I36" t="s">
        <v>46</v>
      </c>
      <c r="J36" t="s">
        <v>73</v>
      </c>
      <c r="K36">
        <v>263.25423728813558</v>
      </c>
      <c r="L36">
        <v>0.33331187226371362</v>
      </c>
      <c r="M36">
        <v>5929</v>
      </c>
      <c r="N36">
        <v>-0.94079946027997974</v>
      </c>
    </row>
    <row r="37" spans="1:14" x14ac:dyDescent="0.25">
      <c r="A37">
        <v>527</v>
      </c>
      <c r="B37">
        <v>447</v>
      </c>
      <c r="C37">
        <v>316</v>
      </c>
      <c r="D37">
        <v>1</v>
      </c>
      <c r="E37">
        <v>316</v>
      </c>
      <c r="F37" s="26">
        <v>45121</v>
      </c>
      <c r="G37" t="s">
        <v>17</v>
      </c>
      <c r="H37">
        <v>297</v>
      </c>
      <c r="I37" t="s">
        <v>46</v>
      </c>
      <c r="J37" t="s">
        <v>66</v>
      </c>
      <c r="K37">
        <v>263.25423728813558</v>
      </c>
      <c r="L37">
        <v>0.20036054596961117</v>
      </c>
      <c r="M37">
        <v>4970</v>
      </c>
      <c r="N37">
        <v>-0.9364185110663984</v>
      </c>
    </row>
    <row r="38" spans="1:14" x14ac:dyDescent="0.25">
      <c r="A38">
        <v>490</v>
      </c>
      <c r="B38">
        <v>61</v>
      </c>
      <c r="C38">
        <v>170</v>
      </c>
      <c r="D38">
        <v>2</v>
      </c>
      <c r="E38">
        <v>340</v>
      </c>
      <c r="F38" s="26">
        <v>45292</v>
      </c>
      <c r="G38" t="s">
        <v>11</v>
      </c>
      <c r="H38">
        <v>374</v>
      </c>
      <c r="I38" t="s">
        <v>46</v>
      </c>
      <c r="J38" t="s">
        <v>66</v>
      </c>
      <c r="K38">
        <v>263.25423728813558</v>
      </c>
      <c r="L38">
        <v>-0.35423641514293069</v>
      </c>
      <c r="M38">
        <v>4970</v>
      </c>
      <c r="N38">
        <v>-0.96579476861167002</v>
      </c>
    </row>
    <row r="39" spans="1:14" x14ac:dyDescent="0.25">
      <c r="A39">
        <v>489</v>
      </c>
      <c r="B39">
        <v>104</v>
      </c>
      <c r="C39">
        <v>276</v>
      </c>
      <c r="D39">
        <v>2</v>
      </c>
      <c r="E39">
        <v>552</v>
      </c>
      <c r="F39" s="26">
        <v>45372</v>
      </c>
      <c r="G39" t="s">
        <v>14</v>
      </c>
      <c r="H39">
        <v>134</v>
      </c>
      <c r="I39" t="s">
        <v>46</v>
      </c>
      <c r="J39" t="s">
        <v>73</v>
      </c>
      <c r="K39">
        <v>263.25423728813558</v>
      </c>
      <c r="L39">
        <v>4.841617306206536E-2</v>
      </c>
      <c r="M39">
        <v>5929</v>
      </c>
      <c r="N39">
        <v>-0.95344914825434302</v>
      </c>
    </row>
    <row r="40" spans="1:14" x14ac:dyDescent="0.25">
      <c r="A40">
        <v>372</v>
      </c>
      <c r="B40">
        <v>286</v>
      </c>
      <c r="C40">
        <v>122</v>
      </c>
      <c r="D40">
        <v>5</v>
      </c>
      <c r="E40">
        <v>610</v>
      </c>
      <c r="F40" s="26">
        <v>45147</v>
      </c>
      <c r="G40" t="s">
        <v>13</v>
      </c>
      <c r="H40">
        <v>356</v>
      </c>
      <c r="I40" t="s">
        <v>46</v>
      </c>
      <c r="J40" t="s">
        <v>73</v>
      </c>
      <c r="K40">
        <v>263.25423728813558</v>
      </c>
      <c r="L40">
        <v>-0.53656966263198558</v>
      </c>
      <c r="M40">
        <v>5929</v>
      </c>
      <c r="N40">
        <v>-0.979423174228369</v>
      </c>
    </row>
    <row r="41" spans="1:14" x14ac:dyDescent="0.25">
      <c r="A41">
        <v>370</v>
      </c>
      <c r="B41">
        <v>178</v>
      </c>
      <c r="C41">
        <v>176</v>
      </c>
      <c r="D41">
        <v>5</v>
      </c>
      <c r="E41">
        <v>880</v>
      </c>
      <c r="F41" s="26">
        <v>45183</v>
      </c>
      <c r="G41" t="s">
        <v>17</v>
      </c>
      <c r="H41">
        <v>65</v>
      </c>
      <c r="I41" t="s">
        <v>46</v>
      </c>
      <c r="J41" t="s">
        <v>73</v>
      </c>
      <c r="K41">
        <v>263.25423728813558</v>
      </c>
      <c r="L41">
        <v>-0.33144475920679883</v>
      </c>
      <c r="M41">
        <v>5929</v>
      </c>
      <c r="N41">
        <v>-0.9703153988868275</v>
      </c>
    </row>
    <row r="42" spans="1:14" x14ac:dyDescent="0.25">
      <c r="A42">
        <v>369</v>
      </c>
      <c r="B42">
        <v>233</v>
      </c>
      <c r="C42">
        <v>478</v>
      </c>
      <c r="D42">
        <v>2</v>
      </c>
      <c r="E42">
        <v>956</v>
      </c>
      <c r="F42" s="26">
        <v>45129</v>
      </c>
      <c r="G42" t="s">
        <v>22</v>
      </c>
      <c r="H42">
        <v>270</v>
      </c>
      <c r="I42" t="s">
        <v>46</v>
      </c>
      <c r="J42" t="s">
        <v>73</v>
      </c>
      <c r="K42">
        <v>263.25423728813558</v>
      </c>
      <c r="L42">
        <v>0.8157352562451714</v>
      </c>
      <c r="M42">
        <v>5929</v>
      </c>
      <c r="N42">
        <v>-0.91937932197672456</v>
      </c>
    </row>
    <row r="43" spans="1:14" x14ac:dyDescent="0.25">
      <c r="A43">
        <v>346</v>
      </c>
      <c r="B43">
        <v>178</v>
      </c>
      <c r="C43">
        <v>179</v>
      </c>
      <c r="D43">
        <v>1</v>
      </c>
      <c r="E43">
        <v>179</v>
      </c>
      <c r="F43" s="26">
        <v>44938</v>
      </c>
      <c r="G43" t="s">
        <v>21</v>
      </c>
      <c r="H43">
        <v>130</v>
      </c>
      <c r="I43" t="s">
        <v>46</v>
      </c>
      <c r="J43" t="s">
        <v>73</v>
      </c>
      <c r="K43">
        <v>263.25423728813558</v>
      </c>
      <c r="L43">
        <v>-0.3200489312387329</v>
      </c>
      <c r="M43">
        <v>5929</v>
      </c>
      <c r="N43">
        <v>-0.96980941136785292</v>
      </c>
    </row>
    <row r="44" spans="1:14" x14ac:dyDescent="0.25">
      <c r="A44">
        <v>345</v>
      </c>
      <c r="B44">
        <v>404</v>
      </c>
      <c r="C44">
        <v>123</v>
      </c>
      <c r="D44">
        <v>1</v>
      </c>
      <c r="E44">
        <v>123</v>
      </c>
      <c r="F44" s="26">
        <v>45346</v>
      </c>
      <c r="G44" t="s">
        <v>20</v>
      </c>
      <c r="H44">
        <v>298</v>
      </c>
      <c r="I44" t="s">
        <v>46</v>
      </c>
      <c r="J44" t="s">
        <v>73</v>
      </c>
      <c r="K44">
        <v>263.25423728813558</v>
      </c>
      <c r="L44">
        <v>-0.53277105330929686</v>
      </c>
      <c r="M44">
        <v>5929</v>
      </c>
      <c r="N44">
        <v>-0.97925451172204414</v>
      </c>
    </row>
    <row r="45" spans="1:14" x14ac:dyDescent="0.25">
      <c r="A45">
        <v>321</v>
      </c>
      <c r="B45">
        <v>397</v>
      </c>
      <c r="C45">
        <v>299</v>
      </c>
      <c r="D45">
        <v>3</v>
      </c>
      <c r="E45">
        <v>897</v>
      </c>
      <c r="F45" s="26">
        <v>45064</v>
      </c>
      <c r="G45" t="s">
        <v>15</v>
      </c>
      <c r="H45">
        <v>29</v>
      </c>
      <c r="I45" t="s">
        <v>46</v>
      </c>
      <c r="J45" t="s">
        <v>73</v>
      </c>
      <c r="K45">
        <v>263.25423728813558</v>
      </c>
      <c r="L45">
        <v>0.13578418748390431</v>
      </c>
      <c r="M45">
        <v>5929</v>
      </c>
      <c r="N45">
        <v>-0.94956991060887164</v>
      </c>
    </row>
    <row r="46" spans="1:14" x14ac:dyDescent="0.25">
      <c r="A46">
        <v>317</v>
      </c>
      <c r="B46">
        <v>448</v>
      </c>
      <c r="C46">
        <v>442</v>
      </c>
      <c r="D46">
        <v>1</v>
      </c>
      <c r="E46">
        <v>442</v>
      </c>
      <c r="F46" s="26">
        <v>45040</v>
      </c>
      <c r="G46" t="s">
        <v>23</v>
      </c>
      <c r="H46">
        <v>296</v>
      </c>
      <c r="I46" t="s">
        <v>46</v>
      </c>
      <c r="J46" t="s">
        <v>73</v>
      </c>
      <c r="K46">
        <v>263.25423728813558</v>
      </c>
      <c r="L46">
        <v>0.67898532062838024</v>
      </c>
      <c r="M46">
        <v>5929</v>
      </c>
      <c r="N46">
        <v>-0.92545117220441897</v>
      </c>
    </row>
    <row r="47" spans="1:14" x14ac:dyDescent="0.25">
      <c r="A47">
        <v>316</v>
      </c>
      <c r="B47">
        <v>67</v>
      </c>
      <c r="C47">
        <v>317</v>
      </c>
      <c r="D47">
        <v>4</v>
      </c>
      <c r="E47">
        <v>1268</v>
      </c>
      <c r="F47" s="26">
        <v>45222</v>
      </c>
      <c r="G47" t="s">
        <v>12</v>
      </c>
      <c r="H47">
        <v>322</v>
      </c>
      <c r="I47" t="s">
        <v>46</v>
      </c>
      <c r="J47" t="s">
        <v>45</v>
      </c>
      <c r="K47">
        <v>263.25423728813558</v>
      </c>
      <c r="L47">
        <v>0.20415915529229989</v>
      </c>
      <c r="M47">
        <v>2871</v>
      </c>
      <c r="N47">
        <v>-0.88958551027516541</v>
      </c>
    </row>
    <row r="48" spans="1:14" x14ac:dyDescent="0.25">
      <c r="A48">
        <v>288</v>
      </c>
      <c r="B48">
        <v>404</v>
      </c>
      <c r="C48">
        <v>136</v>
      </c>
      <c r="D48">
        <v>2</v>
      </c>
      <c r="E48">
        <v>272</v>
      </c>
      <c r="F48" s="26">
        <v>45287</v>
      </c>
      <c r="G48" t="s">
        <v>11</v>
      </c>
      <c r="H48">
        <v>62</v>
      </c>
      <c r="I48" t="s">
        <v>46</v>
      </c>
      <c r="J48" t="s">
        <v>73</v>
      </c>
      <c r="K48">
        <v>263.25423728813558</v>
      </c>
      <c r="L48">
        <v>-0.48338913211434453</v>
      </c>
      <c r="M48">
        <v>5929</v>
      </c>
      <c r="N48">
        <v>-0.97706189913982122</v>
      </c>
    </row>
    <row r="49" spans="1:14" x14ac:dyDescent="0.25">
      <c r="A49">
        <v>286</v>
      </c>
      <c r="B49">
        <v>139</v>
      </c>
      <c r="C49">
        <v>232</v>
      </c>
      <c r="D49">
        <v>3</v>
      </c>
      <c r="E49">
        <v>696</v>
      </c>
      <c r="F49" s="26">
        <v>45197</v>
      </c>
      <c r="G49" t="s">
        <v>26</v>
      </c>
      <c r="H49">
        <v>302</v>
      </c>
      <c r="I49" t="s">
        <v>46</v>
      </c>
      <c r="J49" t="s">
        <v>73</v>
      </c>
      <c r="K49">
        <v>263.25423728813558</v>
      </c>
      <c r="L49">
        <v>-0.11872263713623488</v>
      </c>
      <c r="M49">
        <v>5929</v>
      </c>
      <c r="N49">
        <v>-0.96087029853263617</v>
      </c>
    </row>
    <row r="50" spans="1:14" x14ac:dyDescent="0.25">
      <c r="A50">
        <v>257</v>
      </c>
      <c r="B50">
        <v>239</v>
      </c>
      <c r="C50">
        <v>380</v>
      </c>
      <c r="D50">
        <v>5</v>
      </c>
      <c r="E50">
        <v>1900</v>
      </c>
      <c r="F50" s="26">
        <v>45129</v>
      </c>
      <c r="G50" t="s">
        <v>8</v>
      </c>
      <c r="H50">
        <v>489</v>
      </c>
      <c r="I50" t="s">
        <v>46</v>
      </c>
      <c r="J50" t="s">
        <v>66</v>
      </c>
      <c r="K50">
        <v>263.25423728813558</v>
      </c>
      <c r="L50">
        <v>0.44347154262168442</v>
      </c>
      <c r="M50">
        <v>4970</v>
      </c>
      <c r="N50">
        <v>-0.9235412474849094</v>
      </c>
    </row>
    <row r="51" spans="1:14" x14ac:dyDescent="0.25">
      <c r="A51">
        <v>244</v>
      </c>
      <c r="B51">
        <v>219</v>
      </c>
      <c r="C51">
        <v>474</v>
      </c>
      <c r="D51">
        <v>5</v>
      </c>
      <c r="E51">
        <v>2370</v>
      </c>
      <c r="F51" s="26">
        <v>45300</v>
      </c>
      <c r="G51" t="s">
        <v>18</v>
      </c>
      <c r="H51">
        <v>24</v>
      </c>
      <c r="I51" t="s">
        <v>46</v>
      </c>
      <c r="J51" t="s">
        <v>45</v>
      </c>
      <c r="K51">
        <v>263.25423728813558</v>
      </c>
      <c r="L51">
        <v>0.80054081895441676</v>
      </c>
      <c r="M51">
        <v>2871</v>
      </c>
      <c r="N51">
        <v>-0.83490073145245558</v>
      </c>
    </row>
    <row r="52" spans="1:14" x14ac:dyDescent="0.25">
      <c r="A52">
        <v>201</v>
      </c>
      <c r="B52">
        <v>397</v>
      </c>
      <c r="C52">
        <v>148</v>
      </c>
      <c r="D52">
        <v>1</v>
      </c>
      <c r="E52">
        <v>148</v>
      </c>
      <c r="F52" s="26">
        <v>45010</v>
      </c>
      <c r="G52" t="s">
        <v>21</v>
      </c>
      <c r="H52">
        <v>47</v>
      </c>
      <c r="I52" t="s">
        <v>46</v>
      </c>
      <c r="J52" t="s">
        <v>73</v>
      </c>
      <c r="K52">
        <v>263.25423728813558</v>
      </c>
      <c r="L52">
        <v>-0.43780582024208081</v>
      </c>
      <c r="M52">
        <v>5929</v>
      </c>
      <c r="N52">
        <v>-0.97503794906392305</v>
      </c>
    </row>
    <row r="53" spans="1:14" x14ac:dyDescent="0.25">
      <c r="A53">
        <v>50</v>
      </c>
      <c r="B53">
        <v>444</v>
      </c>
      <c r="C53">
        <v>311</v>
      </c>
      <c r="D53">
        <v>4</v>
      </c>
      <c r="E53">
        <v>1244</v>
      </c>
      <c r="F53" s="26">
        <v>45398</v>
      </c>
      <c r="G53" t="s">
        <v>23</v>
      </c>
      <c r="H53">
        <v>229</v>
      </c>
      <c r="I53" t="s">
        <v>46</v>
      </c>
      <c r="J53" t="s">
        <v>66</v>
      </c>
      <c r="K53">
        <v>263.25423728813558</v>
      </c>
      <c r="L53">
        <v>0.18136749935616803</v>
      </c>
      <c r="M53">
        <v>4970</v>
      </c>
      <c r="N53">
        <v>-0.93742454728370217</v>
      </c>
    </row>
    <row r="54" spans="1:14" x14ac:dyDescent="0.25">
      <c r="A54">
        <v>172</v>
      </c>
      <c r="B54">
        <v>447</v>
      </c>
      <c r="C54">
        <v>65</v>
      </c>
      <c r="D54">
        <v>1</v>
      </c>
      <c r="E54">
        <v>65</v>
      </c>
      <c r="F54" s="26">
        <v>45341</v>
      </c>
      <c r="G54" t="s">
        <v>11</v>
      </c>
      <c r="H54">
        <v>52</v>
      </c>
      <c r="I54" t="s">
        <v>46</v>
      </c>
      <c r="J54" t="s">
        <v>66</v>
      </c>
      <c r="K54">
        <v>263.25423728813558</v>
      </c>
      <c r="L54">
        <v>-0.75309039402523825</v>
      </c>
      <c r="M54">
        <v>4970</v>
      </c>
      <c r="N54">
        <v>-0.98692152917505027</v>
      </c>
    </row>
    <row r="55" spans="1:14" x14ac:dyDescent="0.25">
      <c r="A55">
        <v>166</v>
      </c>
      <c r="B55">
        <v>379</v>
      </c>
      <c r="C55">
        <v>321</v>
      </c>
      <c r="D55">
        <v>5</v>
      </c>
      <c r="E55">
        <v>1605</v>
      </c>
      <c r="F55" s="26">
        <v>45032</v>
      </c>
      <c r="G55" t="s">
        <v>17</v>
      </c>
      <c r="H55">
        <v>47</v>
      </c>
      <c r="I55" t="s">
        <v>46</v>
      </c>
      <c r="J55" t="s">
        <v>77</v>
      </c>
      <c r="K55">
        <v>263.25423728813558</v>
      </c>
      <c r="L55">
        <v>0.21935359258305431</v>
      </c>
      <c r="M55">
        <v>1762</v>
      </c>
      <c r="N55">
        <v>-0.81782065834279227</v>
      </c>
    </row>
    <row r="56" spans="1:14" x14ac:dyDescent="0.25">
      <c r="A56">
        <v>129</v>
      </c>
      <c r="B56">
        <v>379</v>
      </c>
      <c r="C56">
        <v>380</v>
      </c>
      <c r="D56">
        <v>1</v>
      </c>
      <c r="E56">
        <v>380</v>
      </c>
      <c r="F56" s="26">
        <v>45260</v>
      </c>
      <c r="G56" t="s">
        <v>26</v>
      </c>
      <c r="H56">
        <v>276</v>
      </c>
      <c r="I56" t="s">
        <v>46</v>
      </c>
      <c r="J56" t="s">
        <v>77</v>
      </c>
      <c r="K56">
        <v>263.25423728813558</v>
      </c>
      <c r="L56">
        <v>0.44347154262168442</v>
      </c>
      <c r="M56">
        <v>1762</v>
      </c>
      <c r="N56">
        <v>-0.78433598183881958</v>
      </c>
    </row>
    <row r="57" spans="1:14" x14ac:dyDescent="0.25">
      <c r="A57">
        <v>91</v>
      </c>
      <c r="B57">
        <v>24</v>
      </c>
      <c r="C57">
        <v>414</v>
      </c>
      <c r="D57">
        <v>1</v>
      </c>
      <c r="E57">
        <v>414</v>
      </c>
      <c r="F57" s="26">
        <v>45388</v>
      </c>
      <c r="G57" t="s">
        <v>12</v>
      </c>
      <c r="H57">
        <v>365</v>
      </c>
      <c r="I57" t="s">
        <v>46</v>
      </c>
      <c r="J57" t="s">
        <v>45</v>
      </c>
      <c r="K57">
        <v>263.25423728813558</v>
      </c>
      <c r="L57">
        <v>0.57262425959309815</v>
      </c>
      <c r="M57">
        <v>2871</v>
      </c>
      <c r="N57">
        <v>-0.85579937304075238</v>
      </c>
    </row>
    <row r="58" spans="1:14" x14ac:dyDescent="0.25">
      <c r="A58">
        <v>87</v>
      </c>
      <c r="B58">
        <v>319</v>
      </c>
      <c r="C58">
        <v>247</v>
      </c>
      <c r="D58">
        <v>2</v>
      </c>
      <c r="E58">
        <v>494</v>
      </c>
      <c r="F58" s="26">
        <v>45189</v>
      </c>
      <c r="G58" t="s">
        <v>8</v>
      </c>
      <c r="H58">
        <v>330</v>
      </c>
      <c r="I58" t="s">
        <v>46</v>
      </c>
      <c r="J58" t="s">
        <v>66</v>
      </c>
      <c r="K58">
        <v>263.25423728813558</v>
      </c>
      <c r="L58">
        <v>-6.1743497295905225E-2</v>
      </c>
      <c r="M58">
        <v>4970</v>
      </c>
      <c r="N58">
        <v>-0.95030181086519117</v>
      </c>
    </row>
    <row r="59" spans="1:14" x14ac:dyDescent="0.25">
      <c r="A59">
        <v>66</v>
      </c>
      <c r="B59">
        <v>408</v>
      </c>
      <c r="C59">
        <v>438</v>
      </c>
      <c r="D59">
        <v>3</v>
      </c>
      <c r="E59">
        <v>1314</v>
      </c>
      <c r="F59" s="26">
        <v>44973</v>
      </c>
      <c r="G59" t="s">
        <v>19</v>
      </c>
      <c r="H59">
        <v>68</v>
      </c>
      <c r="I59" t="s">
        <v>46</v>
      </c>
      <c r="J59" t="s">
        <v>66</v>
      </c>
      <c r="K59">
        <v>263.25423728813558</v>
      </c>
      <c r="L59">
        <v>0.66379088333762559</v>
      </c>
      <c r="M59">
        <v>4970</v>
      </c>
      <c r="N59">
        <v>-0.91187122736418513</v>
      </c>
    </row>
    <row r="60" spans="1:14" x14ac:dyDescent="0.25">
      <c r="A60">
        <v>57</v>
      </c>
      <c r="B60">
        <v>155</v>
      </c>
      <c r="C60">
        <v>482</v>
      </c>
      <c r="D60">
        <v>1</v>
      </c>
      <c r="E60">
        <v>482</v>
      </c>
      <c r="F60" s="26">
        <v>45400</v>
      </c>
      <c r="G60" t="s">
        <v>14</v>
      </c>
      <c r="H60">
        <v>222</v>
      </c>
      <c r="I60" t="s">
        <v>46</v>
      </c>
      <c r="J60" t="s">
        <v>66</v>
      </c>
      <c r="K60">
        <v>263.25423728813558</v>
      </c>
      <c r="L60">
        <v>0.83092969353592583</v>
      </c>
      <c r="M60">
        <v>4970</v>
      </c>
      <c r="N60">
        <v>-0.90301810865191146</v>
      </c>
    </row>
    <row r="61" spans="1:14" x14ac:dyDescent="0.25">
      <c r="A61">
        <v>58</v>
      </c>
      <c r="B61">
        <v>239</v>
      </c>
      <c r="C61">
        <v>59</v>
      </c>
      <c r="D61">
        <v>1</v>
      </c>
      <c r="E61">
        <v>59</v>
      </c>
      <c r="F61" s="26">
        <v>45214</v>
      </c>
      <c r="G61" t="s">
        <v>25</v>
      </c>
      <c r="H61">
        <v>382</v>
      </c>
      <c r="I61" t="s">
        <v>46</v>
      </c>
      <c r="J61" t="s">
        <v>66</v>
      </c>
      <c r="K61">
        <v>263.25423728813558</v>
      </c>
      <c r="L61">
        <v>-0.77588204996137011</v>
      </c>
      <c r="M61">
        <v>4970</v>
      </c>
      <c r="N61">
        <v>-0.98812877263581489</v>
      </c>
    </row>
    <row r="62" spans="1:14" x14ac:dyDescent="0.25">
      <c r="A62">
        <v>62</v>
      </c>
      <c r="B62">
        <v>465</v>
      </c>
      <c r="C62">
        <v>311</v>
      </c>
      <c r="D62">
        <v>2</v>
      </c>
      <c r="E62">
        <v>622</v>
      </c>
      <c r="F62" s="26">
        <v>44934</v>
      </c>
      <c r="G62" t="s">
        <v>9</v>
      </c>
      <c r="H62">
        <v>14</v>
      </c>
      <c r="I62" t="s">
        <v>46</v>
      </c>
      <c r="J62" t="s">
        <v>73</v>
      </c>
      <c r="K62">
        <v>263.25423728813558</v>
      </c>
      <c r="L62">
        <v>0.18136749935616803</v>
      </c>
      <c r="M62">
        <v>5929</v>
      </c>
      <c r="N62">
        <v>-0.94754596053297346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35FC-C812-4987-8B18-1061C646431A}">
  <dimension ref="A3:F24"/>
  <sheetViews>
    <sheetView workbookViewId="0">
      <selection activeCell="F21" sqref="F21:J21"/>
    </sheetView>
  </sheetViews>
  <sheetFormatPr defaultRowHeight="15" x14ac:dyDescent="0.25"/>
  <cols>
    <col min="1" max="1" width="17.28515625" bestFit="1" customWidth="1"/>
    <col min="2" max="2" width="35.7109375" bestFit="1" customWidth="1"/>
  </cols>
  <sheetData>
    <row r="3" spans="1:2" x14ac:dyDescent="0.25">
      <c r="A3" s="20" t="s">
        <v>1044</v>
      </c>
      <c r="B3" t="s">
        <v>1077</v>
      </c>
    </row>
    <row r="4" spans="1:2" x14ac:dyDescent="0.25">
      <c r="A4" s="21" t="s">
        <v>46</v>
      </c>
      <c r="B4" s="30">
        <v>2.7627118644067798</v>
      </c>
    </row>
    <row r="5" spans="1:2" x14ac:dyDescent="0.25">
      <c r="A5" s="21" t="s">
        <v>57</v>
      </c>
      <c r="B5" s="30">
        <v>2.8846153846153846</v>
      </c>
    </row>
    <row r="6" spans="1:2" x14ac:dyDescent="0.25">
      <c r="A6" s="21" t="s">
        <v>48</v>
      </c>
      <c r="B6" s="30">
        <v>2.9838709677419355</v>
      </c>
    </row>
    <row r="7" spans="1:2" x14ac:dyDescent="0.25">
      <c r="A7" s="21" t="s">
        <v>53</v>
      </c>
      <c r="B7" s="30">
        <v>3.0476190476190474</v>
      </c>
    </row>
    <row r="8" spans="1:2" x14ac:dyDescent="0.25">
      <c r="A8" s="21" t="s">
        <v>42</v>
      </c>
      <c r="B8" s="30">
        <v>2.7209302325581395</v>
      </c>
    </row>
    <row r="9" spans="1:2" x14ac:dyDescent="0.25">
      <c r="A9" s="21" t="s">
        <v>40</v>
      </c>
      <c r="B9" s="30">
        <v>2.941860465116279</v>
      </c>
    </row>
    <row r="10" spans="1:2" x14ac:dyDescent="0.25">
      <c r="A10" s="21" t="s">
        <v>44</v>
      </c>
      <c r="B10" s="30">
        <v>3.2380952380952381</v>
      </c>
    </row>
    <row r="11" spans="1:2" x14ac:dyDescent="0.25">
      <c r="A11" s="21" t="s">
        <v>108</v>
      </c>
      <c r="B11" s="30">
        <v>3.1272727272727274</v>
      </c>
    </row>
    <row r="12" spans="1:2" x14ac:dyDescent="0.25">
      <c r="A12" s="21" t="s">
        <v>31</v>
      </c>
      <c r="B12" s="30">
        <v>3.1463414634146343</v>
      </c>
    </row>
    <row r="13" spans="1:2" x14ac:dyDescent="0.25">
      <c r="A13" s="21" t="s">
        <v>69</v>
      </c>
      <c r="B13" s="30">
        <v>3.0638297872340425</v>
      </c>
    </row>
    <row r="14" spans="1:2" x14ac:dyDescent="0.25">
      <c r="A14" s="21" t="s">
        <v>90</v>
      </c>
      <c r="B14" s="30">
        <v>3.1875</v>
      </c>
    </row>
    <row r="15" spans="1:2" x14ac:dyDescent="0.25">
      <c r="A15" s="21" t="s">
        <v>55</v>
      </c>
      <c r="B15" s="30">
        <v>3.1282051282051282</v>
      </c>
    </row>
    <row r="16" spans="1:2" x14ac:dyDescent="0.25">
      <c r="A16" s="21" t="s">
        <v>29</v>
      </c>
      <c r="B16" s="30">
        <v>3.1</v>
      </c>
    </row>
    <row r="17" spans="1:6" x14ac:dyDescent="0.25">
      <c r="A17" s="21" t="s">
        <v>33</v>
      </c>
      <c r="B17" s="30">
        <v>2.9827586206896552</v>
      </c>
    </row>
    <row r="18" spans="1:6" x14ac:dyDescent="0.25">
      <c r="A18" s="21" t="s">
        <v>76</v>
      </c>
      <c r="B18" s="30">
        <v>3.0754716981132075</v>
      </c>
    </row>
    <row r="19" spans="1:6" x14ac:dyDescent="0.25">
      <c r="A19" s="21" t="s">
        <v>50</v>
      </c>
      <c r="B19" s="30">
        <v>2.6129032258064515</v>
      </c>
    </row>
    <row r="20" spans="1:6" x14ac:dyDescent="0.25">
      <c r="A20" s="21" t="s">
        <v>35</v>
      </c>
      <c r="B20" s="30">
        <v>2.9534883720930232</v>
      </c>
    </row>
    <row r="21" spans="1:6" x14ac:dyDescent="0.25">
      <c r="A21" s="21" t="s">
        <v>37</v>
      </c>
      <c r="B21" s="30">
        <v>3.0909090909090908</v>
      </c>
      <c r="F21" t="s">
        <v>1678</v>
      </c>
    </row>
    <row r="22" spans="1:6" x14ac:dyDescent="0.25">
      <c r="A22" s="21" t="s">
        <v>60</v>
      </c>
      <c r="B22" s="30">
        <v>2.9272727272727272</v>
      </c>
    </row>
    <row r="23" spans="1:6" x14ac:dyDescent="0.25">
      <c r="A23" s="21" t="s">
        <v>72</v>
      </c>
      <c r="B23" s="30">
        <v>3.0588235294117645</v>
      </c>
    </row>
    <row r="24" spans="1:6" x14ac:dyDescent="0.25">
      <c r="A24" s="21" t="s">
        <v>1045</v>
      </c>
      <c r="B24">
        <v>2.99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989F-ADDD-4AD2-9CB2-4610191F0FEE}">
  <dimension ref="A3:D24"/>
  <sheetViews>
    <sheetView workbookViewId="0">
      <selection activeCell="D22" sqref="D22"/>
    </sheetView>
  </sheetViews>
  <sheetFormatPr defaultRowHeight="15" x14ac:dyDescent="0.25"/>
  <cols>
    <col min="1" max="1" width="17.28515625" bestFit="1" customWidth="1"/>
    <col min="2" max="2" width="27" bestFit="1" customWidth="1"/>
  </cols>
  <sheetData>
    <row r="3" spans="1:2" x14ac:dyDescent="0.25">
      <c r="A3" s="20" t="s">
        <v>1044</v>
      </c>
      <c r="B3" t="s">
        <v>1048</v>
      </c>
    </row>
    <row r="4" spans="1:2" x14ac:dyDescent="0.25">
      <c r="A4" s="21" t="s">
        <v>40</v>
      </c>
      <c r="B4" s="50">
        <v>66945</v>
      </c>
    </row>
    <row r="5" spans="1:2" x14ac:dyDescent="0.25">
      <c r="A5" s="21" t="s">
        <v>48</v>
      </c>
      <c r="B5" s="50">
        <v>48797</v>
      </c>
    </row>
    <row r="6" spans="1:2" x14ac:dyDescent="0.25">
      <c r="A6" s="21" t="s">
        <v>108</v>
      </c>
      <c r="B6" s="50">
        <v>47223</v>
      </c>
    </row>
    <row r="7" spans="1:2" x14ac:dyDescent="0.25">
      <c r="A7" s="21" t="s">
        <v>33</v>
      </c>
      <c r="B7" s="50">
        <v>45862</v>
      </c>
    </row>
    <row r="8" spans="1:2" x14ac:dyDescent="0.25">
      <c r="A8" s="21" t="s">
        <v>72</v>
      </c>
      <c r="B8" s="50">
        <v>44539</v>
      </c>
    </row>
    <row r="9" spans="1:2" x14ac:dyDescent="0.25">
      <c r="A9" s="21" t="s">
        <v>29</v>
      </c>
      <c r="B9" s="50">
        <v>44513</v>
      </c>
    </row>
    <row r="10" spans="1:2" x14ac:dyDescent="0.25">
      <c r="A10" s="21" t="s">
        <v>76</v>
      </c>
      <c r="B10" s="50">
        <v>44468</v>
      </c>
    </row>
    <row r="11" spans="1:2" x14ac:dyDescent="0.25">
      <c r="A11" s="21" t="s">
        <v>50</v>
      </c>
      <c r="B11" s="50">
        <v>43903</v>
      </c>
    </row>
    <row r="12" spans="1:2" x14ac:dyDescent="0.25">
      <c r="A12" s="21" t="s">
        <v>60</v>
      </c>
      <c r="B12" s="50">
        <v>43626</v>
      </c>
    </row>
    <row r="13" spans="1:2" x14ac:dyDescent="0.25">
      <c r="A13" s="21" t="s">
        <v>37</v>
      </c>
      <c r="B13" s="50">
        <v>42352</v>
      </c>
    </row>
    <row r="14" spans="1:2" x14ac:dyDescent="0.25">
      <c r="A14" s="21" t="s">
        <v>44</v>
      </c>
      <c r="B14" s="50">
        <v>42165</v>
      </c>
    </row>
    <row r="15" spans="1:2" x14ac:dyDescent="0.25">
      <c r="A15" s="21" t="s">
        <v>46</v>
      </c>
      <c r="B15" s="50">
        <v>41745</v>
      </c>
    </row>
    <row r="16" spans="1:2" x14ac:dyDescent="0.25">
      <c r="A16" s="21" t="s">
        <v>69</v>
      </c>
      <c r="B16" s="50">
        <v>39632</v>
      </c>
    </row>
    <row r="17" spans="1:4" x14ac:dyDescent="0.25">
      <c r="A17" s="21" t="s">
        <v>35</v>
      </c>
      <c r="B17" s="50">
        <v>33802</v>
      </c>
    </row>
    <row r="18" spans="1:4" x14ac:dyDescent="0.25">
      <c r="A18" s="21" t="s">
        <v>55</v>
      </c>
      <c r="B18" s="50">
        <v>32430</v>
      </c>
    </row>
    <row r="19" spans="1:4" x14ac:dyDescent="0.25">
      <c r="A19" s="21" t="s">
        <v>31</v>
      </c>
      <c r="B19" s="50">
        <v>31147</v>
      </c>
    </row>
    <row r="20" spans="1:4" x14ac:dyDescent="0.25">
      <c r="A20" s="21" t="s">
        <v>53</v>
      </c>
      <c r="B20" s="50">
        <v>30543</v>
      </c>
    </row>
    <row r="21" spans="1:4" x14ac:dyDescent="0.25">
      <c r="A21" s="21" t="s">
        <v>42</v>
      </c>
      <c r="B21" s="50">
        <v>28053</v>
      </c>
    </row>
    <row r="22" spans="1:4" x14ac:dyDescent="0.25">
      <c r="A22" s="21" t="s">
        <v>90</v>
      </c>
      <c r="B22" s="50">
        <v>27375</v>
      </c>
      <c r="D22" t="s">
        <v>1674</v>
      </c>
    </row>
    <row r="23" spans="1:4" x14ac:dyDescent="0.25">
      <c r="A23" s="21" t="s">
        <v>57</v>
      </c>
      <c r="B23" s="50">
        <v>21313</v>
      </c>
    </row>
    <row r="24" spans="1:4" x14ac:dyDescent="0.25">
      <c r="A24" s="21" t="s">
        <v>1045</v>
      </c>
      <c r="B24">
        <v>800433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7C85-8ADD-4257-94E3-2150F2F5C0BB}">
  <dimension ref="A3:D21"/>
  <sheetViews>
    <sheetView workbookViewId="0">
      <selection activeCell="D20" sqref="D20:I21"/>
    </sheetView>
  </sheetViews>
  <sheetFormatPr defaultRowHeight="15" x14ac:dyDescent="0.25"/>
  <cols>
    <col min="1" max="1" width="17.28515625" bestFit="1" customWidth="1"/>
    <col min="2" max="2" width="27" bestFit="1" customWidth="1"/>
  </cols>
  <sheetData>
    <row r="3" spans="1:2" x14ac:dyDescent="0.25">
      <c r="A3" s="20" t="s">
        <v>1044</v>
      </c>
      <c r="B3" t="s">
        <v>1048</v>
      </c>
    </row>
    <row r="4" spans="1:2" x14ac:dyDescent="0.25">
      <c r="A4" s="21" t="s">
        <v>137</v>
      </c>
      <c r="B4">
        <v>251330</v>
      </c>
    </row>
    <row r="5" spans="1:2" x14ac:dyDescent="0.25">
      <c r="A5" s="21" t="s">
        <v>132</v>
      </c>
      <c r="B5">
        <v>163294</v>
      </c>
    </row>
    <row r="6" spans="1:2" x14ac:dyDescent="0.25">
      <c r="A6" s="21" t="s">
        <v>128</v>
      </c>
      <c r="B6">
        <v>147543</v>
      </c>
    </row>
    <row r="7" spans="1:2" x14ac:dyDescent="0.25">
      <c r="A7" s="21" t="s">
        <v>130</v>
      </c>
      <c r="B7">
        <v>139473</v>
      </c>
    </row>
    <row r="8" spans="1:2" x14ac:dyDescent="0.25">
      <c r="A8" s="21" t="s">
        <v>134</v>
      </c>
      <c r="B8">
        <v>98793</v>
      </c>
    </row>
    <row r="9" spans="1:2" x14ac:dyDescent="0.25">
      <c r="A9" s="21" t="s">
        <v>1045</v>
      </c>
      <c r="B9">
        <v>800433</v>
      </c>
    </row>
    <row r="20" spans="4:4" x14ac:dyDescent="0.25">
      <c r="D20" t="s">
        <v>1670</v>
      </c>
    </row>
    <row r="21" spans="4:4" x14ac:dyDescent="0.25">
      <c r="D21" t="s">
        <v>1671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2AF8-7F7D-4846-9A7B-4C73C99F2AD8}">
  <dimension ref="A1"/>
  <sheetViews>
    <sheetView workbookViewId="0">
      <selection activeCell="I19" sqref="I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4A89-89A3-4249-B0F5-804359E563B5}">
  <dimension ref="A1"/>
  <sheetViews>
    <sheetView workbookViewId="0">
      <selection activeCell="K23" sqref="K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opLeftCell="N1" workbookViewId="0">
      <selection activeCell="R3" sqref="R3"/>
    </sheetView>
  </sheetViews>
  <sheetFormatPr defaultColWidth="8.85546875" defaultRowHeight="15" x14ac:dyDescent="0.25"/>
  <cols>
    <col min="1" max="1" width="9.42578125" customWidth="1"/>
    <col min="2" max="2" width="11.42578125" customWidth="1"/>
    <col min="3" max="3" width="21" customWidth="1"/>
    <col min="4" max="4" width="20.28515625" customWidth="1"/>
    <col min="5" max="5" width="13.7109375" customWidth="1"/>
    <col min="6" max="6" width="20.7109375" customWidth="1"/>
    <col min="7" max="7" width="23.5703125" bestFit="1" customWidth="1"/>
    <col min="8" max="8" width="15.140625" bestFit="1" customWidth="1"/>
    <col min="9" max="9" width="21.5703125" bestFit="1" customWidth="1"/>
    <col min="10" max="10" width="16.28515625" bestFit="1" customWidth="1"/>
    <col min="11" max="11" width="35.140625" customWidth="1"/>
    <col min="12" max="12" width="18.42578125" bestFit="1" customWidth="1"/>
    <col min="13" max="13" width="49.85546875" bestFit="1" customWidth="1"/>
    <col min="14" max="14" width="41.140625" customWidth="1"/>
    <col min="15" max="15" width="28.85546875" bestFit="1" customWidth="1"/>
    <col min="16" max="16" width="39.85546875" bestFit="1" customWidth="1"/>
    <col min="17" max="17" width="18.140625" bestFit="1" customWidth="1"/>
    <col min="18" max="18" width="23.140625" bestFit="1" customWidth="1"/>
    <col min="19" max="19" width="14.28515625" bestFit="1" customWidth="1"/>
  </cols>
  <sheetData>
    <row r="1" spans="1:20" x14ac:dyDescent="0.2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1060</v>
      </c>
      <c r="J1" s="46" t="s">
        <v>1061</v>
      </c>
      <c r="K1" s="46" t="s">
        <v>1062</v>
      </c>
      <c r="L1" s="46" t="s">
        <v>1063</v>
      </c>
      <c r="M1" s="47" t="s">
        <v>1071</v>
      </c>
      <c r="N1" s="48" t="s">
        <v>1072</v>
      </c>
      <c r="O1" s="54" t="s">
        <v>1082</v>
      </c>
      <c r="P1" s="54" t="s">
        <v>1083</v>
      </c>
      <c r="Q1" s="54" t="s">
        <v>1084</v>
      </c>
      <c r="R1" s="54" t="s">
        <v>1085</v>
      </c>
      <c r="S1" s="54" t="s">
        <v>139</v>
      </c>
      <c r="T1" s="54" t="s">
        <v>1669</v>
      </c>
    </row>
    <row r="2" spans="1:20" ht="19.5" x14ac:dyDescent="0.4">
      <c r="A2" s="32">
        <v>1</v>
      </c>
      <c r="B2" s="33">
        <v>300</v>
      </c>
      <c r="C2" s="33">
        <v>103</v>
      </c>
      <c r="D2" s="33">
        <v>4</v>
      </c>
      <c r="E2" s="33">
        <v>412</v>
      </c>
      <c r="F2" s="34">
        <v>45187</v>
      </c>
      <c r="G2" s="33" t="s">
        <v>8</v>
      </c>
      <c r="H2" s="33">
        <v>315</v>
      </c>
      <c r="I2" s="33" t="str">
        <f>VLOOKUP(продажи!$B2,товар!$A$1:$C$433,2)</f>
        <v>Сахар</v>
      </c>
      <c r="J2" s="33" t="str">
        <f>VLOOKUP(B2,товар!$A$1:$C$433,3)</f>
        <v>Продимекс</v>
      </c>
      <c r="K2" s="35">
        <f>AVERAGEIF(продажи!$I$2:$I$1001,продажи!$I$2:$I$1001,продажи!$C$2:$C$1001)</f>
        <v>254.58333333333334</v>
      </c>
      <c r="L2" s="36">
        <f>продажи!$C2/продажи!$K2-1</f>
        <v>-0.59541734860883799</v>
      </c>
      <c r="M2" s="33">
        <f t="shared" ref="M2:M65" si="0">SUMIFS($C$2:$C$1001,$I$2:$I$1001,I2,$J$2:$J$1001,J2)</f>
        <v>5172</v>
      </c>
      <c r="N2" s="24">
        <f>Таблица1[[#This Row],[цена за шт в рублях]]/Таблица1[[#This Row],[средняя стоимость в категории по поставщику.]]-1</f>
        <v>-0.98008507347254448</v>
      </c>
      <c r="O2" s="26">
        <f>VLOOKUP(Таблица1[[#This Row],[id клиента]],клиенты!$A$2:$E$435,5,0)</f>
        <v>44747</v>
      </c>
      <c r="P2">
        <f>Таблица1[[#This Row],[дата создания чека]]-Таблица1[[#This Row],[Дата регистрации клента]]</f>
        <v>440</v>
      </c>
      <c r="Q2" s="26">
        <f t="shared" ref="Q2:Q65" ca="1" si="1">TODAY()</f>
        <v>46059</v>
      </c>
      <c r="R2" s="51">
        <f ca="1">(TODAY()-Таблица1[[#This Row],[Дата регистрации клента]])/30</f>
        <v>43.733333333333334</v>
      </c>
      <c r="S2" s="63" t="str">
        <f>VLOOKUP(Таблица1[[#This Row],[id клиента]],Таблица8[[id клиента]:[Страна]],7,0)</f>
        <v>Узбекистан</v>
      </c>
      <c r="T2" s="26"/>
    </row>
    <row r="3" spans="1:20" ht="19.5" x14ac:dyDescent="0.4">
      <c r="A3" s="37">
        <v>2</v>
      </c>
      <c r="B3" s="31">
        <v>486</v>
      </c>
      <c r="C3" s="31">
        <v>296</v>
      </c>
      <c r="D3" s="31">
        <v>3</v>
      </c>
      <c r="E3" s="31">
        <v>888</v>
      </c>
      <c r="F3" s="38">
        <v>45083</v>
      </c>
      <c r="G3" s="31" t="s">
        <v>9</v>
      </c>
      <c r="H3" s="31">
        <v>253</v>
      </c>
      <c r="I3" s="31" t="str">
        <f>VLOOKUP(продажи!$B3,товар!$A$1:$C$433,2)</f>
        <v>Соль</v>
      </c>
      <c r="J3" s="31" t="str">
        <f>VLOOKUP(B3,товар!$A$1:$C$433,3)</f>
        <v>Илецкая</v>
      </c>
      <c r="K3" s="39">
        <f>AVERAGEIF(продажи!$I$2:$I$1001,продажи!$I$2:$I$1001,продажи!$C$2:$C$1001)</f>
        <v>264.8679245283019</v>
      </c>
      <c r="L3" s="40">
        <f>продажи!$C3/продажи!$K3-1</f>
        <v>0.11753811084200017</v>
      </c>
      <c r="M3" s="33">
        <f t="shared" si="0"/>
        <v>4287</v>
      </c>
      <c r="N3" s="24">
        <f>Таблица1[[#This Row],[цена за шт в рублях]]/Таблица1[[#This Row],[средняя стоимость в категории по поставщику.]]-1</f>
        <v>-0.9309540471191976</v>
      </c>
      <c r="O3" s="26">
        <f>VLOOKUP(Таблица1[[#This Row],[id клиента]],клиенты!$A$2:$E$435,5,0)</f>
        <v>44750</v>
      </c>
      <c r="P3">
        <f>Таблица1[[#This Row],[дата создания чека]]-Таблица1[[#This Row],[Дата регистрации клента]]</f>
        <v>333</v>
      </c>
      <c r="Q3" s="26">
        <f t="shared" ca="1" si="1"/>
        <v>46059</v>
      </c>
      <c r="R3" s="51">
        <f ca="1">(TODAY()-Таблица1[[#This Row],[Дата регистрации клента]])/30</f>
        <v>43.633333333333333</v>
      </c>
      <c r="S3" s="63" t="str">
        <f>VLOOKUP(Таблица1[[#This Row],[id клиента]],Таблица8[[id клиента]:[Страна]],7,0)</f>
        <v>Беларусь</v>
      </c>
      <c r="T3" s="64"/>
    </row>
    <row r="4" spans="1:20" ht="19.5" x14ac:dyDescent="0.4">
      <c r="A4" s="41">
        <v>3</v>
      </c>
      <c r="B4" s="42">
        <v>76</v>
      </c>
      <c r="C4" s="42">
        <v>139</v>
      </c>
      <c r="D4" s="42">
        <v>5</v>
      </c>
      <c r="E4" s="42">
        <v>695</v>
      </c>
      <c r="F4" s="43">
        <v>45363</v>
      </c>
      <c r="G4" s="42" t="s">
        <v>10</v>
      </c>
      <c r="H4" s="42">
        <v>12</v>
      </c>
      <c r="I4" s="42" t="str">
        <f>VLOOKUP(продажи!$B4,товар!$A$1:$C$433,2)</f>
        <v>Печенье</v>
      </c>
      <c r="J4" s="42" t="str">
        <f>VLOOKUP(B4,товар!$A$1:$C$433,3)</f>
        <v>Юбилейное</v>
      </c>
      <c r="K4" s="44">
        <f>AVERAGEIF(продажи!$I$2:$I$1001,продажи!$I$2:$I$1001,продажи!$C$2:$C$1001)</f>
        <v>283.468085106383</v>
      </c>
      <c r="L4" s="45">
        <f>продажи!$C4/продажи!$K4-1</f>
        <v>-0.50964497485551308</v>
      </c>
      <c r="M4" s="33">
        <f t="shared" si="0"/>
        <v>2092</v>
      </c>
      <c r="N4" s="24">
        <f>Таблица1[[#This Row],[цена за шт в рублях]]/Таблица1[[#This Row],[средняя стоимость в категории по поставщику.]]-1</f>
        <v>-0.93355640535372852</v>
      </c>
      <c r="O4" s="26">
        <f>VLOOKUP(Таблица1[[#This Row],[id клиента]],клиенты!$A$2:$E$435,5,0)</f>
        <v>44842</v>
      </c>
      <c r="P4">
        <f>Таблица1[[#This Row],[дата создания чека]]-Таблица1[[#This Row],[Дата регистрации клента]]</f>
        <v>521</v>
      </c>
      <c r="Q4" s="26">
        <f t="shared" ca="1" si="1"/>
        <v>46059</v>
      </c>
      <c r="R4" s="51">
        <f ca="1">(TODAY()-Таблица1[[#This Row],[Дата регистрации клента]])/30</f>
        <v>40.56666666666667</v>
      </c>
      <c r="S4" s="63" t="str">
        <f>VLOOKUP(Таблица1[[#This Row],[id клиента]],Таблица8[[id клиента]:[Страна]],7,0)</f>
        <v>Беларусь</v>
      </c>
      <c r="T4" s="26"/>
    </row>
    <row r="5" spans="1:20" ht="19.5" x14ac:dyDescent="0.4">
      <c r="A5" s="37">
        <v>4</v>
      </c>
      <c r="B5" s="31">
        <v>240</v>
      </c>
      <c r="C5" s="31">
        <v>141</v>
      </c>
      <c r="D5" s="31">
        <v>5</v>
      </c>
      <c r="E5" s="31">
        <v>705</v>
      </c>
      <c r="F5" s="38">
        <v>45262</v>
      </c>
      <c r="G5" s="31" t="s">
        <v>11</v>
      </c>
      <c r="H5" s="31">
        <v>116</v>
      </c>
      <c r="I5" s="31" t="str">
        <f>VLOOKUP(продажи!$B5,товар!$A$1:$C$433,2)</f>
        <v>Макароны</v>
      </c>
      <c r="J5" s="31" t="str">
        <f>VLOOKUP(B5,товар!$A$1:$C$433,3)</f>
        <v>Борилла</v>
      </c>
      <c r="K5" s="39">
        <f>AVERAGEIF(продажи!$I$2:$I$1001,продажи!$I$2:$I$1001,продажи!$C$2:$C$1001)</f>
        <v>265.47674418604652</v>
      </c>
      <c r="L5" s="40">
        <f>продажи!$C5/продажи!$K5-1</f>
        <v>-0.46888003153606939</v>
      </c>
      <c r="M5" s="33">
        <f t="shared" si="0"/>
        <v>6852</v>
      </c>
      <c r="N5" s="24">
        <f>Таблица1[[#This Row],[цена за шт в рублях]]/Таблица1[[#This Row],[средняя стоимость в категории по поставщику.]]-1</f>
        <v>-0.97942206654991248</v>
      </c>
      <c r="O5" s="26">
        <f>VLOOKUP(Таблица1[[#This Row],[id клиента]],клиенты!$A$2:$E$435,5,0)</f>
        <v>44643</v>
      </c>
      <c r="P5">
        <f>Таблица1[[#This Row],[дата создания чека]]-Таблица1[[#This Row],[Дата регистрации клента]]</f>
        <v>619</v>
      </c>
      <c r="Q5" s="26">
        <f t="shared" ca="1" si="1"/>
        <v>46059</v>
      </c>
      <c r="R5" s="51">
        <f ca="1">(TODAY()-Таблица1[[#This Row],[Дата регистрации клента]])/30</f>
        <v>47.2</v>
      </c>
      <c r="S5" s="63" t="str">
        <f>VLOOKUP(Таблица1[[#This Row],[id клиента]],Таблица8[[id клиента]:[Страна]],7,0)</f>
        <v>Россия</v>
      </c>
      <c r="T5" s="26"/>
    </row>
    <row r="6" spans="1:20" ht="19.5" x14ac:dyDescent="0.4">
      <c r="A6" s="41">
        <v>5</v>
      </c>
      <c r="B6" s="42">
        <v>32</v>
      </c>
      <c r="C6" s="42">
        <v>123</v>
      </c>
      <c r="D6" s="42">
        <v>2</v>
      </c>
      <c r="E6" s="42">
        <v>246</v>
      </c>
      <c r="F6" s="43">
        <v>45151</v>
      </c>
      <c r="G6" s="42" t="s">
        <v>12</v>
      </c>
      <c r="H6" s="42">
        <v>471</v>
      </c>
      <c r="I6" s="42" t="str">
        <f>VLOOKUP(продажи!$B6,товар!$A$1:$C$433,2)</f>
        <v>Овощи</v>
      </c>
      <c r="J6" s="42" t="str">
        <f>VLOOKUP(B6,товар!$A$1:$C$433,3)</f>
        <v>Зеленая грядка</v>
      </c>
      <c r="K6" s="44">
        <f>AVERAGEIF(продажи!$I$2:$I$1001,продажи!$I$2:$I$1001,продажи!$C$2:$C$1001)</f>
        <v>250.48780487804879</v>
      </c>
      <c r="L6" s="45">
        <f>продажи!$C6/продажи!$K6-1</f>
        <v>-0.5089581304771178</v>
      </c>
      <c r="M6" s="33">
        <f t="shared" si="0"/>
        <v>796</v>
      </c>
      <c r="N6" s="24">
        <f>Таблица1[[#This Row],[цена за шт в рублях]]/Таблица1[[#This Row],[средняя стоимость в категории по поставщику.]]-1</f>
        <v>-0.84547738693467334</v>
      </c>
      <c r="O6" s="26">
        <f>VLOOKUP(Таблица1[[#This Row],[id клиента]],клиенты!$A$2:$E$435,5,0)</f>
        <v>44577</v>
      </c>
      <c r="P6">
        <f>Таблица1[[#This Row],[дата создания чека]]-Таблица1[[#This Row],[Дата регистрации клента]]</f>
        <v>574</v>
      </c>
      <c r="Q6" s="26">
        <f t="shared" ca="1" si="1"/>
        <v>46059</v>
      </c>
      <c r="R6" s="51">
        <f ca="1">(TODAY()-Таблица1[[#This Row],[Дата регистрации клента]])/30</f>
        <v>49.4</v>
      </c>
      <c r="S6" s="63" t="str">
        <f>VLOOKUP(Таблица1[[#This Row],[id клиента]],Таблица8[[id клиента]:[Страна]],7,0)</f>
        <v>Украина</v>
      </c>
      <c r="T6" s="26"/>
    </row>
    <row r="7" spans="1:20" ht="19.5" x14ac:dyDescent="0.4">
      <c r="A7" s="37">
        <v>6</v>
      </c>
      <c r="B7" s="31">
        <v>162</v>
      </c>
      <c r="C7" s="31">
        <v>452</v>
      </c>
      <c r="D7" s="31">
        <v>2</v>
      </c>
      <c r="E7" s="31">
        <v>904</v>
      </c>
      <c r="F7" s="38">
        <v>45281</v>
      </c>
      <c r="G7" s="31" t="s">
        <v>8</v>
      </c>
      <c r="H7" s="31">
        <v>374</v>
      </c>
      <c r="I7" s="31" t="str">
        <f>VLOOKUP(продажи!$B7,товар!$A$1:$C$433,2)</f>
        <v>Сок</v>
      </c>
      <c r="J7" s="31" t="str">
        <f>VLOOKUP(B7,товар!$A$1:$C$433,3)</f>
        <v>Фруктовый сад</v>
      </c>
      <c r="K7" s="39">
        <f>AVERAGEIF(продажи!$I$2:$I$1001,продажи!$I$2:$I$1001,продажи!$C$2:$C$1001)</f>
        <v>268.60344827586209</v>
      </c>
      <c r="L7" s="40">
        <f>продажи!$C7/продажи!$K7-1</f>
        <v>0.68277809872263928</v>
      </c>
      <c r="M7" s="33">
        <f t="shared" si="0"/>
        <v>9023</v>
      </c>
      <c r="N7" s="24">
        <f>Таблица1[[#This Row],[цена за шт в рублях]]/Таблица1[[#This Row],[средняя стоимость в категории по поставщику.]]-1</f>
        <v>-0.9499057962983487</v>
      </c>
      <c r="O7" s="26">
        <f>VLOOKUP(Таблица1[[#This Row],[id клиента]],клиенты!$A$2:$E$435,5,0)</f>
        <v>44582</v>
      </c>
      <c r="P7">
        <f>Таблица1[[#This Row],[дата создания чека]]-Таблица1[[#This Row],[Дата регистрации клента]]</f>
        <v>699</v>
      </c>
      <c r="Q7" s="26">
        <f t="shared" ca="1" si="1"/>
        <v>46059</v>
      </c>
      <c r="R7" s="51">
        <f ca="1">(TODAY()-Таблица1[[#This Row],[Дата регистрации клента]])/30</f>
        <v>49.233333333333334</v>
      </c>
      <c r="S7" s="63" t="str">
        <f>VLOOKUP(Таблица1[[#This Row],[id клиента]],Таблица8[[id клиента]:[Страна]],7,0)</f>
        <v>Украина</v>
      </c>
      <c r="T7" s="26"/>
    </row>
    <row r="8" spans="1:20" ht="19.5" x14ac:dyDescent="0.4">
      <c r="A8" s="41">
        <v>7</v>
      </c>
      <c r="B8" s="42">
        <v>323</v>
      </c>
      <c r="C8" s="42">
        <v>149</v>
      </c>
      <c r="D8" s="42">
        <v>5</v>
      </c>
      <c r="E8" s="42">
        <v>745</v>
      </c>
      <c r="F8" s="43">
        <v>45349</v>
      </c>
      <c r="G8" s="42" t="s">
        <v>13</v>
      </c>
      <c r="H8" s="42">
        <v>477</v>
      </c>
      <c r="I8" s="42" t="str">
        <f>VLOOKUP(продажи!$B8,товар!$A$1:$C$433,2)</f>
        <v>Рыба</v>
      </c>
      <c r="J8" s="42" t="str">
        <f>VLOOKUP(B8,товар!$A$1:$C$433,3)</f>
        <v>Меридиан</v>
      </c>
      <c r="K8" s="44">
        <f>AVERAGEIF(продажи!$I$2:$I$1001,продажи!$I$2:$I$1001,продажи!$C$2:$C$1001)</f>
        <v>258.5128205128205</v>
      </c>
      <c r="L8" s="45">
        <f>продажи!$C8/продажи!$K8-1</f>
        <v>-0.42362626463003372</v>
      </c>
      <c r="M8" s="33">
        <f t="shared" si="0"/>
        <v>4431</v>
      </c>
      <c r="N8" s="24">
        <f>Таблица1[[#This Row],[цена за шт в рублях]]/Таблица1[[#This Row],[средняя стоимость в категории по поставщику.]]-1</f>
        <v>-0.96637327916948768</v>
      </c>
      <c r="O8" s="26">
        <f>VLOOKUP(Таблица1[[#This Row],[id клиента]],клиенты!$A$2:$E$435,5,0)</f>
        <v>44738</v>
      </c>
      <c r="P8">
        <f>Таблица1[[#This Row],[дата создания чека]]-Таблица1[[#This Row],[Дата регистрации клента]]</f>
        <v>611</v>
      </c>
      <c r="Q8" s="26">
        <f t="shared" ca="1" si="1"/>
        <v>46059</v>
      </c>
      <c r="R8" s="51">
        <f ca="1">(TODAY()-Таблица1[[#This Row],[Дата регистрации клента]])/30</f>
        <v>44.033333333333331</v>
      </c>
      <c r="S8" s="63" t="str">
        <f>VLOOKUP(Таблица1[[#This Row],[id клиента]],Таблица8[[id клиента]:[Страна]],7,0)</f>
        <v>Узбекистан</v>
      </c>
      <c r="T8" s="26"/>
    </row>
    <row r="9" spans="1:20" ht="19.5" x14ac:dyDescent="0.4">
      <c r="A9" s="37">
        <v>8</v>
      </c>
      <c r="B9" s="31">
        <v>60</v>
      </c>
      <c r="C9" s="31">
        <v>489</v>
      </c>
      <c r="D9" s="31">
        <v>4</v>
      </c>
      <c r="E9" s="31">
        <v>1956</v>
      </c>
      <c r="F9" s="38">
        <v>45327</v>
      </c>
      <c r="G9" s="31" t="s">
        <v>14</v>
      </c>
      <c r="H9" s="31">
        <v>335</v>
      </c>
      <c r="I9" s="31" t="str">
        <f>VLOOKUP(продажи!$B9,товар!$A$1:$C$433,2)</f>
        <v>Кофе</v>
      </c>
      <c r="J9" s="31" t="str">
        <f>VLOOKUP(B9,товар!$A$1:$C$433,3)</f>
        <v>Jacobs</v>
      </c>
      <c r="K9" s="39">
        <f>AVERAGEIF(продажи!$I$2:$I$1001,продажи!$I$2:$I$1001,продажи!$C$2:$C$1001)</f>
        <v>249.02380952380952</v>
      </c>
      <c r="L9" s="40">
        <f>продажи!$C9/продажи!$K9-1</f>
        <v>0.9636676546514964</v>
      </c>
      <c r="M9" s="33">
        <f t="shared" si="0"/>
        <v>5248</v>
      </c>
      <c r="N9" s="24">
        <f>Таблица1[[#This Row],[цена за шт в рублях]]/Таблица1[[#This Row],[средняя стоимость в категории по поставщику.]]-1</f>
        <v>-0.90682164634146345</v>
      </c>
      <c r="O9" s="26">
        <f>VLOOKUP(Таблица1[[#This Row],[id клиента]],клиенты!$A$2:$E$435,5,0)</f>
        <v>44619</v>
      </c>
      <c r="P9">
        <f>Таблица1[[#This Row],[дата создания чека]]-Таблица1[[#This Row],[Дата регистрации клента]]</f>
        <v>708</v>
      </c>
      <c r="Q9" s="26">
        <f t="shared" ca="1" si="1"/>
        <v>46059</v>
      </c>
      <c r="R9" s="51">
        <f ca="1">(TODAY()-Таблица1[[#This Row],[Дата регистрации клента]])/30</f>
        <v>48</v>
      </c>
      <c r="S9" s="63" t="str">
        <f>VLOOKUP(Таблица1[[#This Row],[id клиента]],Таблица8[[id клиента]:[Страна]],7,0)</f>
        <v>Узбекистан</v>
      </c>
      <c r="T9" s="26"/>
    </row>
    <row r="10" spans="1:20" ht="19.5" x14ac:dyDescent="0.4">
      <c r="A10" s="41">
        <v>9</v>
      </c>
      <c r="B10" s="42">
        <v>401</v>
      </c>
      <c r="C10" s="42">
        <v>416</v>
      </c>
      <c r="D10" s="42">
        <v>5</v>
      </c>
      <c r="E10" s="42">
        <v>2080</v>
      </c>
      <c r="F10" s="43">
        <v>45376</v>
      </c>
      <c r="G10" s="42" t="s">
        <v>15</v>
      </c>
      <c r="H10" s="42">
        <v>350</v>
      </c>
      <c r="I10" s="42" t="str">
        <f>VLOOKUP(продажи!$B10,товар!$A$1:$C$433,2)</f>
        <v>Чай</v>
      </c>
      <c r="J10" s="42" t="str">
        <f>VLOOKUP(B10,товар!$A$1:$C$433,3)</f>
        <v>Greenfield</v>
      </c>
      <c r="K10" s="44">
        <f>AVERAGEIF(продажи!$I$2:$I$1001,продажи!$I$2:$I$1001,продажи!$C$2:$C$1001)</f>
        <v>271.18181818181819</v>
      </c>
      <c r="L10" s="45">
        <f>продажи!$C10/продажи!$K10-1</f>
        <v>0.53402614817298022</v>
      </c>
      <c r="M10" s="33">
        <f t="shared" si="0"/>
        <v>6412</v>
      </c>
      <c r="N10" s="24">
        <f>Таблица1[[#This Row],[цена за шт в рублях]]/Таблица1[[#This Row],[средняя стоимость в категории по поставщику.]]-1</f>
        <v>-0.93512164691203992</v>
      </c>
      <c r="O10" s="26">
        <f>VLOOKUP(Таблица1[[#This Row],[id клиента]],клиенты!$A$2:$E$435,5,0)</f>
        <v>44684</v>
      </c>
      <c r="P10">
        <f>Таблица1[[#This Row],[дата создания чека]]-Таблица1[[#This Row],[Дата регистрации клента]]</f>
        <v>692</v>
      </c>
      <c r="Q10" s="26">
        <f t="shared" ca="1" si="1"/>
        <v>46059</v>
      </c>
      <c r="R10" s="51">
        <f ca="1">(TODAY()-Таблица1[[#This Row],[Дата регистрации клента]])/30</f>
        <v>45.833333333333336</v>
      </c>
      <c r="S10" s="63" t="str">
        <f>VLOOKUP(Таблица1[[#This Row],[id клиента]],Таблица8[[id клиента]:[Страна]],7,0)</f>
        <v>Украина</v>
      </c>
      <c r="T10" s="26"/>
    </row>
    <row r="11" spans="1:20" ht="19.5" x14ac:dyDescent="0.4">
      <c r="A11" s="37">
        <v>10</v>
      </c>
      <c r="B11" s="31">
        <v>100</v>
      </c>
      <c r="C11" s="31">
        <v>449</v>
      </c>
      <c r="D11" s="31">
        <v>2</v>
      </c>
      <c r="E11" s="31">
        <v>898</v>
      </c>
      <c r="F11" s="38">
        <v>45032</v>
      </c>
      <c r="G11" s="31" t="s">
        <v>13</v>
      </c>
      <c r="H11" s="31">
        <v>413</v>
      </c>
      <c r="I11" s="31" t="str">
        <f>VLOOKUP(продажи!$B11,товар!$A$1:$C$433,2)</f>
        <v>Йогурт</v>
      </c>
      <c r="J11" s="31" t="str">
        <f>VLOOKUP(B11,товар!$A$1:$C$433,3)</f>
        <v>Ростагроэкспорт</v>
      </c>
      <c r="K11" s="39">
        <f>AVERAGEIF(продажи!$I$2:$I$1001,продажи!$I$2:$I$1001,продажи!$C$2:$C$1001)</f>
        <v>263.25423728813558</v>
      </c>
      <c r="L11" s="40">
        <f>продажи!$C11/продажи!$K11-1</f>
        <v>0.7055755858872006</v>
      </c>
      <c r="M11" s="33">
        <f t="shared" si="0"/>
        <v>5929</v>
      </c>
      <c r="N11" s="24">
        <f>Таблица1[[#This Row],[цена за шт в рублях]]/Таблица1[[#This Row],[средняя стоимость в категории по поставщику.]]-1</f>
        <v>-0.92427053466014508</v>
      </c>
      <c r="O11" s="26">
        <f>VLOOKUP(Таблица1[[#This Row],[id клиента]],клиенты!$A$2:$E$435,5,0)</f>
        <v>44699</v>
      </c>
      <c r="P11">
        <f>Таблица1[[#This Row],[дата создания чека]]-Таблица1[[#This Row],[Дата регистрации клента]]</f>
        <v>333</v>
      </c>
      <c r="Q11" s="26">
        <f t="shared" ca="1" si="1"/>
        <v>46059</v>
      </c>
      <c r="R11" s="51">
        <f ca="1">(TODAY()-Таблица1[[#This Row],[Дата регистрации клента]])/30</f>
        <v>45.333333333333336</v>
      </c>
      <c r="S11" s="63" t="str">
        <f>VLOOKUP(Таблица1[[#This Row],[id клиента]],Таблица8[[id клиента]:[Страна]],7,0)</f>
        <v>Россия</v>
      </c>
      <c r="T11" s="26"/>
    </row>
    <row r="12" spans="1:20" ht="19.5" x14ac:dyDescent="0.4">
      <c r="A12" s="41">
        <v>11</v>
      </c>
      <c r="B12" s="42">
        <v>217</v>
      </c>
      <c r="C12" s="42">
        <v>296</v>
      </c>
      <c r="D12" s="42">
        <v>2</v>
      </c>
      <c r="E12" s="42">
        <v>592</v>
      </c>
      <c r="F12" s="43">
        <v>45136</v>
      </c>
      <c r="G12" s="42" t="s">
        <v>13</v>
      </c>
      <c r="H12" s="42">
        <v>495</v>
      </c>
      <c r="I12" s="42" t="str">
        <f>VLOOKUP(продажи!$B12,товар!$A$1:$C$433,2)</f>
        <v>Мясо</v>
      </c>
      <c r="J12" s="42" t="str">
        <f>VLOOKUP(B12,товар!$A$1:$C$433,3)</f>
        <v>Агрокомплекс</v>
      </c>
      <c r="K12" s="44">
        <f>AVERAGEIF(продажи!$I$2:$I$1001,продажи!$I$2:$I$1001,продажи!$C$2:$C$1001)</f>
        <v>271.74545454545455</v>
      </c>
      <c r="L12" s="45">
        <f>продажи!$C12/продажи!$K12-1</f>
        <v>8.925465007359823E-2</v>
      </c>
      <c r="M12" s="33">
        <f t="shared" si="0"/>
        <v>3112</v>
      </c>
      <c r="N12" s="24">
        <f>Таблица1[[#This Row],[цена за шт в рублях]]/Таблица1[[#This Row],[средняя стоимость в категории по поставщику.]]-1</f>
        <v>-0.9048843187660669</v>
      </c>
      <c r="O12" s="26">
        <f>VLOOKUP(Таблица1[[#This Row],[id клиента]],клиенты!$A$2:$E$435,5,0)</f>
        <v>44654</v>
      </c>
      <c r="P12">
        <f>Таблица1[[#This Row],[дата создания чека]]-Таблица1[[#This Row],[Дата регистрации клента]]</f>
        <v>482</v>
      </c>
      <c r="Q12" s="26">
        <f t="shared" ca="1" si="1"/>
        <v>46059</v>
      </c>
      <c r="R12" s="51">
        <f ca="1">(TODAY()-Таблица1[[#This Row],[Дата регистрации клента]])/30</f>
        <v>46.833333333333336</v>
      </c>
      <c r="S12" s="63" t="str">
        <f>VLOOKUP(Таблица1[[#This Row],[id клиента]],Таблица8[[id клиента]:[Страна]],7,0)</f>
        <v>Узбекистан</v>
      </c>
      <c r="T12" s="26"/>
    </row>
    <row r="13" spans="1:20" ht="19.5" x14ac:dyDescent="0.4">
      <c r="A13" s="37">
        <v>12</v>
      </c>
      <c r="B13" s="31">
        <v>445</v>
      </c>
      <c r="C13" s="31">
        <v>109</v>
      </c>
      <c r="D13" s="31">
        <v>5</v>
      </c>
      <c r="E13" s="31">
        <v>545</v>
      </c>
      <c r="F13" s="38">
        <v>45394</v>
      </c>
      <c r="G13" s="31" t="s">
        <v>14</v>
      </c>
      <c r="H13" s="31">
        <v>353</v>
      </c>
      <c r="I13" s="31" t="str">
        <f>VLOOKUP(продажи!$B13,товар!$A$1:$C$433,2)</f>
        <v>Сахар</v>
      </c>
      <c r="J13" s="31" t="str">
        <f>VLOOKUP(B13,товар!$A$1:$C$433,3)</f>
        <v>Сладов</v>
      </c>
      <c r="K13" s="39">
        <f>AVERAGEIF(продажи!$I$2:$I$1001,продажи!$I$2:$I$1001,продажи!$C$2:$C$1001)</f>
        <v>254.58333333333334</v>
      </c>
      <c r="L13" s="40">
        <f>продажи!$C13/продажи!$K13-1</f>
        <v>-0.57184942716857612</v>
      </c>
      <c r="M13" s="33">
        <f t="shared" si="0"/>
        <v>3604</v>
      </c>
      <c r="N13" s="24">
        <f>Таблица1[[#This Row],[цена за шт в рублях]]/Таблица1[[#This Row],[средняя стоимость в категории по поставщику.]]-1</f>
        <v>-0.96975582685904549</v>
      </c>
      <c r="O13" s="26">
        <f>VLOOKUP(Таблица1[[#This Row],[id клиента]],клиенты!$A$2:$E$435,5,0)</f>
        <v>44656</v>
      </c>
      <c r="P13">
        <f>Таблица1[[#This Row],[дата создания чека]]-Таблица1[[#This Row],[Дата регистрации клента]]</f>
        <v>738</v>
      </c>
      <c r="Q13" s="26">
        <f t="shared" ca="1" si="1"/>
        <v>46059</v>
      </c>
      <c r="R13" s="51">
        <f ca="1">(TODAY()-Таблица1[[#This Row],[Дата регистрации клента]])/30</f>
        <v>46.766666666666666</v>
      </c>
      <c r="S13" s="63" t="str">
        <f>VLOOKUP(Таблица1[[#This Row],[id клиента]],Таблица8[[id клиента]:[Страна]],7,0)</f>
        <v>Таджикистан</v>
      </c>
      <c r="T13" s="26"/>
    </row>
    <row r="14" spans="1:20" ht="19.5" x14ac:dyDescent="0.4">
      <c r="A14" s="41">
        <v>13</v>
      </c>
      <c r="B14" s="42">
        <v>284</v>
      </c>
      <c r="C14" s="42">
        <v>213</v>
      </c>
      <c r="D14" s="42">
        <v>3</v>
      </c>
      <c r="E14" s="42">
        <v>639</v>
      </c>
      <c r="F14" s="43">
        <v>45266</v>
      </c>
      <c r="G14" s="42" t="s">
        <v>10</v>
      </c>
      <c r="H14" s="42">
        <v>332</v>
      </c>
      <c r="I14" s="42" t="str">
        <f>VLOOKUP(продажи!$B14,товар!$A$1:$C$433,2)</f>
        <v>Мясо</v>
      </c>
      <c r="J14" s="42" t="str">
        <f>VLOOKUP(B14,товар!$A$1:$C$433,3)</f>
        <v>Сава</v>
      </c>
      <c r="K14" s="44">
        <f>AVERAGEIF(продажи!$I$2:$I$1001,продажи!$I$2:$I$1001,продажи!$C$2:$C$1001)</f>
        <v>271.74545454545455</v>
      </c>
      <c r="L14" s="45">
        <f>продажи!$C14/продажи!$K14-1</f>
        <v>-0.21617824167001209</v>
      </c>
      <c r="M14" s="33">
        <f t="shared" si="0"/>
        <v>3405</v>
      </c>
      <c r="N14" s="24">
        <f>Таблица1[[#This Row],[цена за шт в рублях]]/Таблица1[[#This Row],[средняя стоимость в категории по поставщику.]]-1</f>
        <v>-0.93744493392070483</v>
      </c>
      <c r="O14" s="26">
        <f>VLOOKUP(Таблица1[[#This Row],[id клиента]],клиенты!$A$2:$E$435,5,0)</f>
        <v>44858</v>
      </c>
      <c r="P14">
        <f>Таблица1[[#This Row],[дата создания чека]]-Таблица1[[#This Row],[Дата регистрации клента]]</f>
        <v>408</v>
      </c>
      <c r="Q14" s="26">
        <f t="shared" ca="1" si="1"/>
        <v>46059</v>
      </c>
      <c r="R14" s="51">
        <f ca="1">(TODAY()-Таблица1[[#This Row],[Дата регистрации клента]])/30</f>
        <v>40.033333333333331</v>
      </c>
      <c r="S14" s="63" t="str">
        <f>VLOOKUP(Таблица1[[#This Row],[id клиента]],Таблица8[[id клиента]:[Страна]],7,0)</f>
        <v>Узбекистан</v>
      </c>
      <c r="T14" s="26"/>
    </row>
    <row r="15" spans="1:20" ht="19.5" x14ac:dyDescent="0.4">
      <c r="A15" s="37">
        <v>14</v>
      </c>
      <c r="B15" s="31">
        <v>116</v>
      </c>
      <c r="C15" s="31">
        <v>190</v>
      </c>
      <c r="D15" s="31">
        <v>4</v>
      </c>
      <c r="E15" s="31">
        <v>760</v>
      </c>
      <c r="F15" s="38">
        <v>45133</v>
      </c>
      <c r="G15" s="31" t="s">
        <v>11</v>
      </c>
      <c r="H15" s="31">
        <v>414</v>
      </c>
      <c r="I15" s="31" t="str">
        <f>VLOOKUP(продажи!$B15,товар!$A$1:$C$433,2)</f>
        <v>Соль</v>
      </c>
      <c r="J15" s="31" t="str">
        <f>VLOOKUP(B15,товар!$A$1:$C$433,3)</f>
        <v>Экстра</v>
      </c>
      <c r="K15" s="39">
        <f>AVERAGEIF(продажи!$I$2:$I$1001,продажи!$I$2:$I$1001,продажи!$C$2:$C$1001)</f>
        <v>264.8679245283019</v>
      </c>
      <c r="L15" s="40">
        <f>продажи!$C15/продажи!$K15-1</f>
        <v>-0.28266134777033769</v>
      </c>
      <c r="M15" s="33">
        <f t="shared" si="0"/>
        <v>4171</v>
      </c>
      <c r="N15" s="24">
        <f>Таблица1[[#This Row],[цена за шт в рублях]]/Таблица1[[#This Row],[средняя стоимость в категории по поставщику.]]-1</f>
        <v>-0.95444737473028052</v>
      </c>
      <c r="O15" s="26">
        <f>VLOOKUP(Таблица1[[#This Row],[id клиента]],клиенты!$A$2:$E$435,5,0)</f>
        <v>44794</v>
      </c>
      <c r="P15">
        <f>Таблица1[[#This Row],[дата создания чека]]-Таблица1[[#This Row],[Дата регистрации клента]]</f>
        <v>339</v>
      </c>
      <c r="Q15" s="26">
        <f t="shared" ca="1" si="1"/>
        <v>46059</v>
      </c>
      <c r="R15" s="51">
        <f ca="1">(TODAY()-Таблица1[[#This Row],[Дата регистрации клента]])/30</f>
        <v>42.166666666666664</v>
      </c>
      <c r="S15" s="63" t="str">
        <f>VLOOKUP(Таблица1[[#This Row],[id клиента]],Таблица8[[id клиента]:[Страна]],7,0)</f>
        <v>Беларусь</v>
      </c>
      <c r="T15" s="26"/>
    </row>
    <row r="16" spans="1:20" ht="19.5" x14ac:dyDescent="0.4">
      <c r="A16" s="41">
        <v>15</v>
      </c>
      <c r="B16" s="42">
        <v>378</v>
      </c>
      <c r="C16" s="42">
        <v>237</v>
      </c>
      <c r="D16" s="42">
        <v>1</v>
      </c>
      <c r="E16" s="42">
        <v>237</v>
      </c>
      <c r="F16" s="43">
        <v>44972</v>
      </c>
      <c r="G16" s="42" t="s">
        <v>13</v>
      </c>
      <c r="H16" s="42">
        <v>236</v>
      </c>
      <c r="I16" s="42" t="str">
        <f>VLOOKUP(продажи!$B16,товар!$A$1:$C$433,2)</f>
        <v>Сок</v>
      </c>
      <c r="J16" s="42" t="str">
        <f>VLOOKUP(B16,товар!$A$1:$C$433,3)</f>
        <v>Фруктовый сад</v>
      </c>
      <c r="K16" s="44">
        <f>AVERAGEIF(продажи!$I$2:$I$1001,продажи!$I$2:$I$1001,продажи!$C$2:$C$1001)</f>
        <v>268.60344827586209</v>
      </c>
      <c r="L16" s="45">
        <f>продажи!$C16/продажи!$K16-1</f>
        <v>-0.11765838628923564</v>
      </c>
      <c r="M16" s="33">
        <f t="shared" si="0"/>
        <v>9023</v>
      </c>
      <c r="N16" s="24">
        <f>Таблица1[[#This Row],[цена за шт в рублях]]/Таблица1[[#This Row],[средняя стоимость в категории по поставщику.]]-1</f>
        <v>-0.97373379142192173</v>
      </c>
      <c r="O16" s="26">
        <f>VLOOKUP(Таблица1[[#This Row],[id клиента]],клиенты!$A$2:$E$435,5,0)</f>
        <v>44820</v>
      </c>
      <c r="P16">
        <f>Таблица1[[#This Row],[дата создания чека]]-Таблица1[[#This Row],[Дата регистрации клента]]</f>
        <v>152</v>
      </c>
      <c r="Q16" s="26">
        <f t="shared" ca="1" si="1"/>
        <v>46059</v>
      </c>
      <c r="R16" s="51">
        <f ca="1">(TODAY()-Таблица1[[#This Row],[Дата регистрации клента]])/30</f>
        <v>41.3</v>
      </c>
      <c r="S16" s="63" t="str">
        <f>VLOOKUP(Таблица1[[#This Row],[id клиента]],Таблица8[[id клиента]:[Страна]],7,0)</f>
        <v>Узбекистан</v>
      </c>
      <c r="T16" s="26"/>
    </row>
    <row r="17" spans="1:20" ht="19.5" x14ac:dyDescent="0.4">
      <c r="A17" s="37">
        <v>16</v>
      </c>
      <c r="B17" s="31">
        <v>299</v>
      </c>
      <c r="C17" s="31">
        <v>178</v>
      </c>
      <c r="D17" s="31">
        <v>3</v>
      </c>
      <c r="E17" s="31">
        <v>534</v>
      </c>
      <c r="F17" s="38">
        <v>44980</v>
      </c>
      <c r="G17" s="31" t="s">
        <v>14</v>
      </c>
      <c r="H17" s="31">
        <v>164</v>
      </c>
      <c r="I17" s="31" t="str">
        <f>VLOOKUP(продажи!$B17,товар!$A$1:$C$433,2)</f>
        <v>Чай</v>
      </c>
      <c r="J17" s="31" t="str">
        <f>VLOOKUP(B17,товар!$A$1:$C$433,3)</f>
        <v>Lipton</v>
      </c>
      <c r="K17" s="39">
        <f>AVERAGEIF(продажи!$I$2:$I$1001,продажи!$I$2:$I$1001,продажи!$C$2:$C$1001)</f>
        <v>271.18181818181819</v>
      </c>
      <c r="L17" s="40">
        <f>продажи!$C17/продажи!$K17-1</f>
        <v>-0.34361381159906135</v>
      </c>
      <c r="M17" s="33">
        <f t="shared" si="0"/>
        <v>4943</v>
      </c>
      <c r="N17" s="24">
        <f>Таблица1[[#This Row],[цена за шт в рублях]]/Таблица1[[#This Row],[средняя стоимость в категории по поставщику.]]-1</f>
        <v>-0.96398948007283025</v>
      </c>
      <c r="O17" s="26">
        <f>VLOOKUP(Таблица1[[#This Row],[id клиента]],клиенты!$A$2:$E$435,5,0)</f>
        <v>44678</v>
      </c>
      <c r="P17">
        <f>Таблица1[[#This Row],[дата создания чека]]-Таблица1[[#This Row],[Дата регистрации клента]]</f>
        <v>302</v>
      </c>
      <c r="Q17" s="26">
        <f t="shared" ca="1" si="1"/>
        <v>46059</v>
      </c>
      <c r="R17" s="51">
        <f ca="1">(TODAY()-Таблица1[[#This Row],[Дата регистрации клента]])/30</f>
        <v>46.033333333333331</v>
      </c>
      <c r="S17" s="63" t="str">
        <f>VLOOKUP(Таблица1[[#This Row],[id клиента]],Таблица8[[id клиента]:[Страна]],7,0)</f>
        <v>Россия</v>
      </c>
      <c r="T17" s="26"/>
    </row>
    <row r="18" spans="1:20" ht="19.5" x14ac:dyDescent="0.4">
      <c r="A18" s="41">
        <v>17</v>
      </c>
      <c r="B18" s="42">
        <v>359</v>
      </c>
      <c r="C18" s="42">
        <v>320</v>
      </c>
      <c r="D18" s="42">
        <v>5</v>
      </c>
      <c r="E18" s="42">
        <v>1600</v>
      </c>
      <c r="F18" s="43">
        <v>45216</v>
      </c>
      <c r="G18" s="42" t="s">
        <v>16</v>
      </c>
      <c r="H18" s="42">
        <v>490</v>
      </c>
      <c r="I18" s="42" t="str">
        <f>VLOOKUP(продажи!$B18,товар!$A$1:$C$433,2)</f>
        <v>Мясо</v>
      </c>
      <c r="J18" s="42" t="str">
        <f>VLOOKUP(B18,товар!$A$1:$C$433,3)</f>
        <v>Мираторг</v>
      </c>
      <c r="K18" s="44">
        <f>AVERAGEIF(продажи!$I$2:$I$1001,продажи!$I$2:$I$1001,продажи!$C$2:$C$1001)</f>
        <v>271.74545454545455</v>
      </c>
      <c r="L18" s="45">
        <f>продажи!$C18/продажи!$K18-1</f>
        <v>0.1775725946741602</v>
      </c>
      <c r="M18" s="33">
        <f t="shared" si="0"/>
        <v>3799</v>
      </c>
      <c r="N18" s="24">
        <f>Таблица1[[#This Row],[цена за шт в рублях]]/Таблица1[[#This Row],[средняя стоимость в категории по поставщику.]]-1</f>
        <v>-0.91576730718610166</v>
      </c>
      <c r="O18" s="26">
        <f>VLOOKUP(Таблица1[[#This Row],[id клиента]],клиенты!$A$2:$E$435,5,0)</f>
        <v>44603</v>
      </c>
      <c r="P18">
        <f>Таблица1[[#This Row],[дата создания чека]]-Таблица1[[#This Row],[Дата регистрации клента]]</f>
        <v>613</v>
      </c>
      <c r="Q18" s="26">
        <f t="shared" ca="1" si="1"/>
        <v>46059</v>
      </c>
      <c r="R18" s="51">
        <f ca="1">(TODAY()-Таблица1[[#This Row],[Дата регистрации клента]])/30</f>
        <v>48.533333333333331</v>
      </c>
      <c r="S18" s="63" t="str">
        <f>VLOOKUP(Таблица1[[#This Row],[id клиента]],Таблица8[[id клиента]:[Страна]],7,0)</f>
        <v>Россия</v>
      </c>
      <c r="T18" s="26"/>
    </row>
    <row r="19" spans="1:20" ht="19.5" x14ac:dyDescent="0.4">
      <c r="A19" s="37">
        <v>18</v>
      </c>
      <c r="B19" s="31">
        <v>337</v>
      </c>
      <c r="C19" s="31">
        <v>419</v>
      </c>
      <c r="D19" s="31">
        <v>2</v>
      </c>
      <c r="E19" s="31">
        <v>838</v>
      </c>
      <c r="F19" s="38">
        <v>45116</v>
      </c>
      <c r="G19" s="31" t="s">
        <v>10</v>
      </c>
      <c r="H19" s="31">
        <v>223</v>
      </c>
      <c r="I19" s="31" t="str">
        <f>VLOOKUP(продажи!$B19,товар!$A$1:$C$433,2)</f>
        <v>Макароны</v>
      </c>
      <c r="J19" s="31" t="str">
        <f>VLOOKUP(B19,товар!$A$1:$C$433,3)</f>
        <v>Паста Зара</v>
      </c>
      <c r="K19" s="39">
        <f>AVERAGEIF(продажи!$I$2:$I$1001,продажи!$I$2:$I$1001,продажи!$C$2:$C$1001)</f>
        <v>265.47674418604652</v>
      </c>
      <c r="L19" s="40">
        <f>продажи!$C19/продажи!$K19-1</f>
        <v>0.57829267224387881</v>
      </c>
      <c r="M19" s="33">
        <f t="shared" si="0"/>
        <v>10237</v>
      </c>
      <c r="N19" s="24">
        <f>Таблица1[[#This Row],[цена за шт в рублях]]/Таблица1[[#This Row],[средняя стоимость в категории по поставщику.]]-1</f>
        <v>-0.9590700400507961</v>
      </c>
      <c r="O19" s="26">
        <f>VLOOKUP(Таблица1[[#This Row],[id клиента]],клиенты!$A$2:$E$435,5,0)</f>
        <v>44893</v>
      </c>
      <c r="P19">
        <f>Таблица1[[#This Row],[дата создания чека]]-Таблица1[[#This Row],[Дата регистрации клента]]</f>
        <v>223</v>
      </c>
      <c r="Q19" s="26">
        <f t="shared" ca="1" si="1"/>
        <v>46059</v>
      </c>
      <c r="R19" s="51">
        <f ca="1">(TODAY()-Таблица1[[#This Row],[Дата регистрации клента]])/30</f>
        <v>38.866666666666667</v>
      </c>
      <c r="S19" s="63" t="str">
        <f>VLOOKUP(Таблица1[[#This Row],[id клиента]],Таблица8[[id клиента]:[Страна]],7,0)</f>
        <v>Украина</v>
      </c>
      <c r="T19" s="26"/>
    </row>
    <row r="20" spans="1:20" ht="19.5" x14ac:dyDescent="0.4">
      <c r="A20" s="41">
        <v>19</v>
      </c>
      <c r="B20" s="42">
        <v>226</v>
      </c>
      <c r="C20" s="42">
        <v>190</v>
      </c>
      <c r="D20" s="42">
        <v>5</v>
      </c>
      <c r="E20" s="42">
        <v>950</v>
      </c>
      <c r="F20" s="43">
        <v>45058</v>
      </c>
      <c r="G20" s="42" t="s">
        <v>17</v>
      </c>
      <c r="H20" s="42">
        <v>204</v>
      </c>
      <c r="I20" s="42" t="str">
        <f>VLOOKUP(продажи!$B20,товар!$A$1:$C$433,2)</f>
        <v>Сыр</v>
      </c>
      <c r="J20" s="42" t="str">
        <f>VLOOKUP(B20,товар!$A$1:$C$433,3)</f>
        <v>Карат</v>
      </c>
      <c r="K20" s="44">
        <f>AVERAGEIF(продажи!$I$2:$I$1001,продажи!$I$2:$I$1001,продажи!$C$2:$C$1001)</f>
        <v>261.03225806451616</v>
      </c>
      <c r="L20" s="45">
        <f>продажи!$C20/продажи!$K20-1</f>
        <v>-0.27212061295106282</v>
      </c>
      <c r="M20" s="33">
        <f t="shared" si="0"/>
        <v>2802</v>
      </c>
      <c r="N20" s="24">
        <f>Таблица1[[#This Row],[цена за шт в рублях]]/Таблица1[[#This Row],[средняя стоимость в категории по поставщику.]]-1</f>
        <v>-0.93219129193433259</v>
      </c>
      <c r="O20" s="26">
        <f>VLOOKUP(Таблица1[[#This Row],[id клиента]],клиенты!$A$2:$E$435,5,0)</f>
        <v>44867</v>
      </c>
      <c r="P20">
        <f>Таблица1[[#This Row],[дата создания чека]]-Таблица1[[#This Row],[Дата регистрации клента]]</f>
        <v>191</v>
      </c>
      <c r="Q20" s="26">
        <f t="shared" ca="1" si="1"/>
        <v>46059</v>
      </c>
      <c r="R20" s="51">
        <f ca="1">(TODAY()-Таблица1[[#This Row],[Дата регистрации клента]])/30</f>
        <v>39.733333333333334</v>
      </c>
      <c r="S20" s="63" t="str">
        <f>VLOOKUP(Таблица1[[#This Row],[id клиента]],Таблица8[[id клиента]:[Страна]],7,0)</f>
        <v>Россия</v>
      </c>
      <c r="T20" s="26"/>
    </row>
    <row r="21" spans="1:20" ht="19.5" x14ac:dyDescent="0.4">
      <c r="A21" s="37">
        <v>20</v>
      </c>
      <c r="B21" s="31">
        <v>310</v>
      </c>
      <c r="C21" s="31">
        <v>458</v>
      </c>
      <c r="D21" s="31">
        <v>2</v>
      </c>
      <c r="E21" s="31">
        <v>916</v>
      </c>
      <c r="F21" s="38">
        <v>45158</v>
      </c>
      <c r="G21" s="31" t="s">
        <v>17</v>
      </c>
      <c r="H21" s="31">
        <v>481</v>
      </c>
      <c r="I21" s="31" t="str">
        <f>VLOOKUP(продажи!$B21,товар!$A$1:$C$433,2)</f>
        <v>Макароны</v>
      </c>
      <c r="J21" s="31" t="str">
        <f>VLOOKUP(B21,товар!$A$1:$C$433,3)</f>
        <v>Паста Зара</v>
      </c>
      <c r="K21" s="39">
        <f>AVERAGEIF(продажи!$I$2:$I$1001,продажи!$I$2:$I$1001,продажи!$C$2:$C$1001)</f>
        <v>265.47674418604652</v>
      </c>
      <c r="L21" s="40">
        <f>продажи!$C21/продажи!$K21-1</f>
        <v>0.72519819543603004</v>
      </c>
      <c r="M21" s="33">
        <f t="shared" si="0"/>
        <v>10237</v>
      </c>
      <c r="N21" s="24">
        <f>Таблица1[[#This Row],[цена за шт в рублях]]/Таблица1[[#This Row],[средняя стоимость в категории по поставщику.]]-1</f>
        <v>-0.9552603301748559</v>
      </c>
      <c r="O21" s="26">
        <f>VLOOKUP(Таблица1[[#This Row],[id клиента]],клиенты!$A$2:$E$435,5,0)</f>
        <v>44756</v>
      </c>
      <c r="P21">
        <f>Таблица1[[#This Row],[дата создания чека]]-Таблица1[[#This Row],[Дата регистрации клента]]</f>
        <v>402</v>
      </c>
      <c r="Q21" s="26">
        <f t="shared" ca="1" si="1"/>
        <v>46059</v>
      </c>
      <c r="R21" s="51">
        <f ca="1">(TODAY()-Таблица1[[#This Row],[Дата регистрации клента]])/30</f>
        <v>43.43333333333333</v>
      </c>
      <c r="S21" s="63" t="str">
        <f>VLOOKUP(Таблица1[[#This Row],[id клиента]],Таблица8[[id клиента]:[Страна]],7,0)</f>
        <v>Беларусь</v>
      </c>
      <c r="T21" s="26"/>
    </row>
    <row r="22" spans="1:20" ht="19.5" x14ac:dyDescent="0.4">
      <c r="A22" s="41">
        <v>21</v>
      </c>
      <c r="B22" s="42">
        <v>137</v>
      </c>
      <c r="C22" s="42">
        <v>152</v>
      </c>
      <c r="D22" s="42">
        <v>2</v>
      </c>
      <c r="E22" s="42">
        <v>304</v>
      </c>
      <c r="F22" s="43">
        <v>45244</v>
      </c>
      <c r="G22" s="42" t="s">
        <v>8</v>
      </c>
      <c r="H22" s="42">
        <v>363</v>
      </c>
      <c r="I22" s="42" t="str">
        <f>VLOOKUP(продажи!$B22,товар!$A$1:$C$433,2)</f>
        <v>Фрукты</v>
      </c>
      <c r="J22" s="42" t="str">
        <f>VLOOKUP(B22,товар!$A$1:$C$433,3)</f>
        <v>Экзотик</v>
      </c>
      <c r="K22" s="44">
        <f>AVERAGEIF(продажи!$I$2:$I$1001,продажи!$I$2:$I$1001,продажи!$C$2:$C$1001)</f>
        <v>274.16279069767444</v>
      </c>
      <c r="L22" s="45">
        <f>продажи!$C22/продажи!$K22-1</f>
        <v>-0.4455848672491306</v>
      </c>
      <c r="M22" s="33">
        <f t="shared" si="0"/>
        <v>4059</v>
      </c>
      <c r="N22" s="24">
        <f>Таблица1[[#This Row],[цена за шт в рублях]]/Таблица1[[#This Row],[средняя стоимость в категории по поставщику.]]-1</f>
        <v>-0.96255235279625528</v>
      </c>
      <c r="O22" s="26">
        <f>VLOOKUP(Таблица1[[#This Row],[id клиента]],клиенты!$A$2:$E$435,5,0)</f>
        <v>44675</v>
      </c>
      <c r="P22">
        <f>Таблица1[[#This Row],[дата создания чека]]-Таблица1[[#This Row],[Дата регистрации клента]]</f>
        <v>569</v>
      </c>
      <c r="Q22" s="26">
        <f t="shared" ca="1" si="1"/>
        <v>46059</v>
      </c>
      <c r="R22" s="51">
        <f ca="1">(TODAY()-Таблица1[[#This Row],[Дата регистрации клента]])/30</f>
        <v>46.133333333333333</v>
      </c>
      <c r="S22" s="63" t="str">
        <f>VLOOKUP(Таблица1[[#This Row],[id клиента]],Таблица8[[id клиента]:[Страна]],7,0)</f>
        <v>Узбекистан</v>
      </c>
      <c r="T22" s="26"/>
    </row>
    <row r="23" spans="1:20" ht="19.5" x14ac:dyDescent="0.4">
      <c r="A23" s="37">
        <v>22</v>
      </c>
      <c r="B23" s="31">
        <v>385</v>
      </c>
      <c r="C23" s="31">
        <v>352</v>
      </c>
      <c r="D23" s="31">
        <v>2</v>
      </c>
      <c r="E23" s="31">
        <v>704</v>
      </c>
      <c r="F23" s="38">
        <v>45123</v>
      </c>
      <c r="G23" s="31" t="s">
        <v>14</v>
      </c>
      <c r="H23" s="31">
        <v>397</v>
      </c>
      <c r="I23" s="31" t="str">
        <f>VLOOKUP(продажи!$B23,товар!$A$1:$C$433,2)</f>
        <v>Макароны</v>
      </c>
      <c r="J23" s="31" t="str">
        <f>VLOOKUP(B23,товар!$A$1:$C$433,3)</f>
        <v>Макфа</v>
      </c>
      <c r="K23" s="39">
        <f>AVERAGEIF(продажи!$I$2:$I$1001,продажи!$I$2:$I$1001,продажи!$C$2:$C$1001)</f>
        <v>265.47674418604652</v>
      </c>
      <c r="L23" s="40">
        <f>продажи!$C23/продажи!$K23-1</f>
        <v>0.32591651701633739</v>
      </c>
      <c r="M23" s="33">
        <f t="shared" si="0"/>
        <v>3622</v>
      </c>
      <c r="N23" s="24">
        <f>Таблица1[[#This Row],[цена за шт в рублях]]/Таблица1[[#This Row],[средняя стоимость в категории по поставщику.]]-1</f>
        <v>-0.90281612368856989</v>
      </c>
      <c r="O23" s="26">
        <f>VLOOKUP(Таблица1[[#This Row],[id клиента]],клиенты!$A$2:$E$435,5,0)</f>
        <v>44728</v>
      </c>
      <c r="P23">
        <f>Таблица1[[#This Row],[дата создания чека]]-Таблица1[[#This Row],[Дата регистрации клента]]</f>
        <v>395</v>
      </c>
      <c r="Q23" s="26">
        <f t="shared" ca="1" si="1"/>
        <v>46059</v>
      </c>
      <c r="R23" s="51">
        <f ca="1">(TODAY()-Таблица1[[#This Row],[Дата регистрации клента]])/30</f>
        <v>44.366666666666667</v>
      </c>
      <c r="S23" s="63" t="str">
        <f>VLOOKUP(Таблица1[[#This Row],[id клиента]],Таблица8[[id клиента]:[Страна]],7,0)</f>
        <v>Беларусь</v>
      </c>
      <c r="T23" s="26"/>
    </row>
    <row r="24" spans="1:20" ht="19.5" x14ac:dyDescent="0.4">
      <c r="A24" s="41">
        <v>23</v>
      </c>
      <c r="B24" s="42">
        <v>226</v>
      </c>
      <c r="C24" s="42">
        <v>228</v>
      </c>
      <c r="D24" s="42">
        <v>2</v>
      </c>
      <c r="E24" s="42">
        <v>456</v>
      </c>
      <c r="F24" s="43">
        <v>45027</v>
      </c>
      <c r="G24" s="42" t="s">
        <v>18</v>
      </c>
      <c r="H24" s="42">
        <v>280</v>
      </c>
      <c r="I24" s="42" t="str">
        <f>VLOOKUP(продажи!$B24,товар!$A$1:$C$433,2)</f>
        <v>Сыр</v>
      </c>
      <c r="J24" s="42" t="str">
        <f>VLOOKUP(B24,товар!$A$1:$C$433,3)</f>
        <v>Карат</v>
      </c>
      <c r="K24" s="44">
        <f>AVERAGEIF(продажи!$I$2:$I$1001,продажи!$I$2:$I$1001,продажи!$C$2:$C$1001)</f>
        <v>261.03225806451616</v>
      </c>
      <c r="L24" s="45">
        <f>продажи!$C24/продажи!$K24-1</f>
        <v>-0.12654473554127543</v>
      </c>
      <c r="M24" s="33">
        <f t="shared" si="0"/>
        <v>2802</v>
      </c>
      <c r="N24" s="24">
        <f>Таблица1[[#This Row],[цена за шт в рублях]]/Таблица1[[#This Row],[средняя стоимость в категории по поставщику.]]-1</f>
        <v>-0.9186295503211992</v>
      </c>
      <c r="O24" s="26">
        <f>VLOOKUP(Таблица1[[#This Row],[id клиента]],клиенты!$A$2:$E$435,5,0)</f>
        <v>44563</v>
      </c>
      <c r="P24">
        <f>Таблица1[[#This Row],[дата создания чека]]-Таблица1[[#This Row],[Дата регистрации клента]]</f>
        <v>464</v>
      </c>
      <c r="Q24" s="26">
        <f t="shared" ca="1" si="1"/>
        <v>46059</v>
      </c>
      <c r="R24" s="51">
        <f ca="1">(TODAY()-Таблица1[[#This Row],[Дата регистрации клента]])/30</f>
        <v>49.866666666666667</v>
      </c>
      <c r="S24" s="63" t="str">
        <f>VLOOKUP(Таблица1[[#This Row],[id клиента]],Таблица8[[id клиента]:[Страна]],7,0)</f>
        <v>Россия</v>
      </c>
      <c r="T24" s="26"/>
    </row>
    <row r="25" spans="1:20" ht="19.5" x14ac:dyDescent="0.4">
      <c r="A25" s="37">
        <v>24</v>
      </c>
      <c r="B25" s="31">
        <v>451</v>
      </c>
      <c r="C25" s="31">
        <v>161</v>
      </c>
      <c r="D25" s="31">
        <v>4</v>
      </c>
      <c r="E25" s="31">
        <v>644</v>
      </c>
      <c r="F25" s="38">
        <v>44966</v>
      </c>
      <c r="G25" s="31" t="s">
        <v>15</v>
      </c>
      <c r="H25" s="31">
        <v>39</v>
      </c>
      <c r="I25" s="31" t="str">
        <f>VLOOKUP(продажи!$B25,товар!$A$1:$C$433,2)</f>
        <v>Рис</v>
      </c>
      <c r="J25" s="31" t="str">
        <f>VLOOKUP(B25,товар!$A$1:$C$433,3)</f>
        <v>Белый Злат</v>
      </c>
      <c r="K25" s="39">
        <f>AVERAGEIF(продажи!$I$2:$I$1001,продажи!$I$2:$I$1001,продажи!$C$2:$C$1001)</f>
        <v>258.375</v>
      </c>
      <c r="L25" s="40">
        <f>продажи!$C25/продажи!$K25-1</f>
        <v>-0.37687469762941461</v>
      </c>
      <c r="M25" s="33">
        <f t="shared" si="0"/>
        <v>4585</v>
      </c>
      <c r="N25" s="24">
        <f>Таблица1[[#This Row],[цена за шт в рублях]]/Таблица1[[#This Row],[средняя стоимость в категории по поставщику.]]-1</f>
        <v>-0.96488549618320607</v>
      </c>
      <c r="O25" s="26">
        <f>VLOOKUP(Таблица1[[#This Row],[id клиента]],клиенты!$A$2:$E$435,5,0)</f>
        <v>44653</v>
      </c>
      <c r="P25">
        <f>Таблица1[[#This Row],[дата создания чека]]-Таблица1[[#This Row],[Дата регистрации клента]]</f>
        <v>313</v>
      </c>
      <c r="Q25" s="26">
        <f t="shared" ca="1" si="1"/>
        <v>46059</v>
      </c>
      <c r="R25" s="51">
        <f ca="1">(TODAY()-Таблица1[[#This Row],[Дата регистрации клента]])/30</f>
        <v>46.866666666666667</v>
      </c>
      <c r="S25" s="63" t="str">
        <f>VLOOKUP(Таблица1[[#This Row],[id клиента]],Таблица8[[id клиента]:[Страна]],7,0)</f>
        <v>Беларусь</v>
      </c>
      <c r="T25" s="26"/>
    </row>
    <row r="26" spans="1:20" ht="19.5" x14ac:dyDescent="0.4">
      <c r="A26" s="41">
        <v>25</v>
      </c>
      <c r="B26" s="42">
        <v>7</v>
      </c>
      <c r="C26" s="42">
        <v>362</v>
      </c>
      <c r="D26" s="42">
        <v>1</v>
      </c>
      <c r="E26" s="42">
        <v>362</v>
      </c>
      <c r="F26" s="43">
        <v>45326</v>
      </c>
      <c r="G26" s="42" t="s">
        <v>12</v>
      </c>
      <c r="H26" s="42">
        <v>303</v>
      </c>
      <c r="I26" s="42" t="str">
        <f>VLOOKUP(B2,товар!$A$1:$C$433,2)</f>
        <v>Сахар</v>
      </c>
      <c r="J26" s="42" t="str">
        <f>VLOOKUP(B2,товар!$A$1:$C$433,3)</f>
        <v>Продимекс</v>
      </c>
      <c r="K26" s="44">
        <f>AVERAGEIF(продажи!$I$2:$I$1001,продажи!$I$2:$I$1001,продажи!$C$2:$C$1001)</f>
        <v>254.58333333333334</v>
      </c>
      <c r="L26" s="45">
        <f>продажи!$C26/продажи!$K26-1</f>
        <v>0.42193126022913252</v>
      </c>
      <c r="M26" s="33">
        <f t="shared" si="0"/>
        <v>5172</v>
      </c>
      <c r="N26" s="24">
        <f>Таблица1[[#This Row],[цена за шт в рублях]]/Таблица1[[#This Row],[средняя стоимость в категории по поставщику.]]-1</f>
        <v>-0.9300077339520495</v>
      </c>
      <c r="O26" s="26">
        <f>VLOOKUP(Таблица1[[#This Row],[id клиента]],клиенты!$A$2:$E$435,5,0)</f>
        <v>44689</v>
      </c>
      <c r="P26">
        <f>Таблица1[[#This Row],[дата создания чека]]-Таблица1[[#This Row],[Дата регистрации клента]]</f>
        <v>637</v>
      </c>
      <c r="Q26" s="26">
        <f t="shared" ca="1" si="1"/>
        <v>46059</v>
      </c>
      <c r="R26" s="51">
        <f ca="1">(TODAY()-Таблица1[[#This Row],[Дата регистрации клента]])/30</f>
        <v>45.666666666666664</v>
      </c>
      <c r="S26" s="63" t="str">
        <f>VLOOKUP(Таблица1[[#This Row],[id клиента]],Таблица8[[id клиента]:[Страна]],7,0)</f>
        <v>Узбекистан</v>
      </c>
      <c r="T26" s="26"/>
    </row>
    <row r="27" spans="1:20" ht="19.5" x14ac:dyDescent="0.4">
      <c r="A27" s="37">
        <v>26</v>
      </c>
      <c r="B27" s="31">
        <v>495</v>
      </c>
      <c r="C27" s="31">
        <v>312</v>
      </c>
      <c r="D27" s="31">
        <v>1</v>
      </c>
      <c r="E27" s="31">
        <v>312</v>
      </c>
      <c r="F27" s="38">
        <v>45174</v>
      </c>
      <c r="G27" s="31" t="s">
        <v>16</v>
      </c>
      <c r="H27" s="31">
        <v>422</v>
      </c>
      <c r="I27" s="31" t="str">
        <f>VLOOKUP(продажи!$B27,товар!$A$1:$C$433,2)</f>
        <v>Чай</v>
      </c>
      <c r="J27" s="31" t="str">
        <f>VLOOKUP(B27,товар!$A$1:$C$433,3)</f>
        <v>Greenfield</v>
      </c>
      <c r="K27" s="39">
        <f>AVERAGEIF(продажи!$I$2:$I$1001,продажи!$I$2:$I$1001,продажи!$C$2:$C$1001)</f>
        <v>271.18181818181819</v>
      </c>
      <c r="L27" s="40">
        <f>продажи!$C27/продажи!$K27-1</f>
        <v>0.15051961112973511</v>
      </c>
      <c r="M27" s="33">
        <f t="shared" si="0"/>
        <v>6412</v>
      </c>
      <c r="N27" s="24">
        <f>Таблица1[[#This Row],[цена за шт в рублях]]/Таблица1[[#This Row],[средняя стоимость в категории по поставщику.]]-1</f>
        <v>-0.95134123518402991</v>
      </c>
      <c r="O27" s="26">
        <f>VLOOKUP(Таблица1[[#This Row],[id клиента]],клиенты!$A$2:$E$435,5,0)</f>
        <v>44784</v>
      </c>
      <c r="P27">
        <f>Таблица1[[#This Row],[дата создания чека]]-Таблица1[[#This Row],[Дата регистрации клента]]</f>
        <v>390</v>
      </c>
      <c r="Q27" s="26">
        <f t="shared" ca="1" si="1"/>
        <v>46059</v>
      </c>
      <c r="R27" s="51">
        <f ca="1">(TODAY()-Таблица1[[#This Row],[Дата регистрации клента]])/30</f>
        <v>42.5</v>
      </c>
      <c r="S27" s="63" t="str">
        <f>VLOOKUP(Таблица1[[#This Row],[id клиента]],Таблица8[[id клиента]:[Страна]],7,0)</f>
        <v>Украина</v>
      </c>
      <c r="T27" s="26"/>
    </row>
    <row r="28" spans="1:20" ht="19.5" x14ac:dyDescent="0.4">
      <c r="A28" s="41">
        <v>27</v>
      </c>
      <c r="B28" s="42">
        <v>415</v>
      </c>
      <c r="C28" s="42">
        <v>311</v>
      </c>
      <c r="D28" s="42">
        <v>5</v>
      </c>
      <c r="E28" s="42">
        <v>1555</v>
      </c>
      <c r="F28" s="43">
        <v>45099</v>
      </c>
      <c r="G28" s="42" t="s">
        <v>19</v>
      </c>
      <c r="H28" s="42">
        <v>24</v>
      </c>
      <c r="I28" s="42" t="str">
        <f>VLOOKUP(продажи!$B28,товар!$A$1:$C$433,2)</f>
        <v>Чипсы</v>
      </c>
      <c r="J28" s="42" t="str">
        <f>VLOOKUP(B28,товар!$A$1:$C$433,3)</f>
        <v>Pringles</v>
      </c>
      <c r="K28" s="44">
        <f>AVERAGEIF(продажи!$I$2:$I$1001,продажи!$I$2:$I$1001,продажи!$C$2:$C$1001)</f>
        <v>273.72549019607845</v>
      </c>
      <c r="L28" s="45">
        <f>продажи!$C28/продажи!$K28-1</f>
        <v>0.13617478510028636</v>
      </c>
      <c r="M28" s="33">
        <f t="shared" si="0"/>
        <v>5885</v>
      </c>
      <c r="N28" s="24">
        <f>Таблица1[[#This Row],[цена за шт в рублях]]/Таблица1[[#This Row],[средняя стоимость в категории по поставщику.]]-1</f>
        <v>-0.94715378079864065</v>
      </c>
      <c r="O28" s="26">
        <f>VLOOKUP(Таблица1[[#This Row],[id клиента]],клиенты!$A$2:$E$435,5,0)</f>
        <v>44609</v>
      </c>
      <c r="P28">
        <f>Таблица1[[#This Row],[дата создания чека]]-Таблица1[[#This Row],[Дата регистрации клента]]</f>
        <v>490</v>
      </c>
      <c r="Q28" s="26">
        <f t="shared" ca="1" si="1"/>
        <v>46059</v>
      </c>
      <c r="R28" s="51">
        <f ca="1">(TODAY()-Таблица1[[#This Row],[Дата регистрации клента]])/30</f>
        <v>48.333333333333336</v>
      </c>
      <c r="S28" s="63" t="str">
        <f>VLOOKUP(Таблица1[[#This Row],[id клиента]],Таблица8[[id клиента]:[Страна]],7,0)</f>
        <v>Узбекистан</v>
      </c>
      <c r="T28" s="26"/>
    </row>
    <row r="29" spans="1:20" ht="19.5" x14ac:dyDescent="0.4">
      <c r="A29" s="37">
        <v>28</v>
      </c>
      <c r="B29" s="31">
        <v>176</v>
      </c>
      <c r="C29" s="31">
        <v>220</v>
      </c>
      <c r="D29" s="31">
        <v>1</v>
      </c>
      <c r="E29" s="31">
        <v>220</v>
      </c>
      <c r="F29" s="38">
        <v>45368</v>
      </c>
      <c r="G29" s="31" t="s">
        <v>8</v>
      </c>
      <c r="H29" s="31">
        <v>112</v>
      </c>
      <c r="I29" s="31" t="str">
        <f>VLOOKUP(продажи!$B29,товар!$A$1:$C$433,2)</f>
        <v>Сахар</v>
      </c>
      <c r="J29" s="31" t="str">
        <f>VLOOKUP(B29,товар!$A$1:$C$433,3)</f>
        <v>Продимекс</v>
      </c>
      <c r="K29" s="39">
        <f>AVERAGEIF(продажи!$I$2:$I$1001,продажи!$I$2:$I$1001,продажи!$C$2:$C$1001)</f>
        <v>254.58333333333334</v>
      </c>
      <c r="L29" s="40">
        <f>продажи!$C29/продажи!$K29-1</f>
        <v>-0.13584288052373161</v>
      </c>
      <c r="M29" s="33">
        <f t="shared" si="0"/>
        <v>5172</v>
      </c>
      <c r="N29" s="24">
        <f>Таблица1[[#This Row],[цена за шт в рублях]]/Таблица1[[#This Row],[средняя стоимость в категории по поставщику.]]-1</f>
        <v>-0.95746326372776491</v>
      </c>
      <c r="O29" s="26">
        <f>VLOOKUP(Таблица1[[#This Row],[id клиента]],клиенты!$A$2:$E$435,5,0)</f>
        <v>44652</v>
      </c>
      <c r="P29">
        <f>Таблица1[[#This Row],[дата создания чека]]-Таблица1[[#This Row],[Дата регистрации клента]]</f>
        <v>716</v>
      </c>
      <c r="Q29" s="26">
        <f t="shared" ca="1" si="1"/>
        <v>46059</v>
      </c>
      <c r="R29" s="51">
        <f ca="1">(TODAY()-Таблица1[[#This Row],[Дата регистрации клента]])/30</f>
        <v>46.9</v>
      </c>
      <c r="S29" s="63" t="str">
        <f>VLOOKUP(Таблица1[[#This Row],[id клиента]],Таблица8[[id клиента]:[Страна]],7,0)</f>
        <v>Россия</v>
      </c>
      <c r="T29" s="26"/>
    </row>
    <row r="30" spans="1:20" ht="19.5" x14ac:dyDescent="0.4">
      <c r="A30" s="41">
        <v>845</v>
      </c>
      <c r="B30" s="42">
        <v>474</v>
      </c>
      <c r="C30" s="42">
        <v>405</v>
      </c>
      <c r="D30" s="42">
        <v>2</v>
      </c>
      <c r="E30" s="42">
        <v>810</v>
      </c>
      <c r="F30" s="58">
        <v>45390</v>
      </c>
      <c r="G30" s="42" t="s">
        <v>16</v>
      </c>
      <c r="H30" s="56">
        <v>18</v>
      </c>
      <c r="I30" s="42" t="str">
        <f>VLOOKUP(продажи!$B846,товар!$A$1:$C$433,2)</f>
        <v>Молоко</v>
      </c>
      <c r="J30" s="42" t="str">
        <f>VLOOKUP(B30,товар!$A$1:$C$433,3)</f>
        <v>Простоквашино</v>
      </c>
      <c r="K30" s="44">
        <f>AVERAGEIF(продажи!$I$2:$I$1001,продажи!$I$2:$I$1001,продажи!$C$2:$C$1001)</f>
        <v>294.95238095238096</v>
      </c>
      <c r="L30" s="45">
        <f>продажи!$C846/продажи!$K846-1</f>
        <v>0.48837584759444619</v>
      </c>
      <c r="M30" s="53">
        <f t="shared" si="0"/>
        <v>3507</v>
      </c>
      <c r="N30" s="24">
        <f>Таблица1[[#This Row],[цена за шт в рублях]]/Таблица1[[#This Row],[средняя стоимость в категории по поставщику.]]-1</f>
        <v>-0.88451668092386659</v>
      </c>
      <c r="O30" s="26">
        <f>VLOOKUP(Таблица1[[#This Row],[id клиента]],клиенты!$A$2:$E$435,5,0)</f>
        <v>44578</v>
      </c>
      <c r="P30">
        <f>Таблица1[[#This Row],[дата создания чека]]-Таблица1[[#This Row],[Дата регистрации клента]]</f>
        <v>812</v>
      </c>
      <c r="Q30" s="26">
        <f t="shared" ca="1" si="1"/>
        <v>46059</v>
      </c>
      <c r="R30" s="51">
        <f ca="1">(TODAY()-Таблица1[[#This Row],[Дата регистрации клента]])/30</f>
        <v>49.366666666666667</v>
      </c>
      <c r="S30" s="63" t="str">
        <f>VLOOKUP(Таблица1[[#This Row],[id клиента]],Таблица8[[id клиента]:[Страна]],7,0)</f>
        <v>Украина</v>
      </c>
      <c r="T30" s="26"/>
    </row>
    <row r="31" spans="1:20" ht="19.5" x14ac:dyDescent="0.4">
      <c r="A31" s="37">
        <v>30</v>
      </c>
      <c r="B31" s="31">
        <v>399</v>
      </c>
      <c r="C31" s="31">
        <v>190</v>
      </c>
      <c r="D31" s="31">
        <v>1</v>
      </c>
      <c r="E31" s="31">
        <v>190</v>
      </c>
      <c r="F31" s="38">
        <v>45414</v>
      </c>
      <c r="G31" s="31" t="s">
        <v>10</v>
      </c>
      <c r="H31" s="31">
        <v>131</v>
      </c>
      <c r="I31" s="31" t="str">
        <f>VLOOKUP(продажи!$B31,товар!$A$1:$C$433,2)</f>
        <v>Хлеб</v>
      </c>
      <c r="J31" s="31" t="str">
        <f>VLOOKUP(B31,товар!$A$1:$C$433,3)</f>
        <v>Хлебный Дом</v>
      </c>
      <c r="K31" s="39">
        <f>AVERAGEIF(продажи!$I$2:$I$1001,продажи!$I$2:$I$1001,продажи!$C$2:$C$1001)</f>
        <v>300.31818181818181</v>
      </c>
      <c r="L31" s="40">
        <f>продажи!$C31/продажи!$K31-1</f>
        <v>-0.36733767216588464</v>
      </c>
      <c r="M31" s="33">
        <f t="shared" si="0"/>
        <v>4226</v>
      </c>
      <c r="N31" s="24">
        <f>Таблица1[[#This Row],[цена за шт в рублях]]/Таблица1[[#This Row],[средняя стоимость в категории по поставщику.]]-1</f>
        <v>-0.95504022716516801</v>
      </c>
      <c r="O31" s="26">
        <f>VLOOKUP(Таблица1[[#This Row],[id клиента]],клиенты!$A$2:$E$435,5,0)</f>
        <v>44693</v>
      </c>
      <c r="P31">
        <f>Таблица1[[#This Row],[дата создания чека]]-Таблица1[[#This Row],[Дата регистрации клента]]</f>
        <v>721</v>
      </c>
      <c r="Q31" s="26">
        <f t="shared" ca="1" si="1"/>
        <v>46059</v>
      </c>
      <c r="R31" s="51">
        <f ca="1">(TODAY()-Таблица1[[#This Row],[Дата регистрации клента]])/30</f>
        <v>45.533333333333331</v>
      </c>
      <c r="S31" s="63" t="str">
        <f>VLOOKUP(Таблица1[[#This Row],[id клиента]],Таблица8[[id клиента]:[Страна]],7,0)</f>
        <v>Россия</v>
      </c>
      <c r="T31" s="26"/>
    </row>
    <row r="32" spans="1:20" ht="19.5" x14ac:dyDescent="0.4">
      <c r="A32" s="41">
        <v>31</v>
      </c>
      <c r="B32" s="42">
        <v>382</v>
      </c>
      <c r="C32" s="42">
        <v>198</v>
      </c>
      <c r="D32" s="42">
        <v>5</v>
      </c>
      <c r="E32" s="42">
        <v>990</v>
      </c>
      <c r="F32" s="43">
        <v>45125</v>
      </c>
      <c r="G32" s="42" t="s">
        <v>20</v>
      </c>
      <c r="H32" s="42">
        <v>160</v>
      </c>
      <c r="I32" s="42" t="str">
        <f>VLOOKUP(продажи!$B32,товар!$A$1:$C$433,2)</f>
        <v>Овощи</v>
      </c>
      <c r="J32" s="42" t="str">
        <f>VLOOKUP(B32,товар!$A$1:$C$433,3)</f>
        <v>Овощной ряд</v>
      </c>
      <c r="K32" s="44">
        <f>AVERAGEIF(продажи!$I$2:$I$1001,продажи!$I$2:$I$1001,продажи!$C$2:$C$1001)</f>
        <v>250.48780487804879</v>
      </c>
      <c r="L32" s="45">
        <f>продажи!$C32/продажи!$K32-1</f>
        <v>-0.2095423563777995</v>
      </c>
      <c r="M32" s="33">
        <f t="shared" si="0"/>
        <v>5165</v>
      </c>
      <c r="N32" s="24">
        <f>Таблица1[[#This Row],[цена за шт в рублях]]/Таблица1[[#This Row],[средняя стоимость в категории по поставщику.]]-1</f>
        <v>-0.96166505324298157</v>
      </c>
      <c r="O32" s="26">
        <f>VLOOKUP(Таблица1[[#This Row],[id клиента]],клиенты!$A$2:$E$435,5,0)</f>
        <v>44649</v>
      </c>
      <c r="P32">
        <f>Таблица1[[#This Row],[дата создания чека]]-Таблица1[[#This Row],[Дата регистрации клента]]</f>
        <v>476</v>
      </c>
      <c r="Q32" s="26">
        <f t="shared" ca="1" si="1"/>
        <v>46059</v>
      </c>
      <c r="R32" s="51">
        <f ca="1">(TODAY()-Таблица1[[#This Row],[Дата регистрации клента]])/30</f>
        <v>47</v>
      </c>
      <c r="S32" s="63" t="str">
        <f>VLOOKUP(Таблица1[[#This Row],[id клиента]],Таблица8[[id клиента]:[Страна]],7,0)</f>
        <v>Узбекистан</v>
      </c>
      <c r="T32" s="26"/>
    </row>
    <row r="33" spans="1:20" ht="19.5" x14ac:dyDescent="0.4">
      <c r="A33" s="37">
        <v>32</v>
      </c>
      <c r="B33" s="31">
        <v>103</v>
      </c>
      <c r="C33" s="31">
        <v>254</v>
      </c>
      <c r="D33" s="31">
        <v>3</v>
      </c>
      <c r="E33" s="31">
        <v>762</v>
      </c>
      <c r="F33" s="38">
        <v>45352</v>
      </c>
      <c r="G33" s="31" t="s">
        <v>21</v>
      </c>
      <c r="H33" s="31">
        <v>408</v>
      </c>
      <c r="I33" s="31" t="str">
        <f>VLOOKUP(продажи!$B33,товар!$A$1:$C$433,2)</f>
        <v>Рыба</v>
      </c>
      <c r="J33" s="31" t="str">
        <f>VLOOKUP(B33,товар!$A$1:$C$433,3)</f>
        <v>Санта Бремор</v>
      </c>
      <c r="K33" s="39">
        <f>AVERAGEIF(продажи!$I$2:$I$1001,продажи!$I$2:$I$1001,продажи!$C$2:$C$1001)</f>
        <v>258.5128205128205</v>
      </c>
      <c r="L33" s="40">
        <f>продажи!$C33/продажи!$K33-1</f>
        <v>-1.7456853798849425E-2</v>
      </c>
      <c r="M33" s="33">
        <f t="shared" si="0"/>
        <v>2164</v>
      </c>
      <c r="N33" s="24">
        <f>Таблица1[[#This Row],[цена за шт в рублях]]/Таблица1[[#This Row],[средняя стоимость в категории по поставщику.]]-1</f>
        <v>-0.88262476894639552</v>
      </c>
      <c r="O33" s="26">
        <f>VLOOKUP(Таблица1[[#This Row],[id клиента]],клиенты!$A$2:$E$435,5,0)</f>
        <v>44857</v>
      </c>
      <c r="P33">
        <f>Таблица1[[#This Row],[дата создания чека]]-Таблица1[[#This Row],[Дата регистрации клента]]</f>
        <v>495</v>
      </c>
      <c r="Q33" s="26">
        <f t="shared" ca="1" si="1"/>
        <v>46059</v>
      </c>
      <c r="R33" s="51">
        <f ca="1">(TODAY()-Таблица1[[#This Row],[Дата регистрации клента]])/30</f>
        <v>40.06666666666667</v>
      </c>
      <c r="S33" s="63" t="str">
        <f>VLOOKUP(Таблица1[[#This Row],[id клиента]],Таблица8[[id клиента]:[Страна]],7,0)</f>
        <v>Россия</v>
      </c>
      <c r="T33" s="26"/>
    </row>
    <row r="34" spans="1:20" ht="19.5" x14ac:dyDescent="0.4">
      <c r="A34" s="41">
        <v>33</v>
      </c>
      <c r="B34" s="42">
        <v>104</v>
      </c>
      <c r="C34" s="42">
        <v>351</v>
      </c>
      <c r="D34" s="42">
        <v>1</v>
      </c>
      <c r="E34" s="42">
        <v>351</v>
      </c>
      <c r="F34" s="43">
        <v>44997</v>
      </c>
      <c r="G34" s="42" t="s">
        <v>20</v>
      </c>
      <c r="H34" s="42">
        <v>324</v>
      </c>
      <c r="I34" s="42" t="str">
        <f>VLOOKUP(продажи!$B34,товар!$A$1:$C$433,2)</f>
        <v>Йогурт</v>
      </c>
      <c r="J34" s="42" t="str">
        <f>VLOOKUP(B34,товар!$A$1:$C$433,3)</f>
        <v>Ростагроэкспорт</v>
      </c>
      <c r="K34" s="44">
        <f>AVERAGEIF(продажи!$I$2:$I$1001,продажи!$I$2:$I$1001,продажи!$C$2:$C$1001)</f>
        <v>263.25423728813558</v>
      </c>
      <c r="L34" s="45">
        <f>продажи!$C34/продажи!$K34-1</f>
        <v>0.33331187226371362</v>
      </c>
      <c r="M34" s="33">
        <f t="shared" si="0"/>
        <v>5929</v>
      </c>
      <c r="N34" s="24">
        <f>Таблица1[[#This Row],[цена за шт в рублях]]/Таблица1[[#This Row],[средняя стоимость в категории по поставщику.]]-1</f>
        <v>-0.94079946027997974</v>
      </c>
      <c r="O34" s="26">
        <f>VLOOKUP(Таблица1[[#This Row],[id клиента]],клиенты!$A$2:$E$435,5,0)</f>
        <v>44761</v>
      </c>
      <c r="P34">
        <f>Таблица1[[#This Row],[дата создания чека]]-Таблица1[[#This Row],[Дата регистрации клента]]</f>
        <v>236</v>
      </c>
      <c r="Q34" s="26">
        <f t="shared" ca="1" si="1"/>
        <v>46059</v>
      </c>
      <c r="R34" s="51">
        <f ca="1">(TODAY()-Таблица1[[#This Row],[Дата регистрации клента]])/30</f>
        <v>43.266666666666666</v>
      </c>
      <c r="S34" s="63" t="str">
        <f>VLOOKUP(Таблица1[[#This Row],[id клиента]],Таблица8[[id клиента]:[Страна]],7,0)</f>
        <v>Узбекистан</v>
      </c>
      <c r="T34" s="26"/>
    </row>
    <row r="35" spans="1:20" ht="19.5" x14ac:dyDescent="0.4">
      <c r="A35" s="37">
        <v>34</v>
      </c>
      <c r="B35" s="31">
        <v>213</v>
      </c>
      <c r="C35" s="31">
        <v>387</v>
      </c>
      <c r="D35" s="31">
        <v>1</v>
      </c>
      <c r="E35" s="31">
        <v>387</v>
      </c>
      <c r="F35" s="38">
        <v>45267</v>
      </c>
      <c r="G35" s="31" t="s">
        <v>13</v>
      </c>
      <c r="H35" s="31">
        <v>310</v>
      </c>
      <c r="I35" s="31" t="str">
        <f>VLOOKUP(продажи!$B35,товар!$A$1:$C$433,2)</f>
        <v>Сахар</v>
      </c>
      <c r="J35" s="31" t="str">
        <f>VLOOKUP(B35,товар!$A$1:$C$433,3)</f>
        <v>Продимекс</v>
      </c>
      <c r="K35" s="39">
        <f>AVERAGEIF(продажи!$I$2:$I$1001,продажи!$I$2:$I$1001,продажи!$C$2:$C$1001)</f>
        <v>254.58333333333334</v>
      </c>
      <c r="L35" s="40">
        <f>продажи!$C35/продажи!$K35-1</f>
        <v>0.52013093289689039</v>
      </c>
      <c r="M35" s="33">
        <f t="shared" si="0"/>
        <v>5172</v>
      </c>
      <c r="N35" s="24">
        <f>Таблица1[[#This Row],[цена за шт в рублях]]/Таблица1[[#This Row],[средняя стоимость в категории по поставщику.]]-1</f>
        <v>-0.92517401392111365</v>
      </c>
      <c r="O35" s="26">
        <f>VLOOKUP(Таблица1[[#This Row],[id клиента]],клиенты!$A$2:$E$435,5,0)</f>
        <v>44807</v>
      </c>
      <c r="P35">
        <f>Таблица1[[#This Row],[дата создания чека]]-Таблица1[[#This Row],[Дата регистрации клента]]</f>
        <v>460</v>
      </c>
      <c r="Q35" s="26">
        <f t="shared" ca="1" si="1"/>
        <v>46059</v>
      </c>
      <c r="R35" s="51">
        <f ca="1">(TODAY()-Таблица1[[#This Row],[Дата регистрации клента]])/30</f>
        <v>41.733333333333334</v>
      </c>
      <c r="S35" s="63" t="str">
        <f>VLOOKUP(Таблица1[[#This Row],[id клиента]],Таблица8[[id клиента]:[Страна]],7,0)</f>
        <v>Таджикистан</v>
      </c>
      <c r="T35" s="26"/>
    </row>
    <row r="36" spans="1:20" ht="19.5" x14ac:dyDescent="0.4">
      <c r="A36" s="41">
        <v>35</v>
      </c>
      <c r="B36" s="42">
        <v>157</v>
      </c>
      <c r="C36" s="42">
        <v>55</v>
      </c>
      <c r="D36" s="42">
        <v>2</v>
      </c>
      <c r="E36" s="42">
        <v>110</v>
      </c>
      <c r="F36" s="43">
        <v>45381</v>
      </c>
      <c r="G36" s="42" t="s">
        <v>10</v>
      </c>
      <c r="H36" s="42">
        <v>179</v>
      </c>
      <c r="I36" s="42" t="str">
        <f>VLOOKUP(продажи!$B36,товар!$A$1:$C$433,2)</f>
        <v>Сыр</v>
      </c>
      <c r="J36" s="42" t="str">
        <f>VLOOKUP(B36,товар!$A$1:$C$433,3)</f>
        <v>President</v>
      </c>
      <c r="K36" s="44">
        <f>AVERAGEIF(продажи!$I$2:$I$1001,продажи!$I$2:$I$1001,продажи!$C$2:$C$1001)</f>
        <v>261.03225806451616</v>
      </c>
      <c r="L36" s="45">
        <f>продажи!$C36/продажи!$K36-1</f>
        <v>-0.78929807217004455</v>
      </c>
      <c r="M36" s="33">
        <f t="shared" si="0"/>
        <v>3935</v>
      </c>
      <c r="N36" s="24">
        <f>Таблица1[[#This Row],[цена за шт в рублях]]/Таблица1[[#This Row],[средняя стоимость в категории по поставщику.]]-1</f>
        <v>-0.98602287166454894</v>
      </c>
      <c r="O36" s="26">
        <f>VLOOKUP(Таблица1[[#This Row],[id клиента]],клиенты!$A$2:$E$435,5,0)</f>
        <v>44833</v>
      </c>
      <c r="P36">
        <f>Таблица1[[#This Row],[дата создания чека]]-Таблица1[[#This Row],[Дата регистрации клента]]</f>
        <v>548</v>
      </c>
      <c r="Q36" s="26">
        <f t="shared" ca="1" si="1"/>
        <v>46059</v>
      </c>
      <c r="R36" s="51">
        <f ca="1">(TODAY()-Таблица1[[#This Row],[Дата регистрации клента]])/30</f>
        <v>40.866666666666667</v>
      </c>
      <c r="S36" s="63" t="str">
        <f>VLOOKUP(Таблица1[[#This Row],[id клиента]],Таблица8[[id клиента]:[Страна]],7,0)</f>
        <v>Россия</v>
      </c>
      <c r="T36" s="26"/>
    </row>
    <row r="37" spans="1:20" ht="19.5" x14ac:dyDescent="0.4">
      <c r="A37" s="37">
        <v>36</v>
      </c>
      <c r="B37" s="31">
        <v>237</v>
      </c>
      <c r="C37" s="31">
        <v>336</v>
      </c>
      <c r="D37" s="31">
        <v>1</v>
      </c>
      <c r="E37" s="31">
        <v>336</v>
      </c>
      <c r="F37" s="38">
        <v>44971</v>
      </c>
      <c r="G37" s="31" t="s">
        <v>17</v>
      </c>
      <c r="H37" s="31">
        <v>64</v>
      </c>
      <c r="I37" s="31" t="str">
        <f>VLOOKUP(продажи!$B37,товар!$A$1:$C$433,2)</f>
        <v>Конфеты</v>
      </c>
      <c r="J37" s="31" t="str">
        <f>VLOOKUP(B37,товар!$A$1:$C$433,3)</f>
        <v>Рот Фронт</v>
      </c>
      <c r="K37" s="39">
        <f>AVERAGEIF(продажи!$I$2:$I$1001,продажи!$I$2:$I$1001,продажи!$C$2:$C$1001)</f>
        <v>267.85483870967744</v>
      </c>
      <c r="L37" s="40">
        <f>продажи!$C37/продажи!$K37-1</f>
        <v>0.25441079063045691</v>
      </c>
      <c r="M37" s="33">
        <f t="shared" si="0"/>
        <v>6053</v>
      </c>
      <c r="N37" s="24">
        <f>Таблица1[[#This Row],[цена за шт в рублях]]/Таблица1[[#This Row],[средняя стоимость в категории по поставщику.]]-1</f>
        <v>-0.94449033537089044</v>
      </c>
      <c r="O37" s="26">
        <f>VLOOKUP(Таблица1[[#This Row],[id клиента]],клиенты!$A$2:$E$435,5,0)</f>
        <v>44707</v>
      </c>
      <c r="P37">
        <f>Таблица1[[#This Row],[дата создания чека]]-Таблица1[[#This Row],[Дата регистрации клента]]</f>
        <v>264</v>
      </c>
      <c r="Q37" s="26">
        <f t="shared" ca="1" si="1"/>
        <v>46059</v>
      </c>
      <c r="R37" s="51">
        <f ca="1">(TODAY()-Таблица1[[#This Row],[Дата регистрации клента]])/30</f>
        <v>45.06666666666667</v>
      </c>
      <c r="S37" s="63" t="str">
        <f>VLOOKUP(Таблица1[[#This Row],[id клиента]],Таблица8[[id клиента]:[Страна]],7,0)</f>
        <v>Узбекистан</v>
      </c>
      <c r="T37" s="26"/>
    </row>
    <row r="38" spans="1:20" ht="19.5" x14ac:dyDescent="0.4">
      <c r="A38" s="41">
        <v>37</v>
      </c>
      <c r="B38" s="42">
        <v>8</v>
      </c>
      <c r="C38" s="42">
        <v>480</v>
      </c>
      <c r="D38" s="42">
        <v>4</v>
      </c>
      <c r="E38" s="42">
        <v>1920</v>
      </c>
      <c r="F38" s="43">
        <v>44947</v>
      </c>
      <c r="G38" s="42" t="s">
        <v>22</v>
      </c>
      <c r="H38" s="42">
        <v>318</v>
      </c>
      <c r="I38" s="42" t="str">
        <f>VLOOKUP(продажи!$B38,товар!$A$1:$C$433,2)</f>
        <v>Макароны</v>
      </c>
      <c r="J38" s="42" t="str">
        <f>VLOOKUP(B38,товар!$A$1:$C$433,3)</f>
        <v>Паста Зара</v>
      </c>
      <c r="K38" s="44">
        <f>AVERAGEIF(продажи!$I$2:$I$1001,продажи!$I$2:$I$1001,продажи!$C$2:$C$1001)</f>
        <v>265.47674418604652</v>
      </c>
      <c r="L38" s="45">
        <f>продажи!$C38/продажи!$K38-1</f>
        <v>0.80806797774955097</v>
      </c>
      <c r="M38" s="33">
        <f t="shared" si="0"/>
        <v>10237</v>
      </c>
      <c r="N38" s="24">
        <f>Таблица1[[#This Row],[цена за шт в рублях]]/Таблица1[[#This Row],[средняя стоимость в категории по поставщику.]]-1</f>
        <v>-0.95311126306535121</v>
      </c>
      <c r="O38" s="26">
        <f>VLOOKUP(Таблица1[[#This Row],[id клиента]],клиенты!$A$2:$E$435,5,0)</f>
        <v>44892</v>
      </c>
      <c r="P38">
        <f>Таблица1[[#This Row],[дата создания чека]]-Таблица1[[#This Row],[Дата регистрации клента]]</f>
        <v>55</v>
      </c>
      <c r="Q38" s="26">
        <f t="shared" ca="1" si="1"/>
        <v>46059</v>
      </c>
      <c r="R38" s="51">
        <f ca="1">(TODAY()-Таблица1[[#This Row],[Дата регистрации клента]])/30</f>
        <v>38.9</v>
      </c>
      <c r="S38" s="63" t="str">
        <f>VLOOKUP(Таблица1[[#This Row],[id клиента]],Таблица8[[id клиента]:[Страна]],7,0)</f>
        <v>Узбекистан</v>
      </c>
      <c r="T38" s="26"/>
    </row>
    <row r="39" spans="1:20" ht="19.5" x14ac:dyDescent="0.4">
      <c r="A39" s="37">
        <v>38</v>
      </c>
      <c r="B39" s="31">
        <v>65</v>
      </c>
      <c r="C39" s="31">
        <v>214</v>
      </c>
      <c r="D39" s="31">
        <v>3</v>
      </c>
      <c r="E39" s="31">
        <v>642</v>
      </c>
      <c r="F39" s="38">
        <v>45129</v>
      </c>
      <c r="G39" s="31" t="s">
        <v>8</v>
      </c>
      <c r="H39" s="31">
        <v>239</v>
      </c>
      <c r="I39" s="31" t="str">
        <f>VLOOKUP(продажи!$B39,товар!$A$1:$C$433,2)</f>
        <v>Хлеб</v>
      </c>
      <c r="J39" s="31" t="str">
        <f>VLOOKUP(B39,товар!$A$1:$C$433,3)</f>
        <v>Хлебный Дом</v>
      </c>
      <c r="K39" s="39">
        <f>AVERAGEIF(продажи!$I$2:$I$1001,продажи!$I$2:$I$1001,продажи!$C$2:$C$1001)</f>
        <v>300.31818181818181</v>
      </c>
      <c r="L39" s="40">
        <f>продажи!$C39/продажи!$K39-1</f>
        <v>-0.28742243075525953</v>
      </c>
      <c r="M39" s="33">
        <f t="shared" si="0"/>
        <v>4226</v>
      </c>
      <c r="N39" s="24">
        <f>Таблица1[[#This Row],[цена за шт в рублях]]/Таблица1[[#This Row],[средняя стоимость в категории по поставщику.]]-1</f>
        <v>-0.9493610979649787</v>
      </c>
      <c r="O39" s="26">
        <f>VLOOKUP(Таблица1[[#This Row],[id клиента]],клиенты!$A$2:$E$435,5,0)</f>
        <v>44767</v>
      </c>
      <c r="P39">
        <f>Таблица1[[#This Row],[дата создания чека]]-Таблица1[[#This Row],[Дата регистрации клента]]</f>
        <v>362</v>
      </c>
      <c r="Q39" s="26">
        <f t="shared" ca="1" si="1"/>
        <v>46059</v>
      </c>
      <c r="R39" s="51">
        <f ca="1">(TODAY()-Таблица1[[#This Row],[Дата регистрации клента]])/30</f>
        <v>43.06666666666667</v>
      </c>
      <c r="S39" s="63" t="str">
        <f>VLOOKUP(Таблица1[[#This Row],[id клиента]],Таблица8[[id клиента]:[Страна]],7,0)</f>
        <v>Узбекистан</v>
      </c>
      <c r="T39" s="26"/>
    </row>
    <row r="40" spans="1:20" ht="19.5" x14ac:dyDescent="0.4">
      <c r="A40" s="41">
        <v>39</v>
      </c>
      <c r="B40" s="42">
        <v>45</v>
      </c>
      <c r="C40" s="42">
        <v>60</v>
      </c>
      <c r="D40" s="42">
        <v>2</v>
      </c>
      <c r="E40" s="42">
        <v>120</v>
      </c>
      <c r="F40" s="43">
        <v>45406</v>
      </c>
      <c r="G40" s="42" t="s">
        <v>23</v>
      </c>
      <c r="H40" s="42">
        <v>194</v>
      </c>
      <c r="I40" s="42" t="str">
        <f>VLOOKUP(продажи!$B40,товар!$A$1:$C$433,2)</f>
        <v>Сок</v>
      </c>
      <c r="J40" s="42" t="str">
        <f>VLOOKUP(B40,товар!$A$1:$C$433,3)</f>
        <v>Добрый</v>
      </c>
      <c r="K40" s="44">
        <f>AVERAGEIF(продажи!$I$2:$I$1001,продажи!$I$2:$I$1001,продажи!$C$2:$C$1001)</f>
        <v>268.60344827586209</v>
      </c>
      <c r="L40" s="45">
        <f>продажи!$C40/продажи!$K40-1</f>
        <v>-0.77662237627575581</v>
      </c>
      <c r="M40" s="33">
        <f t="shared" si="0"/>
        <v>2671</v>
      </c>
      <c r="N40" s="24">
        <f>Таблица1[[#This Row],[цена за шт в рублях]]/Таблица1[[#This Row],[средняя стоимость в категории по поставщику.]]-1</f>
        <v>-0.97753650318232876</v>
      </c>
      <c r="O40" s="26">
        <f>VLOOKUP(Таблица1[[#This Row],[id клиента]],клиенты!$A$2:$E$435,5,0)</f>
        <v>44924</v>
      </c>
      <c r="P40">
        <f>Таблица1[[#This Row],[дата создания чека]]-Таблица1[[#This Row],[Дата регистрации клента]]</f>
        <v>482</v>
      </c>
      <c r="Q40" s="26">
        <f t="shared" ca="1" si="1"/>
        <v>46059</v>
      </c>
      <c r="R40" s="51">
        <f ca="1">(TODAY()-Таблица1[[#This Row],[Дата регистрации клента]])/30</f>
        <v>37.833333333333336</v>
      </c>
      <c r="S40" s="63" t="str">
        <f>VLOOKUP(Таблица1[[#This Row],[id клиента]],Таблица8[[id клиента]:[Страна]],7,0)</f>
        <v>Россия</v>
      </c>
      <c r="T40" s="26"/>
    </row>
    <row r="41" spans="1:20" ht="19.5" x14ac:dyDescent="0.4">
      <c r="A41" s="37">
        <v>40</v>
      </c>
      <c r="B41" s="31">
        <v>36</v>
      </c>
      <c r="C41" s="31">
        <v>414</v>
      </c>
      <c r="D41" s="31">
        <v>3</v>
      </c>
      <c r="E41" s="31">
        <v>1242</v>
      </c>
      <c r="F41" s="38">
        <v>45117</v>
      </c>
      <c r="G41" s="31" t="s">
        <v>14</v>
      </c>
      <c r="H41" s="31">
        <v>267</v>
      </c>
      <c r="I41" s="31" t="str">
        <f>VLOOKUP(продажи!$B41,товар!$A$1:$C$433,2)</f>
        <v>Макароны</v>
      </c>
      <c r="J41" s="31" t="str">
        <f>VLOOKUP(B41,товар!$A$1:$C$433,3)</f>
        <v>Роллтон</v>
      </c>
      <c r="K41" s="39">
        <f>AVERAGEIF(продажи!$I$2:$I$1001,продажи!$I$2:$I$1001,продажи!$C$2:$C$1001)</f>
        <v>265.47674418604652</v>
      </c>
      <c r="L41" s="40">
        <f>продажи!$C41/продажи!$K41-1</f>
        <v>0.55945863080898772</v>
      </c>
      <c r="M41" s="33">
        <f t="shared" si="0"/>
        <v>2120</v>
      </c>
      <c r="N41" s="24">
        <f>Таблица1[[#This Row],[цена за шт в рублях]]/Таблица1[[#This Row],[средняя стоимость в категории по поставщику.]]-1</f>
        <v>-0.80471698113207546</v>
      </c>
      <c r="O41" s="26">
        <f>VLOOKUP(Таблица1[[#This Row],[id клиента]],клиенты!$A$2:$E$435,5,0)</f>
        <v>44910</v>
      </c>
      <c r="P41">
        <f>Таблица1[[#This Row],[дата создания чека]]-Таблица1[[#This Row],[Дата регистрации клента]]</f>
        <v>207</v>
      </c>
      <c r="Q41" s="26">
        <f t="shared" ca="1" si="1"/>
        <v>46059</v>
      </c>
      <c r="R41" s="51">
        <f ca="1">(TODAY()-Таблица1[[#This Row],[Дата регистрации клента]])/30</f>
        <v>38.299999999999997</v>
      </c>
      <c r="S41" s="63" t="str">
        <f>VLOOKUP(Таблица1[[#This Row],[id клиента]],Таблица8[[id клиента]:[Страна]],7,0)</f>
        <v>Россия</v>
      </c>
      <c r="T41" s="26"/>
    </row>
    <row r="42" spans="1:20" ht="19.5" x14ac:dyDescent="0.4">
      <c r="A42" s="41">
        <v>41</v>
      </c>
      <c r="B42" s="42">
        <v>443</v>
      </c>
      <c r="C42" s="42">
        <v>62</v>
      </c>
      <c r="D42" s="42">
        <v>3</v>
      </c>
      <c r="E42" s="42">
        <v>186</v>
      </c>
      <c r="F42" s="43">
        <v>45194</v>
      </c>
      <c r="G42" s="42" t="s">
        <v>12</v>
      </c>
      <c r="H42" s="42">
        <v>334</v>
      </c>
      <c r="I42" s="42" t="str">
        <f>VLOOKUP(продажи!$B42,товар!$A$1:$C$433,2)</f>
        <v>Кофе</v>
      </c>
      <c r="J42" s="42" t="str">
        <f>VLOOKUP(B42,товар!$A$1:$C$433,3)</f>
        <v>Jacobs</v>
      </c>
      <c r="K42" s="44">
        <f>AVERAGEIF(продажи!$I$2:$I$1001,продажи!$I$2:$I$1001,продажи!$C$2:$C$1001)</f>
        <v>249.02380952380952</v>
      </c>
      <c r="L42" s="45">
        <f>продажи!$C42/продажи!$K42-1</f>
        <v>-0.75102782292762216</v>
      </c>
      <c r="M42" s="33">
        <f t="shared" si="0"/>
        <v>5248</v>
      </c>
      <c r="N42" s="24">
        <f>Таблица1[[#This Row],[цена за шт в рублях]]/Таблица1[[#This Row],[средняя стоимость в категории по поставщику.]]-1</f>
        <v>-0.98818597560975607</v>
      </c>
      <c r="O42" s="26">
        <f>VLOOKUP(Таблица1[[#This Row],[id клиента]],клиенты!$A$2:$E$435,5,0)</f>
        <v>44881</v>
      </c>
      <c r="P42">
        <f>Таблица1[[#This Row],[дата создания чека]]-Таблица1[[#This Row],[Дата регистрации клента]]</f>
        <v>313</v>
      </c>
      <c r="Q42" s="26">
        <f t="shared" ca="1" si="1"/>
        <v>46059</v>
      </c>
      <c r="R42" s="51">
        <f ca="1">(TODAY()-Таблица1[[#This Row],[Дата регистрации клента]])/30</f>
        <v>39.266666666666666</v>
      </c>
      <c r="S42" s="63" t="str">
        <f>VLOOKUP(Таблица1[[#This Row],[id клиента]],Таблица8[[id клиента]:[Страна]],7,0)</f>
        <v>Украина</v>
      </c>
      <c r="T42" s="26"/>
    </row>
    <row r="43" spans="1:20" ht="19.5" x14ac:dyDescent="0.4">
      <c r="A43" s="37">
        <v>42</v>
      </c>
      <c r="B43" s="31">
        <v>384</v>
      </c>
      <c r="C43" s="31">
        <v>357</v>
      </c>
      <c r="D43" s="31">
        <v>1</v>
      </c>
      <c r="E43" s="31">
        <v>357</v>
      </c>
      <c r="F43" s="38">
        <v>45196</v>
      </c>
      <c r="G43" s="31" t="s">
        <v>24</v>
      </c>
      <c r="H43" s="31">
        <v>47</v>
      </c>
      <c r="I43" s="31" t="str">
        <f>VLOOKUP(продажи!$B43,товар!$A$1:$C$433,2)</f>
        <v>Сахар</v>
      </c>
      <c r="J43" s="31" t="str">
        <f>VLOOKUP(B43,товар!$A$1:$C$433,3)</f>
        <v>Сладов</v>
      </c>
      <c r="K43" s="39">
        <f>AVERAGEIF(продажи!$I$2:$I$1001,продажи!$I$2:$I$1001,продажи!$C$2:$C$1001)</f>
        <v>254.58333333333334</v>
      </c>
      <c r="L43" s="40">
        <f>продажи!$C43/продажи!$K43-1</f>
        <v>0.4022913256955809</v>
      </c>
      <c r="M43" s="33">
        <f t="shared" si="0"/>
        <v>3604</v>
      </c>
      <c r="N43" s="24">
        <f>Таблица1[[#This Row],[цена за шт в рублях]]/Таблица1[[#This Row],[средняя стоимость в категории по поставщику.]]-1</f>
        <v>-0.90094339622641506</v>
      </c>
      <c r="O43" s="26">
        <f>VLOOKUP(Таблица1[[#This Row],[id клиента]],клиенты!$A$2:$E$435,5,0)</f>
        <v>44693</v>
      </c>
      <c r="P43">
        <f>Таблица1[[#This Row],[дата создания чека]]-Таблица1[[#This Row],[Дата регистрации клента]]</f>
        <v>503</v>
      </c>
      <c r="Q43" s="26">
        <f t="shared" ca="1" si="1"/>
        <v>46059</v>
      </c>
      <c r="R43" s="51">
        <f ca="1">(TODAY()-Таблица1[[#This Row],[Дата регистрации клента]])/30</f>
        <v>45.533333333333331</v>
      </c>
      <c r="S43" s="63" t="str">
        <f>VLOOKUP(Таблица1[[#This Row],[id клиента]],Таблица8[[id клиента]:[Страна]],7,0)</f>
        <v>Беларусь</v>
      </c>
      <c r="T43" s="26"/>
    </row>
    <row r="44" spans="1:20" ht="19.5" x14ac:dyDescent="0.4">
      <c r="A44" s="41">
        <v>43</v>
      </c>
      <c r="B44" s="42">
        <v>41</v>
      </c>
      <c r="C44" s="42">
        <v>493</v>
      </c>
      <c r="D44" s="42">
        <v>3</v>
      </c>
      <c r="E44" s="42">
        <v>1479</v>
      </c>
      <c r="F44" s="43">
        <v>45104</v>
      </c>
      <c r="G44" s="42" t="s">
        <v>9</v>
      </c>
      <c r="H44" s="42">
        <v>287</v>
      </c>
      <c r="I44" s="42" t="str">
        <f>VLOOKUP(продажи!$B44,товар!$A$1:$C$433,2)</f>
        <v>Рис</v>
      </c>
      <c r="J44" s="42" t="str">
        <f>VLOOKUP(B44,товар!$A$1:$C$433,3)</f>
        <v>Агро-Альянс</v>
      </c>
      <c r="K44" s="44">
        <f>AVERAGEIF(продажи!$I$2:$I$1001,продажи!$I$2:$I$1001,продажи!$C$2:$C$1001)</f>
        <v>258.375</v>
      </c>
      <c r="L44" s="45">
        <f>продажи!$C44/продажи!$K44-1</f>
        <v>0.90807934204160623</v>
      </c>
      <c r="M44" s="33">
        <f t="shared" si="0"/>
        <v>2225</v>
      </c>
      <c r="N44" s="24">
        <f>Таблица1[[#This Row],[цена за шт в рублях]]/Таблица1[[#This Row],[средняя стоимость в категории по поставщику.]]-1</f>
        <v>-0.77842696629213481</v>
      </c>
      <c r="O44" s="26">
        <f>VLOOKUP(Таблица1[[#This Row],[id клиента]],клиенты!$A$2:$E$435,5,0)</f>
        <v>44608</v>
      </c>
      <c r="P44">
        <f>Таблица1[[#This Row],[дата создания чека]]-Таблица1[[#This Row],[Дата регистрации клента]]</f>
        <v>496</v>
      </c>
      <c r="Q44" s="26">
        <f t="shared" ca="1" si="1"/>
        <v>46059</v>
      </c>
      <c r="R44" s="51">
        <f ca="1">(TODAY()-Таблица1[[#This Row],[Дата регистрации клента]])/30</f>
        <v>48.366666666666667</v>
      </c>
      <c r="S44" s="63" t="str">
        <f>VLOOKUP(Таблица1[[#This Row],[id клиента]],Таблица8[[id клиента]:[Страна]],7,0)</f>
        <v>Россия</v>
      </c>
      <c r="T44" s="26"/>
    </row>
    <row r="45" spans="1:20" ht="19.5" x14ac:dyDescent="0.4">
      <c r="A45" s="37">
        <v>44</v>
      </c>
      <c r="B45" s="31">
        <v>484</v>
      </c>
      <c r="C45" s="31">
        <v>305</v>
      </c>
      <c r="D45" s="31">
        <v>2</v>
      </c>
      <c r="E45" s="31">
        <v>610</v>
      </c>
      <c r="F45" s="38">
        <v>45234</v>
      </c>
      <c r="G45" s="31" t="s">
        <v>19</v>
      </c>
      <c r="H45" s="31">
        <v>145</v>
      </c>
      <c r="I45" s="31" t="str">
        <f>VLOOKUP(продажи!$B45,товар!$A$1:$C$433,2)</f>
        <v>Печенье</v>
      </c>
      <c r="J45" s="31" t="str">
        <f>VLOOKUP(B45,товар!$A$1:$C$433,3)</f>
        <v>КДВ</v>
      </c>
      <c r="K45" s="39">
        <f>AVERAGEIF(продажи!$I$2:$I$1001,продажи!$I$2:$I$1001,продажи!$C$2:$C$1001)</f>
        <v>283.468085106383</v>
      </c>
      <c r="L45" s="40">
        <f>продажи!$C45/продажи!$K45-1</f>
        <v>7.5958868122795176E-2</v>
      </c>
      <c r="M45" s="33">
        <f t="shared" si="0"/>
        <v>4200</v>
      </c>
      <c r="N45" s="24">
        <f>Таблица1[[#This Row],[цена за шт в рублях]]/Таблица1[[#This Row],[средняя стоимость в категории по поставщику.]]-1</f>
        <v>-0.92738095238095242</v>
      </c>
      <c r="O45" s="26">
        <f>VLOOKUP(Таблица1[[#This Row],[id клиента]],клиенты!$A$2:$E$435,5,0)</f>
        <v>44653</v>
      </c>
      <c r="P45">
        <f>Таблица1[[#This Row],[дата создания чека]]-Таблица1[[#This Row],[Дата регистрации клента]]</f>
        <v>581</v>
      </c>
      <c r="Q45" s="26">
        <f t="shared" ca="1" si="1"/>
        <v>46059</v>
      </c>
      <c r="R45" s="51">
        <f ca="1">(TODAY()-Таблица1[[#This Row],[Дата регистрации клента]])/30</f>
        <v>46.866666666666667</v>
      </c>
      <c r="S45" s="63" t="str">
        <f>VLOOKUP(Таблица1[[#This Row],[id клиента]],Таблица8[[id клиента]:[Страна]],7,0)</f>
        <v>Украина</v>
      </c>
      <c r="T45" s="26"/>
    </row>
    <row r="46" spans="1:20" ht="19.5" x14ac:dyDescent="0.4">
      <c r="A46" s="41">
        <v>45</v>
      </c>
      <c r="B46" s="42">
        <v>7</v>
      </c>
      <c r="C46" s="42">
        <v>162</v>
      </c>
      <c r="D46" s="42">
        <v>4</v>
      </c>
      <c r="E46" s="42">
        <v>648</v>
      </c>
      <c r="F46" s="43">
        <v>45387</v>
      </c>
      <c r="G46" s="42" t="s">
        <v>16</v>
      </c>
      <c r="H46" s="42">
        <v>270</v>
      </c>
      <c r="I46" s="42" t="str">
        <f>VLOOKUP(продажи!$B46,товар!$A$1:$C$433,2)</f>
        <v>Сыр</v>
      </c>
      <c r="J46" s="42" t="str">
        <f>VLOOKUP(B46,товар!$A$1:$C$433,3)</f>
        <v>President</v>
      </c>
      <c r="K46" s="44">
        <f>AVERAGEIF(продажи!$I$2:$I$1001,продажи!$I$2:$I$1001,продажи!$C$2:$C$1001)</f>
        <v>261.03225806451616</v>
      </c>
      <c r="L46" s="45">
        <f>продажи!$C46/продажи!$K46-1</f>
        <v>-0.37938704893722197</v>
      </c>
      <c r="M46" s="33">
        <f t="shared" si="0"/>
        <v>3935</v>
      </c>
      <c r="N46" s="24">
        <f>Таблица1[[#This Row],[цена за шт в рублях]]/Таблица1[[#This Row],[средняя стоимость в категории по поставщику.]]-1</f>
        <v>-0.95883100381194408</v>
      </c>
      <c r="O46" s="26">
        <f>VLOOKUP(Таблица1[[#This Row],[id клиента]],клиенты!$A$2:$E$435,5,0)</f>
        <v>44827</v>
      </c>
      <c r="P46">
        <f>Таблица1[[#This Row],[дата создания чека]]-Таблица1[[#This Row],[Дата регистрации клента]]</f>
        <v>560</v>
      </c>
      <c r="Q46" s="26">
        <f t="shared" ca="1" si="1"/>
        <v>46059</v>
      </c>
      <c r="R46" s="51">
        <f ca="1">(TODAY()-Таблица1[[#This Row],[Дата регистрации клента]])/30</f>
        <v>41.06666666666667</v>
      </c>
      <c r="S46" s="63" t="str">
        <f>VLOOKUP(Таблица1[[#This Row],[id клиента]],Таблица8[[id клиента]:[Страна]],7,0)</f>
        <v>Таджикистан</v>
      </c>
      <c r="T46" s="26"/>
    </row>
    <row r="47" spans="1:20" ht="19.5" x14ac:dyDescent="0.4">
      <c r="A47" s="37">
        <v>46</v>
      </c>
      <c r="B47" s="31">
        <v>390</v>
      </c>
      <c r="C47" s="31">
        <v>78</v>
      </c>
      <c r="D47" s="31">
        <v>1</v>
      </c>
      <c r="E47" s="31">
        <v>78</v>
      </c>
      <c r="F47" s="38">
        <v>44976</v>
      </c>
      <c r="G47" s="31" t="s">
        <v>15</v>
      </c>
      <c r="H47" s="31">
        <v>64</v>
      </c>
      <c r="I47" s="31" t="str">
        <f>VLOOKUP(продажи!$B47,товар!$A$1:$C$433,2)</f>
        <v>Сок</v>
      </c>
      <c r="J47" s="31" t="str">
        <f>VLOOKUP(B47,товар!$A$1:$C$433,3)</f>
        <v>Сады Придонья</v>
      </c>
      <c r="K47" s="39">
        <f>AVERAGEIF(продажи!$I$2:$I$1001,продажи!$I$2:$I$1001,продажи!$C$2:$C$1001)</f>
        <v>268.60344827586209</v>
      </c>
      <c r="L47" s="40">
        <f>продажи!$C47/продажи!$K47-1</f>
        <v>-0.70960908915848253</v>
      </c>
      <c r="M47" s="33">
        <f t="shared" si="0"/>
        <v>2796</v>
      </c>
      <c r="N47" s="24">
        <f>Таблица1[[#This Row],[цена за шт в рублях]]/Таблица1[[#This Row],[средняя стоимость в категории по поставщику.]]-1</f>
        <v>-0.97210300429184548</v>
      </c>
      <c r="O47" s="26">
        <f>VLOOKUP(Таблица1[[#This Row],[id клиента]],клиенты!$A$2:$E$435,5,0)</f>
        <v>44707</v>
      </c>
      <c r="P47">
        <f>Таблица1[[#This Row],[дата создания чека]]-Таблица1[[#This Row],[Дата регистрации клента]]</f>
        <v>269</v>
      </c>
      <c r="Q47" s="26">
        <f t="shared" ca="1" si="1"/>
        <v>46059</v>
      </c>
      <c r="R47" s="51">
        <f ca="1">(TODAY()-Таблица1[[#This Row],[Дата регистрации клента]])/30</f>
        <v>45.06666666666667</v>
      </c>
      <c r="S47" s="63" t="str">
        <f>VLOOKUP(Таблица1[[#This Row],[id клиента]],Таблица8[[id клиента]:[Страна]],7,0)</f>
        <v>Узбекистан</v>
      </c>
      <c r="T47" s="26"/>
    </row>
    <row r="48" spans="1:20" ht="19.5" x14ac:dyDescent="0.4">
      <c r="A48" s="41">
        <v>47</v>
      </c>
      <c r="B48" s="42">
        <v>57</v>
      </c>
      <c r="C48" s="42">
        <v>343</v>
      </c>
      <c r="D48" s="42">
        <v>5</v>
      </c>
      <c r="E48" s="42">
        <v>1715</v>
      </c>
      <c r="F48" s="43">
        <v>45063</v>
      </c>
      <c r="G48" s="42" t="s">
        <v>9</v>
      </c>
      <c r="H48" s="42">
        <v>183</v>
      </c>
      <c r="I48" s="42" t="str">
        <f>VLOOKUP(продажи!$B48,товар!$A$1:$C$433,2)</f>
        <v>Печенье</v>
      </c>
      <c r="J48" s="42" t="str">
        <f>VLOOKUP(B48,товар!$A$1:$C$433,3)</f>
        <v>Юбилейное</v>
      </c>
      <c r="K48" s="44">
        <f>AVERAGEIF(продажи!$I$2:$I$1001,продажи!$I$2:$I$1001,продажи!$C$2:$C$1001)</f>
        <v>283.468085106383</v>
      </c>
      <c r="L48" s="45">
        <f>продажи!$C48/продажи!$K48-1</f>
        <v>0.21001275988891388</v>
      </c>
      <c r="M48" s="33">
        <f t="shared" si="0"/>
        <v>2092</v>
      </c>
      <c r="N48" s="24">
        <f>Таблица1[[#This Row],[цена за шт в рублях]]/Таблица1[[#This Row],[средняя стоимость в категории по поставщику.]]-1</f>
        <v>-0.83604206500956024</v>
      </c>
      <c r="O48" s="26">
        <f>VLOOKUP(Таблица1[[#This Row],[id клиента]],клиенты!$A$2:$E$435,5,0)</f>
        <v>44900</v>
      </c>
      <c r="P48">
        <f>Таблица1[[#This Row],[дата создания чека]]-Таблица1[[#This Row],[Дата регистрации клента]]</f>
        <v>163</v>
      </c>
      <c r="Q48" s="26">
        <f t="shared" ca="1" si="1"/>
        <v>46059</v>
      </c>
      <c r="R48" s="51">
        <f ca="1">(TODAY()-Таблица1[[#This Row],[Дата регистрации клента]])/30</f>
        <v>38.633333333333333</v>
      </c>
      <c r="S48" s="63" t="str">
        <f>VLOOKUP(Таблица1[[#This Row],[id клиента]],Таблица8[[id клиента]:[Страна]],7,0)</f>
        <v>Таджикистан</v>
      </c>
      <c r="T48" s="26"/>
    </row>
    <row r="49" spans="1:20" ht="19.5" x14ac:dyDescent="0.4">
      <c r="A49" s="37">
        <v>48</v>
      </c>
      <c r="B49" s="31">
        <v>285</v>
      </c>
      <c r="C49" s="31">
        <v>498</v>
      </c>
      <c r="D49" s="31">
        <v>4</v>
      </c>
      <c r="E49" s="31">
        <v>1992</v>
      </c>
      <c r="F49" s="38">
        <v>45208</v>
      </c>
      <c r="G49" s="31" t="s">
        <v>17</v>
      </c>
      <c r="H49" s="31">
        <v>2</v>
      </c>
      <c r="I49" s="31" t="str">
        <f>VLOOKUP(продажи!$B49,товар!$A$1:$C$433,2)</f>
        <v>Макароны</v>
      </c>
      <c r="J49" s="31" t="str">
        <f>VLOOKUP(B49,товар!$A$1:$C$433,3)</f>
        <v>Паста Зара</v>
      </c>
      <c r="K49" s="39">
        <f>AVERAGEIF(продажи!$I$2:$I$1001,продажи!$I$2:$I$1001,продажи!$C$2:$C$1001)</f>
        <v>265.47674418604652</v>
      </c>
      <c r="L49" s="40">
        <f>продажи!$C49/продажи!$K49-1</f>
        <v>0.87587052691515921</v>
      </c>
      <c r="M49" s="33">
        <f t="shared" si="0"/>
        <v>10237</v>
      </c>
      <c r="N49" s="24">
        <f>Таблица1[[#This Row],[цена за шт в рублях]]/Таблица1[[#This Row],[средняя стоимость в категории по поставщику.]]-1</f>
        <v>-0.95135293543030186</v>
      </c>
      <c r="O49" s="26">
        <f>VLOOKUP(Таблица1[[#This Row],[id клиента]],клиенты!$A$2:$E$435,5,0)</f>
        <v>44775</v>
      </c>
      <c r="P49">
        <f>Таблица1[[#This Row],[дата создания чека]]-Таблица1[[#This Row],[Дата регистрации клента]]</f>
        <v>433</v>
      </c>
      <c r="Q49" s="26">
        <f t="shared" ca="1" si="1"/>
        <v>46059</v>
      </c>
      <c r="R49" s="51">
        <f ca="1">(TODAY()-Таблица1[[#This Row],[Дата регистрации клента]])/30</f>
        <v>42.8</v>
      </c>
      <c r="S49" s="63" t="str">
        <f>VLOOKUP(Таблица1[[#This Row],[id клиента]],Таблица8[[id клиента]:[Страна]],7,0)</f>
        <v>Узбекистан</v>
      </c>
      <c r="T49" s="26"/>
    </row>
    <row r="50" spans="1:20" ht="19.5" x14ac:dyDescent="0.4">
      <c r="A50" s="41">
        <v>49</v>
      </c>
      <c r="B50" s="42">
        <v>299</v>
      </c>
      <c r="C50" s="42">
        <v>133</v>
      </c>
      <c r="D50" s="42">
        <v>1</v>
      </c>
      <c r="E50" s="42">
        <v>133</v>
      </c>
      <c r="F50" s="43">
        <v>45104</v>
      </c>
      <c r="G50" s="42" t="s">
        <v>16</v>
      </c>
      <c r="H50" s="42">
        <v>204</v>
      </c>
      <c r="I50" s="42" t="str">
        <f>VLOOKUP(продажи!$B50,товар!$A$1:$C$433,2)</f>
        <v>Чай</v>
      </c>
      <c r="J50" s="42" t="str">
        <f>VLOOKUP(B50,товар!$A$1:$C$433,3)</f>
        <v>Lipton</v>
      </c>
      <c r="K50" s="44">
        <f>AVERAGEIF(продажи!$I$2:$I$1001,продажи!$I$2:$I$1001,продажи!$C$2:$C$1001)</f>
        <v>271.18181818181819</v>
      </c>
      <c r="L50" s="45">
        <f>продажи!$C50/продажи!$K50-1</f>
        <v>-0.50955414012738853</v>
      </c>
      <c r="M50" s="33">
        <f t="shared" si="0"/>
        <v>4943</v>
      </c>
      <c r="N50" s="24">
        <f>Таблица1[[#This Row],[цена за шт в рублях]]/Таблица1[[#This Row],[средняя стоимость в категории по поставщику.]]-1</f>
        <v>-0.9730932632004855</v>
      </c>
      <c r="O50" s="26">
        <f>VLOOKUP(Таблица1[[#This Row],[id клиента]],клиенты!$A$2:$E$435,5,0)</f>
        <v>44867</v>
      </c>
      <c r="P50">
        <f>Таблица1[[#This Row],[дата создания чека]]-Таблица1[[#This Row],[Дата регистрации клента]]</f>
        <v>237</v>
      </c>
      <c r="Q50" s="26">
        <f t="shared" ca="1" si="1"/>
        <v>46059</v>
      </c>
      <c r="R50" s="51">
        <f ca="1">(TODAY()-Таблица1[[#This Row],[Дата регистрации клента]])/30</f>
        <v>39.733333333333334</v>
      </c>
      <c r="S50" s="63" t="str">
        <f>VLOOKUP(Таблица1[[#This Row],[id клиента]],Таблица8[[id клиента]:[Страна]],7,0)</f>
        <v>Россия</v>
      </c>
      <c r="T50" s="26"/>
    </row>
    <row r="51" spans="1:20" ht="19.5" x14ac:dyDescent="0.4">
      <c r="A51" s="37">
        <v>50</v>
      </c>
      <c r="B51" s="31">
        <v>444</v>
      </c>
      <c r="C51" s="31">
        <v>311</v>
      </c>
      <c r="D51" s="31">
        <v>4</v>
      </c>
      <c r="E51" s="31">
        <v>1244</v>
      </c>
      <c r="F51" s="38">
        <v>45398</v>
      </c>
      <c r="G51" s="31" t="s">
        <v>23</v>
      </c>
      <c r="H51" s="31">
        <v>229</v>
      </c>
      <c r="I51" s="31" t="str">
        <f>VLOOKUP(продажи!$B51,товар!$A$1:$C$433,2)</f>
        <v>Йогурт</v>
      </c>
      <c r="J51" s="31" t="str">
        <f>VLOOKUP(B51,товар!$A$1:$C$433,3)</f>
        <v>Эрманн</v>
      </c>
      <c r="K51" s="39">
        <f>AVERAGEIF(продажи!$I$2:$I$1001,продажи!$I$2:$I$1001,продажи!$C$2:$C$1001)</f>
        <v>263.25423728813558</v>
      </c>
      <c r="L51" s="40">
        <f>продажи!$C51/продажи!$K51-1</f>
        <v>0.18136749935616803</v>
      </c>
      <c r="M51" s="33">
        <f t="shared" si="0"/>
        <v>4970</v>
      </c>
      <c r="N51" s="24">
        <f>Таблица1[[#This Row],[цена за шт в рублях]]/Таблица1[[#This Row],[средняя стоимость в категории по поставщику.]]-1</f>
        <v>-0.93742454728370217</v>
      </c>
      <c r="O51" s="26">
        <f>VLOOKUP(Таблица1[[#This Row],[id клиента]],клиенты!$A$2:$E$435,5,0)</f>
        <v>44766</v>
      </c>
      <c r="P51">
        <f>Таблица1[[#This Row],[дата создания чека]]-Таблица1[[#This Row],[Дата регистрации клента]]</f>
        <v>632</v>
      </c>
      <c r="Q51" s="26">
        <f t="shared" ca="1" si="1"/>
        <v>46059</v>
      </c>
      <c r="R51" s="51">
        <f ca="1">(TODAY()-Таблица1[[#This Row],[Дата регистрации клента]])/30</f>
        <v>43.1</v>
      </c>
      <c r="S51" s="63" t="str">
        <f>VLOOKUP(Таблица1[[#This Row],[id клиента]],Таблица8[[id клиента]:[Страна]],7,0)</f>
        <v>Беларусь</v>
      </c>
      <c r="T51" s="26"/>
    </row>
    <row r="52" spans="1:20" ht="19.5" x14ac:dyDescent="0.4">
      <c r="A52" s="41">
        <v>51</v>
      </c>
      <c r="B52" s="42">
        <v>35</v>
      </c>
      <c r="C52" s="42">
        <v>242</v>
      </c>
      <c r="D52" s="42">
        <v>2</v>
      </c>
      <c r="E52" s="42">
        <v>484</v>
      </c>
      <c r="F52" s="43">
        <v>45239</v>
      </c>
      <c r="G52" s="42" t="s">
        <v>22</v>
      </c>
      <c r="H52" s="42">
        <v>385</v>
      </c>
      <c r="I52" s="42" t="str">
        <f>VLOOKUP(продажи!$B52,товар!$A$1:$C$433,2)</f>
        <v>Крупа</v>
      </c>
      <c r="J52" s="42" t="str">
        <f>VLOOKUP(B52,товар!$A$1:$C$433,3)</f>
        <v>Мистраль</v>
      </c>
      <c r="K52" s="44">
        <f>AVERAGEIF(продажи!$I$2:$I$1001,продажи!$I$2:$I$1001,продажи!$C$2:$C$1001)</f>
        <v>255.11627906976744</v>
      </c>
      <c r="L52" s="45">
        <f>продажи!$C52/продажи!$K52-1</f>
        <v>-5.1412944393801285E-2</v>
      </c>
      <c r="M52" s="33">
        <f t="shared" si="0"/>
        <v>3254</v>
      </c>
      <c r="N52" s="24">
        <f>Таблица1[[#This Row],[цена за шт в рублях]]/Таблица1[[#This Row],[средняя стоимость в категории по поставщику.]]-1</f>
        <v>-0.92562999385371847</v>
      </c>
      <c r="O52" s="26">
        <f>VLOOKUP(Таблица1[[#This Row],[id клиента]],клиенты!$A$2:$E$435,5,0)</f>
        <v>44753</v>
      </c>
      <c r="P52">
        <f>Таблица1[[#This Row],[дата создания чека]]-Таблица1[[#This Row],[Дата регистрации клента]]</f>
        <v>486</v>
      </c>
      <c r="Q52" s="26">
        <f t="shared" ca="1" si="1"/>
        <v>46059</v>
      </c>
      <c r="R52" s="51">
        <f ca="1">(TODAY()-Таблица1[[#This Row],[Дата регистрации клента]])/30</f>
        <v>43.533333333333331</v>
      </c>
      <c r="S52" s="63" t="str">
        <f>VLOOKUP(Таблица1[[#This Row],[id клиента]],Таблица8[[id клиента]:[Страна]],7,0)</f>
        <v>Украина</v>
      </c>
      <c r="T52" s="26"/>
    </row>
    <row r="53" spans="1:20" ht="19.5" x14ac:dyDescent="0.4">
      <c r="A53" s="37">
        <v>52</v>
      </c>
      <c r="B53" s="31">
        <v>296</v>
      </c>
      <c r="C53" s="31">
        <v>101</v>
      </c>
      <c r="D53" s="31">
        <v>3</v>
      </c>
      <c r="E53" s="31">
        <v>303</v>
      </c>
      <c r="F53" s="38">
        <v>45080</v>
      </c>
      <c r="G53" s="31" t="s">
        <v>19</v>
      </c>
      <c r="H53" s="31">
        <v>407</v>
      </c>
      <c r="I53" s="31" t="str">
        <f>VLOOKUP(продажи!$B53,товар!$A$1:$C$433,2)</f>
        <v>Крупа</v>
      </c>
      <c r="J53" s="31" t="str">
        <f>VLOOKUP(B53,товар!$A$1:$C$433,3)</f>
        <v>Мистраль</v>
      </c>
      <c r="K53" s="39">
        <f>AVERAGEIF(продажи!$I$2:$I$1001,продажи!$I$2:$I$1001,продажи!$C$2:$C$1001)</f>
        <v>255.11627906976744</v>
      </c>
      <c r="L53" s="40">
        <f>продажи!$C53/продажи!$K53-1</f>
        <v>-0.60410209662716507</v>
      </c>
      <c r="M53" s="33">
        <f t="shared" si="0"/>
        <v>3254</v>
      </c>
      <c r="N53" s="24">
        <f>Таблица1[[#This Row],[цена за шт в рублях]]/Таблица1[[#This Row],[средняя стоимость в категории по поставщику.]]-1</f>
        <v>-0.96896127842655189</v>
      </c>
      <c r="O53" s="26">
        <f>VLOOKUP(Таблица1[[#This Row],[id клиента]],клиенты!$A$2:$E$435,5,0)</f>
        <v>44621</v>
      </c>
      <c r="P53">
        <f>Таблица1[[#This Row],[дата создания чека]]-Таблица1[[#This Row],[Дата регистрации клента]]</f>
        <v>459</v>
      </c>
      <c r="Q53" s="26">
        <f t="shared" ca="1" si="1"/>
        <v>46059</v>
      </c>
      <c r="R53" s="51">
        <f ca="1">(TODAY()-Таблица1[[#This Row],[Дата регистрации клента]])/30</f>
        <v>47.93333333333333</v>
      </c>
      <c r="S53" s="63" t="str">
        <f>VLOOKUP(Таблица1[[#This Row],[id клиента]],Таблица8[[id клиента]:[Страна]],7,0)</f>
        <v>Беларусь</v>
      </c>
      <c r="T53" s="26"/>
    </row>
    <row r="54" spans="1:20" ht="19.5" x14ac:dyDescent="0.4">
      <c r="A54" s="41">
        <v>53</v>
      </c>
      <c r="B54" s="42">
        <v>227</v>
      </c>
      <c r="C54" s="42">
        <v>65</v>
      </c>
      <c r="D54" s="42">
        <v>1</v>
      </c>
      <c r="E54" s="42">
        <v>65</v>
      </c>
      <c r="F54" s="43">
        <v>45308</v>
      </c>
      <c r="G54" s="42" t="s">
        <v>10</v>
      </c>
      <c r="H54" s="42">
        <v>493</v>
      </c>
      <c r="I54" s="42" t="str">
        <f>VLOOKUP(продажи!$B54,товар!$A$1:$C$433,2)</f>
        <v>Макароны</v>
      </c>
      <c r="J54" s="42" t="str">
        <f>VLOOKUP(B54,товар!$A$1:$C$433,3)</f>
        <v>Макфа</v>
      </c>
      <c r="K54" s="44">
        <f>AVERAGEIF(продажи!$I$2:$I$1001,продажи!$I$2:$I$1001,продажи!$C$2:$C$1001)</f>
        <v>265.47674418604652</v>
      </c>
      <c r="L54" s="45">
        <f>продажи!$C54/продажи!$K54-1</f>
        <v>-0.75515746134641493</v>
      </c>
      <c r="M54" s="33">
        <f t="shared" si="0"/>
        <v>3622</v>
      </c>
      <c r="N54" s="24">
        <f>Таблица1[[#This Row],[цена за шт в рублях]]/Таблица1[[#This Row],[средняя стоимость в категории по поставщику.]]-1</f>
        <v>-0.98205411374930973</v>
      </c>
      <c r="O54" s="26">
        <f>VLOOKUP(Таблица1[[#This Row],[id клиента]],клиенты!$A$2:$E$435,5,0)</f>
        <v>44855</v>
      </c>
      <c r="P54">
        <f>Таблица1[[#This Row],[дата создания чека]]-Таблица1[[#This Row],[Дата регистрации клента]]</f>
        <v>453</v>
      </c>
      <c r="Q54" s="26">
        <f t="shared" ca="1" si="1"/>
        <v>46059</v>
      </c>
      <c r="R54" s="51">
        <f ca="1">(TODAY()-Таблица1[[#This Row],[Дата регистрации клента]])/30</f>
        <v>40.133333333333333</v>
      </c>
      <c r="S54" s="63" t="str">
        <f>VLOOKUP(Таблица1[[#This Row],[id клиента]],Таблица8[[id клиента]:[Страна]],7,0)</f>
        <v>Украина</v>
      </c>
      <c r="T54" s="26"/>
    </row>
    <row r="55" spans="1:20" ht="19.5" x14ac:dyDescent="0.4">
      <c r="A55" s="37">
        <v>54</v>
      </c>
      <c r="B55" s="31">
        <v>167</v>
      </c>
      <c r="C55" s="31">
        <v>143</v>
      </c>
      <c r="D55" s="31">
        <v>3</v>
      </c>
      <c r="E55" s="31">
        <v>429</v>
      </c>
      <c r="F55" s="38">
        <v>45246</v>
      </c>
      <c r="G55" s="31" t="s">
        <v>22</v>
      </c>
      <c r="H55" s="31">
        <v>34</v>
      </c>
      <c r="I55" s="31" t="str">
        <f>VLOOKUP(продажи!$B55,товар!$A$1:$C$433,2)</f>
        <v>Мясо</v>
      </c>
      <c r="J55" s="31" t="str">
        <f>VLOOKUP(B55,товар!$A$1:$C$433,3)</f>
        <v>Сава</v>
      </c>
      <c r="K55" s="39">
        <f>AVERAGEIF(продажи!$I$2:$I$1001,продажи!$I$2:$I$1001,продажи!$C$2:$C$1001)</f>
        <v>271.74545454545455</v>
      </c>
      <c r="L55" s="40">
        <f>продажи!$C55/продажи!$K55-1</f>
        <v>-0.47377224675498464</v>
      </c>
      <c r="M55" s="33">
        <f t="shared" si="0"/>
        <v>3405</v>
      </c>
      <c r="N55" s="24">
        <f>Таблица1[[#This Row],[цена за шт в рублях]]/Таблица1[[#This Row],[средняя стоимость в категории по поставщику.]]-1</f>
        <v>-0.95800293685756244</v>
      </c>
      <c r="O55" s="26">
        <f>VLOOKUP(Таблица1[[#This Row],[id клиента]],клиенты!$A$2:$E$435,5,0)</f>
        <v>44654</v>
      </c>
      <c r="P55">
        <f>Таблица1[[#This Row],[дата создания чека]]-Таблица1[[#This Row],[Дата регистрации клента]]</f>
        <v>592</v>
      </c>
      <c r="Q55" s="26">
        <f t="shared" ca="1" si="1"/>
        <v>46059</v>
      </c>
      <c r="R55" s="51">
        <f ca="1">(TODAY()-Таблица1[[#This Row],[Дата регистрации клента]])/30</f>
        <v>46.833333333333336</v>
      </c>
      <c r="S55" s="63" t="str">
        <f>VLOOKUP(Таблица1[[#This Row],[id клиента]],Таблица8[[id клиента]:[Страна]],7,0)</f>
        <v>Таджикистан</v>
      </c>
      <c r="T55" s="26"/>
    </row>
    <row r="56" spans="1:20" ht="19.5" x14ac:dyDescent="0.4">
      <c r="A56" s="41">
        <v>55</v>
      </c>
      <c r="B56" s="42">
        <v>146</v>
      </c>
      <c r="C56" s="42">
        <v>402</v>
      </c>
      <c r="D56" s="42">
        <v>5</v>
      </c>
      <c r="E56" s="42">
        <v>2010</v>
      </c>
      <c r="F56" s="43">
        <v>45356</v>
      </c>
      <c r="G56" s="42" t="s">
        <v>13</v>
      </c>
      <c r="H56" s="42">
        <v>190</v>
      </c>
      <c r="I56" s="42" t="str">
        <f>VLOOKUP(продажи!$B56,товар!$A$1:$C$433,2)</f>
        <v>Сок</v>
      </c>
      <c r="J56" s="42" t="str">
        <f>VLOOKUP(B56,товар!$A$1:$C$433,3)</f>
        <v>Добрый</v>
      </c>
      <c r="K56" s="44">
        <f>AVERAGEIF(продажи!$I$2:$I$1001,продажи!$I$2:$I$1001,продажи!$C$2:$C$1001)</f>
        <v>268.60344827586209</v>
      </c>
      <c r="L56" s="45">
        <f>продажи!$C56/продажи!$K56-1</f>
        <v>0.49663007895243583</v>
      </c>
      <c r="M56" s="33">
        <f t="shared" si="0"/>
        <v>2671</v>
      </c>
      <c r="N56" s="24">
        <f>Таблица1[[#This Row],[цена за шт в рублях]]/Таблица1[[#This Row],[средняя стоимость в категории по поставщику.]]-1</f>
        <v>-0.84949457132160244</v>
      </c>
      <c r="O56" s="26">
        <f>VLOOKUP(Таблица1[[#This Row],[id клиента]],клиенты!$A$2:$E$435,5,0)</f>
        <v>44689</v>
      </c>
      <c r="P56">
        <f>Таблица1[[#This Row],[дата создания чека]]-Таблица1[[#This Row],[Дата регистрации клента]]</f>
        <v>667</v>
      </c>
      <c r="Q56" s="26">
        <f t="shared" ca="1" si="1"/>
        <v>46059</v>
      </c>
      <c r="R56" s="51">
        <f ca="1">(TODAY()-Таблица1[[#This Row],[Дата регистрации клента]])/30</f>
        <v>45.666666666666664</v>
      </c>
      <c r="S56" s="63" t="str">
        <f>VLOOKUP(Таблица1[[#This Row],[id клиента]],Таблица8[[id клиента]:[Страна]],7,0)</f>
        <v>Беларусь</v>
      </c>
      <c r="T56" s="26"/>
    </row>
    <row r="57" spans="1:20" ht="19.5" x14ac:dyDescent="0.4">
      <c r="A57" s="37">
        <v>56</v>
      </c>
      <c r="B57" s="31">
        <v>338</v>
      </c>
      <c r="C57" s="31">
        <v>97</v>
      </c>
      <c r="D57" s="31">
        <v>1</v>
      </c>
      <c r="E57" s="31">
        <v>97</v>
      </c>
      <c r="F57" s="38">
        <v>45234</v>
      </c>
      <c r="G57" s="31" t="s">
        <v>17</v>
      </c>
      <c r="H57" s="31">
        <v>266</v>
      </c>
      <c r="I57" s="31" t="str">
        <f>VLOOKUP(продажи!$B57,товар!$A$1:$C$433,2)</f>
        <v>Сыр</v>
      </c>
      <c r="J57" s="31" t="str">
        <f>VLOOKUP(B57,товар!$A$1:$C$433,3)</f>
        <v>President</v>
      </c>
      <c r="K57" s="39">
        <f>AVERAGEIF(продажи!$I$2:$I$1001,продажи!$I$2:$I$1001,продажи!$C$2:$C$1001)</f>
        <v>261.03225806451616</v>
      </c>
      <c r="L57" s="40">
        <f>продажи!$C57/продажи!$K57-1</f>
        <v>-0.62839841819080577</v>
      </c>
      <c r="M57" s="33">
        <f t="shared" si="0"/>
        <v>3935</v>
      </c>
      <c r="N57" s="24">
        <f>Таблица1[[#This Row],[цена за шт в рублях]]/Таблица1[[#This Row],[средняя стоимость в категории по поставщику.]]-1</f>
        <v>-0.97534942820838633</v>
      </c>
      <c r="O57" s="26">
        <f>VLOOKUP(Таблица1[[#This Row],[id клиента]],клиенты!$A$2:$E$435,5,0)</f>
        <v>44795</v>
      </c>
      <c r="P57">
        <f>Таблица1[[#This Row],[дата создания чека]]-Таблица1[[#This Row],[Дата регистрации клента]]</f>
        <v>439</v>
      </c>
      <c r="Q57" s="26">
        <f t="shared" ca="1" si="1"/>
        <v>46059</v>
      </c>
      <c r="R57" s="51">
        <f ca="1">(TODAY()-Таблица1[[#This Row],[Дата регистрации клента]])/30</f>
        <v>42.133333333333333</v>
      </c>
      <c r="S57" s="63" t="str">
        <f>VLOOKUP(Таблица1[[#This Row],[id клиента]],Таблица8[[id клиента]:[Страна]],7,0)</f>
        <v>Россия</v>
      </c>
      <c r="T57" s="26"/>
    </row>
    <row r="58" spans="1:20" ht="19.5" x14ac:dyDescent="0.4">
      <c r="A58" s="41">
        <v>57</v>
      </c>
      <c r="B58" s="42">
        <v>155</v>
      </c>
      <c r="C58" s="42">
        <v>482</v>
      </c>
      <c r="D58" s="42">
        <v>1</v>
      </c>
      <c r="E58" s="42">
        <v>482</v>
      </c>
      <c r="F58" s="43">
        <v>45400</v>
      </c>
      <c r="G58" s="42" t="s">
        <v>14</v>
      </c>
      <c r="H58" s="42">
        <v>222</v>
      </c>
      <c r="I58" s="42" t="str">
        <f>VLOOKUP(продажи!$B58,товар!$A$1:$C$433,2)</f>
        <v>Йогурт</v>
      </c>
      <c r="J58" s="42" t="str">
        <f>VLOOKUP(B58,товар!$A$1:$C$433,3)</f>
        <v>Эрманн</v>
      </c>
      <c r="K58" s="44">
        <f>AVERAGEIF(продажи!$I$2:$I$1001,продажи!$I$2:$I$1001,продажи!$C$2:$C$1001)</f>
        <v>263.25423728813558</v>
      </c>
      <c r="L58" s="45">
        <f>продажи!$C58/продажи!$K58-1</f>
        <v>0.83092969353592583</v>
      </c>
      <c r="M58" s="33">
        <f t="shared" si="0"/>
        <v>4970</v>
      </c>
      <c r="N58" s="24">
        <f>Таблица1[[#This Row],[цена за шт в рублях]]/Таблица1[[#This Row],[средняя стоимость в категории по поставщику.]]-1</f>
        <v>-0.90301810865191146</v>
      </c>
      <c r="O58" s="26">
        <f>VLOOKUP(Таблица1[[#This Row],[id клиента]],клиенты!$A$2:$E$435,5,0)</f>
        <v>44694</v>
      </c>
      <c r="P58">
        <f>Таблица1[[#This Row],[дата создания чека]]-Таблица1[[#This Row],[Дата регистрации клента]]</f>
        <v>706</v>
      </c>
      <c r="Q58" s="26">
        <f t="shared" ca="1" si="1"/>
        <v>46059</v>
      </c>
      <c r="R58" s="51">
        <f ca="1">(TODAY()-Таблица1[[#This Row],[Дата регистрации клента]])/30</f>
        <v>45.5</v>
      </c>
      <c r="S58" s="63" t="str">
        <f>VLOOKUP(Таблица1[[#This Row],[id клиента]],Таблица8[[id клиента]:[Страна]],7,0)</f>
        <v>Украина</v>
      </c>
      <c r="T58" s="26"/>
    </row>
    <row r="59" spans="1:20" ht="19.5" x14ac:dyDescent="0.4">
      <c r="A59" s="37">
        <v>58</v>
      </c>
      <c r="B59" s="31">
        <v>239</v>
      </c>
      <c r="C59" s="31">
        <v>59</v>
      </c>
      <c r="D59" s="31">
        <v>1</v>
      </c>
      <c r="E59" s="31">
        <v>59</v>
      </c>
      <c r="F59" s="38">
        <v>45214</v>
      </c>
      <c r="G59" s="31" t="s">
        <v>25</v>
      </c>
      <c r="H59" s="31">
        <v>382</v>
      </c>
      <c r="I59" s="31" t="str">
        <f>VLOOKUP(продажи!$B59,товар!$A$1:$C$433,2)</f>
        <v>Йогурт</v>
      </c>
      <c r="J59" s="31" t="str">
        <f>VLOOKUP(B59,товар!$A$1:$C$433,3)</f>
        <v>Эрманн</v>
      </c>
      <c r="K59" s="39">
        <f>AVERAGEIF(продажи!$I$2:$I$1001,продажи!$I$2:$I$1001,продажи!$C$2:$C$1001)</f>
        <v>263.25423728813558</v>
      </c>
      <c r="L59" s="40">
        <f>продажи!$C59/продажи!$K59-1</f>
        <v>-0.77588204996137011</v>
      </c>
      <c r="M59" s="33">
        <f t="shared" si="0"/>
        <v>4970</v>
      </c>
      <c r="N59" s="24">
        <f>Таблица1[[#This Row],[цена за шт в рублях]]/Таблица1[[#This Row],[средняя стоимость в категории по поставщику.]]-1</f>
        <v>-0.98812877263581489</v>
      </c>
      <c r="O59" s="26">
        <f>VLOOKUP(Таблица1[[#This Row],[id клиента]],клиенты!$A$2:$E$435,5,0)</f>
        <v>44850</v>
      </c>
      <c r="P59">
        <f>Таблица1[[#This Row],[дата создания чека]]-Таблица1[[#This Row],[Дата регистрации клента]]</f>
        <v>364</v>
      </c>
      <c r="Q59" s="26">
        <f t="shared" ca="1" si="1"/>
        <v>46059</v>
      </c>
      <c r="R59" s="51">
        <f ca="1">(TODAY()-Таблица1[[#This Row],[Дата регистрации клента]])/30</f>
        <v>40.299999999999997</v>
      </c>
      <c r="S59" s="63" t="str">
        <f>VLOOKUP(Таблица1[[#This Row],[id клиента]],Таблица8[[id клиента]:[Страна]],7,0)</f>
        <v>Беларусь</v>
      </c>
      <c r="T59" s="26"/>
    </row>
    <row r="60" spans="1:20" ht="19.5" x14ac:dyDescent="0.4">
      <c r="A60" s="41">
        <v>59</v>
      </c>
      <c r="B60" s="42">
        <v>158</v>
      </c>
      <c r="C60" s="42">
        <v>87</v>
      </c>
      <c r="D60" s="42">
        <v>4</v>
      </c>
      <c r="E60" s="42">
        <v>348</v>
      </c>
      <c r="F60" s="43">
        <v>45423</v>
      </c>
      <c r="G60" s="42" t="s">
        <v>16</v>
      </c>
      <c r="H60" s="42">
        <v>142</v>
      </c>
      <c r="I60" s="42" t="str">
        <f>VLOOKUP(продажи!$B60,товар!$A$1:$C$433,2)</f>
        <v>Сахар</v>
      </c>
      <c r="J60" s="42" t="str">
        <f>VLOOKUP(B60,товар!$A$1:$C$433,3)</f>
        <v>Сладов</v>
      </c>
      <c r="K60" s="44">
        <f>AVERAGEIF(продажи!$I$2:$I$1001,продажи!$I$2:$I$1001,продажи!$C$2:$C$1001)</f>
        <v>254.58333333333334</v>
      </c>
      <c r="L60" s="45">
        <f>продажи!$C60/продажи!$K60-1</f>
        <v>-0.65826513911620288</v>
      </c>
      <c r="M60" s="33">
        <f t="shared" si="0"/>
        <v>3604</v>
      </c>
      <c r="N60" s="24">
        <f>Таблица1[[#This Row],[цена за шт в рублях]]/Таблица1[[#This Row],[средняя стоимость в категории по поставщику.]]-1</f>
        <v>-0.97586015538290782</v>
      </c>
      <c r="O60" s="26">
        <f>VLOOKUP(Таблица1[[#This Row],[id клиента]],клиенты!$A$2:$E$435,5,0)</f>
        <v>44683</v>
      </c>
      <c r="P60">
        <f>Таблица1[[#This Row],[дата создания чека]]-Таблица1[[#This Row],[Дата регистрации клента]]</f>
        <v>740</v>
      </c>
      <c r="Q60" s="26">
        <f t="shared" ca="1" si="1"/>
        <v>46059</v>
      </c>
      <c r="R60" s="51">
        <f ca="1">(TODAY()-Таблица1[[#This Row],[Дата регистрации клента]])/30</f>
        <v>45.866666666666667</v>
      </c>
      <c r="S60" s="63" t="str">
        <f>VLOOKUP(Таблица1[[#This Row],[id клиента]],Таблица8[[id клиента]:[Страна]],7,0)</f>
        <v>Россия</v>
      </c>
      <c r="T60" s="26"/>
    </row>
    <row r="61" spans="1:20" ht="19.5" x14ac:dyDescent="0.4">
      <c r="A61" s="37">
        <v>60</v>
      </c>
      <c r="B61" s="31">
        <v>147</v>
      </c>
      <c r="C61" s="31">
        <v>238</v>
      </c>
      <c r="D61" s="31">
        <v>5</v>
      </c>
      <c r="E61" s="31">
        <v>1190</v>
      </c>
      <c r="F61" s="38">
        <v>44981</v>
      </c>
      <c r="G61" s="31" t="s">
        <v>15</v>
      </c>
      <c r="H61" s="31">
        <v>270</v>
      </c>
      <c r="I61" s="31" t="str">
        <f>VLOOKUP(продажи!$B61,товар!$A$1:$C$433,2)</f>
        <v>Конфеты</v>
      </c>
      <c r="J61" s="31" t="str">
        <f>VLOOKUP(B61,товар!$A$1:$C$433,3)</f>
        <v>Бабаевский</v>
      </c>
      <c r="K61" s="39">
        <f>AVERAGEIF(продажи!$I$2:$I$1001,продажи!$I$2:$I$1001,продажи!$C$2:$C$1001)</f>
        <v>267.85483870967744</v>
      </c>
      <c r="L61" s="40">
        <f>продажи!$C61/продажи!$K61-1</f>
        <v>-0.11145902330342627</v>
      </c>
      <c r="M61" s="33">
        <f t="shared" si="0"/>
        <v>6757</v>
      </c>
      <c r="N61" s="24">
        <f>Таблица1[[#This Row],[цена за шт в рублях]]/Таблица1[[#This Row],[средняя стоимость в категории по поставщику.]]-1</f>
        <v>-0.96477726801835129</v>
      </c>
      <c r="O61" s="26">
        <f>VLOOKUP(Таблица1[[#This Row],[id клиента]],клиенты!$A$2:$E$435,5,0)</f>
        <v>44827</v>
      </c>
      <c r="P61">
        <f>Таблица1[[#This Row],[дата создания чека]]-Таблица1[[#This Row],[Дата регистрации клента]]</f>
        <v>154</v>
      </c>
      <c r="Q61" s="26">
        <f t="shared" ca="1" si="1"/>
        <v>46059</v>
      </c>
      <c r="R61" s="51">
        <f ca="1">(TODAY()-Таблица1[[#This Row],[Дата регистрации клента]])/30</f>
        <v>41.06666666666667</v>
      </c>
      <c r="S61" s="63" t="str">
        <f>VLOOKUP(Таблица1[[#This Row],[id клиента]],Таблица8[[id клиента]:[Страна]],7,0)</f>
        <v>Таджикистан</v>
      </c>
      <c r="T61" s="26"/>
    </row>
    <row r="62" spans="1:20" ht="19.5" x14ac:dyDescent="0.4">
      <c r="A62" s="41">
        <v>61</v>
      </c>
      <c r="B62" s="42">
        <v>311</v>
      </c>
      <c r="C62" s="42">
        <v>238</v>
      </c>
      <c r="D62" s="42">
        <v>5</v>
      </c>
      <c r="E62" s="42">
        <v>1190</v>
      </c>
      <c r="F62" s="43">
        <v>45245</v>
      </c>
      <c r="G62" s="42" t="s">
        <v>15</v>
      </c>
      <c r="H62" s="42">
        <v>150</v>
      </c>
      <c r="I62" s="42" t="str">
        <f>VLOOKUP(продажи!$B62,товар!$A$1:$C$433,2)</f>
        <v>Макароны</v>
      </c>
      <c r="J62" s="42" t="str">
        <f>VLOOKUP(B62,товар!$A$1:$C$433,3)</f>
        <v>Паста Зара</v>
      </c>
      <c r="K62" s="44">
        <f>AVERAGEIF(продажи!$I$2:$I$1001,продажи!$I$2:$I$1001,продажи!$C$2:$C$1001)</f>
        <v>265.47674418604652</v>
      </c>
      <c r="L62" s="45">
        <f>продажи!$C62/продажи!$K62-1</f>
        <v>-0.10349962769918097</v>
      </c>
      <c r="M62" s="33">
        <f t="shared" si="0"/>
        <v>10237</v>
      </c>
      <c r="N62" s="24">
        <f>Таблица1[[#This Row],[цена за шт в рублях]]/Таблица1[[#This Row],[средняя стоимость в категории по поставщику.]]-1</f>
        <v>-0.97675100126990333</v>
      </c>
      <c r="O62" s="26">
        <f>VLOOKUP(Таблица1[[#This Row],[id клиента]],клиенты!$A$2:$E$435,5,0)</f>
        <v>44622</v>
      </c>
      <c r="P62">
        <f>Таблица1[[#This Row],[дата создания чека]]-Таблица1[[#This Row],[Дата регистрации клента]]</f>
        <v>623</v>
      </c>
      <c r="Q62" s="26">
        <f t="shared" ca="1" si="1"/>
        <v>46059</v>
      </c>
      <c r="R62" s="51">
        <f ca="1">(TODAY()-Таблица1[[#This Row],[Дата регистрации клента]])/30</f>
        <v>47.9</v>
      </c>
      <c r="S62" s="63" t="str">
        <f>VLOOKUP(Таблица1[[#This Row],[id клиента]],Таблица8[[id клиента]:[Страна]],7,0)</f>
        <v>Узбекистан</v>
      </c>
      <c r="T62" s="26"/>
    </row>
    <row r="63" spans="1:20" ht="19.5" x14ac:dyDescent="0.4">
      <c r="A63" s="37">
        <v>62</v>
      </c>
      <c r="B63" s="31">
        <v>465</v>
      </c>
      <c r="C63" s="31">
        <v>311</v>
      </c>
      <c r="D63" s="31">
        <v>2</v>
      </c>
      <c r="E63" s="31">
        <v>622</v>
      </c>
      <c r="F63" s="38">
        <v>44934</v>
      </c>
      <c r="G63" s="31" t="s">
        <v>9</v>
      </c>
      <c r="H63" s="31">
        <v>14</v>
      </c>
      <c r="I63" s="31" t="str">
        <f>VLOOKUP(продажи!$B63,товар!$A$1:$C$433,2)</f>
        <v>Йогурт</v>
      </c>
      <c r="J63" s="31" t="str">
        <f>VLOOKUP(B63,товар!$A$1:$C$433,3)</f>
        <v>Ростагроэкспорт</v>
      </c>
      <c r="K63" s="39">
        <f>AVERAGEIF(продажи!$I$2:$I$1001,продажи!$I$2:$I$1001,продажи!$C$2:$C$1001)</f>
        <v>263.25423728813558</v>
      </c>
      <c r="L63" s="40">
        <f>продажи!$C63/продажи!$K63-1</f>
        <v>0.18136749935616803</v>
      </c>
      <c r="M63" s="33">
        <f t="shared" si="0"/>
        <v>5929</v>
      </c>
      <c r="N63" s="24">
        <f>Таблица1[[#This Row],[цена за шт в рублях]]/Таблица1[[#This Row],[средняя стоимость в категории по поставщику.]]-1</f>
        <v>-0.94754596053297346</v>
      </c>
      <c r="O63" s="26">
        <f>VLOOKUP(Таблица1[[#This Row],[id клиента]],клиенты!$A$2:$E$435,5,0)</f>
        <v>44775</v>
      </c>
      <c r="P63">
        <f>Таблица1[[#This Row],[дата создания чека]]-Таблица1[[#This Row],[Дата регистрации клента]]</f>
        <v>159</v>
      </c>
      <c r="Q63" s="26">
        <f t="shared" ca="1" si="1"/>
        <v>46059</v>
      </c>
      <c r="R63" s="51">
        <f ca="1">(TODAY()-Таблица1[[#This Row],[Дата регистрации клента]])/30</f>
        <v>42.8</v>
      </c>
      <c r="S63" s="63" t="str">
        <f>VLOOKUP(Таблица1[[#This Row],[id клиента]],Таблица8[[id клиента]:[Страна]],7,0)</f>
        <v>Таджикистан</v>
      </c>
      <c r="T63" s="26"/>
    </row>
    <row r="64" spans="1:20" ht="19.5" x14ac:dyDescent="0.4">
      <c r="A64" s="41">
        <v>63</v>
      </c>
      <c r="B64" s="42">
        <v>449</v>
      </c>
      <c r="C64" s="42">
        <v>392</v>
      </c>
      <c r="D64" s="42">
        <v>3</v>
      </c>
      <c r="E64" s="42">
        <v>1176</v>
      </c>
      <c r="F64" s="43">
        <v>45267</v>
      </c>
      <c r="G64" s="42" t="s">
        <v>19</v>
      </c>
      <c r="H64" s="42">
        <v>371</v>
      </c>
      <c r="I64" s="42" t="str">
        <f>VLOOKUP(продажи!$B64,товар!$A$1:$C$433,2)</f>
        <v>Мясо</v>
      </c>
      <c r="J64" s="42" t="str">
        <f>VLOOKUP(B64,товар!$A$1:$C$433,3)</f>
        <v>Агрокомплекс</v>
      </c>
      <c r="K64" s="44">
        <f>AVERAGEIF(продажи!$I$2:$I$1001,продажи!$I$2:$I$1001,продажи!$C$2:$C$1001)</f>
        <v>271.74545454545455</v>
      </c>
      <c r="L64" s="45">
        <f>продажи!$C64/продажи!$K64-1</f>
        <v>0.44252642847584633</v>
      </c>
      <c r="M64" s="33">
        <f t="shared" si="0"/>
        <v>3112</v>
      </c>
      <c r="N64" s="24">
        <f>Таблица1[[#This Row],[цена за шт в рублях]]/Таблица1[[#This Row],[средняя стоимость в категории по поставщику.]]-1</f>
        <v>-0.87403598971722363</v>
      </c>
      <c r="O64" s="26">
        <f>VLOOKUP(Таблица1[[#This Row],[id клиента]],клиенты!$A$2:$E$435,5,0)</f>
        <v>44844</v>
      </c>
      <c r="P64">
        <f>Таблица1[[#This Row],[дата создания чека]]-Таблица1[[#This Row],[Дата регистрации клента]]</f>
        <v>423</v>
      </c>
      <c r="Q64" s="26">
        <f t="shared" ca="1" si="1"/>
        <v>46059</v>
      </c>
      <c r="R64" s="51">
        <f ca="1">(TODAY()-Таблица1[[#This Row],[Дата регистрации клента]])/30</f>
        <v>40.5</v>
      </c>
      <c r="S64" s="63" t="str">
        <f>VLOOKUP(Таблица1[[#This Row],[id клиента]],Таблица8[[id клиента]:[Страна]],7,0)</f>
        <v>Украина</v>
      </c>
      <c r="T64" s="26"/>
    </row>
    <row r="65" spans="1:20" ht="19.5" x14ac:dyDescent="0.4">
      <c r="A65" s="37">
        <v>64</v>
      </c>
      <c r="B65" s="31">
        <v>144</v>
      </c>
      <c r="C65" s="31">
        <v>473</v>
      </c>
      <c r="D65" s="31">
        <v>5</v>
      </c>
      <c r="E65" s="31">
        <v>2365</v>
      </c>
      <c r="F65" s="38">
        <v>45280</v>
      </c>
      <c r="G65" s="31" t="s">
        <v>17</v>
      </c>
      <c r="H65" s="31">
        <v>328</v>
      </c>
      <c r="I65" s="31" t="str">
        <f>VLOOKUP(продажи!$B65,товар!$A$1:$C$433,2)</f>
        <v>Макароны</v>
      </c>
      <c r="J65" s="31" t="str">
        <f>VLOOKUP(B65,товар!$A$1:$C$433,3)</f>
        <v>Роллтон</v>
      </c>
      <c r="K65" s="39">
        <f>AVERAGEIF(продажи!$I$2:$I$1001,продажи!$I$2:$I$1001,продажи!$C$2:$C$1001)</f>
        <v>265.47674418604652</v>
      </c>
      <c r="L65" s="40">
        <f>продажи!$C65/продажи!$K65-1</f>
        <v>0.78170031974070331</v>
      </c>
      <c r="M65" s="33">
        <f t="shared" si="0"/>
        <v>2120</v>
      </c>
      <c r="N65" s="24">
        <f>Таблица1[[#This Row],[цена за шт в рублях]]/Таблица1[[#This Row],[средняя стоимость в категории по поставщику.]]-1</f>
        <v>-0.77688679245283021</v>
      </c>
      <c r="O65" s="26">
        <f>VLOOKUP(Таблица1[[#This Row],[id клиента]],клиенты!$A$2:$E$435,5,0)</f>
        <v>44568</v>
      </c>
      <c r="P65">
        <f>Таблица1[[#This Row],[дата создания чека]]-Таблица1[[#This Row],[Дата регистрации клента]]</f>
        <v>712</v>
      </c>
      <c r="Q65" s="26">
        <f t="shared" ca="1" si="1"/>
        <v>46059</v>
      </c>
      <c r="R65" s="51">
        <f ca="1">(TODAY()-Таблица1[[#This Row],[Дата регистрации клента]])/30</f>
        <v>49.7</v>
      </c>
      <c r="S65" s="63" t="str">
        <f>VLOOKUP(Таблица1[[#This Row],[id клиента]],Таблица8[[id клиента]:[Страна]],7,0)</f>
        <v>Россия</v>
      </c>
      <c r="T65" s="26"/>
    </row>
    <row r="66" spans="1:20" ht="19.5" x14ac:dyDescent="0.4">
      <c r="A66" s="41">
        <v>65</v>
      </c>
      <c r="B66" s="42">
        <v>375</v>
      </c>
      <c r="C66" s="42">
        <v>231</v>
      </c>
      <c r="D66" s="42">
        <v>2</v>
      </c>
      <c r="E66" s="42">
        <v>462</v>
      </c>
      <c r="F66" s="43">
        <v>45114</v>
      </c>
      <c r="G66" s="42" t="s">
        <v>18</v>
      </c>
      <c r="H66" s="42">
        <v>171</v>
      </c>
      <c r="I66" s="42" t="str">
        <f>VLOOKUP(продажи!$B66,товар!$A$1:$C$433,2)</f>
        <v>Макароны</v>
      </c>
      <c r="J66" s="42" t="str">
        <f>VLOOKUP(B66,товар!$A$1:$C$433,3)</f>
        <v>Борилла</v>
      </c>
      <c r="K66" s="44">
        <f>AVERAGEIF(продажи!$I$2:$I$1001,продажи!$I$2:$I$1001,продажи!$C$2:$C$1001)</f>
        <v>265.47674418604652</v>
      </c>
      <c r="L66" s="45">
        <f>продажи!$C66/продажи!$K66-1</f>
        <v>-0.12986728570802852</v>
      </c>
      <c r="M66" s="33">
        <f t="shared" ref="M66:M129" si="2">SUMIFS($C$2:$C$1001,$I$2:$I$1001,I66,$J$2:$J$1001,J66)</f>
        <v>6852</v>
      </c>
      <c r="N66" s="24">
        <f>Таблица1[[#This Row],[цена за шт в рублях]]/Таблица1[[#This Row],[средняя стоимость в категории по поставщику.]]-1</f>
        <v>-0.96628721541155871</v>
      </c>
      <c r="O66" s="26">
        <f>VLOOKUP(Таблица1[[#This Row],[id клиента]],клиенты!$A$2:$E$435,5,0)</f>
        <v>44710</v>
      </c>
      <c r="P66">
        <f>Таблица1[[#This Row],[дата создания чека]]-Таблица1[[#This Row],[Дата регистрации клента]]</f>
        <v>404</v>
      </c>
      <c r="Q66" s="26">
        <f t="shared" ref="Q66:Q129" ca="1" si="3">TODAY()</f>
        <v>46059</v>
      </c>
      <c r="R66" s="51">
        <f ca="1">(TODAY()-Таблица1[[#This Row],[Дата регистрации клента]])/30</f>
        <v>44.966666666666669</v>
      </c>
      <c r="S66" s="63" t="str">
        <f>VLOOKUP(Таблица1[[#This Row],[id клиента]],Таблица8[[id клиента]:[Страна]],7,0)</f>
        <v>Россия</v>
      </c>
      <c r="T66" s="26"/>
    </row>
    <row r="67" spans="1:20" ht="19.5" x14ac:dyDescent="0.4">
      <c r="A67" s="37">
        <v>66</v>
      </c>
      <c r="B67" s="31">
        <v>408</v>
      </c>
      <c r="C67" s="31">
        <v>438</v>
      </c>
      <c r="D67" s="31">
        <v>3</v>
      </c>
      <c r="E67" s="31">
        <v>1314</v>
      </c>
      <c r="F67" s="38">
        <v>44973</v>
      </c>
      <c r="G67" s="31" t="s">
        <v>19</v>
      </c>
      <c r="H67" s="31">
        <v>68</v>
      </c>
      <c r="I67" s="31" t="str">
        <f>VLOOKUP(продажи!$B67,товар!$A$1:$C$433,2)</f>
        <v>Йогурт</v>
      </c>
      <c r="J67" s="31" t="str">
        <f>VLOOKUP(B67,товар!$A$1:$C$433,3)</f>
        <v>Эрманн</v>
      </c>
      <c r="K67" s="39">
        <f>AVERAGEIF(продажи!$I$2:$I$1001,продажи!$I$2:$I$1001,продажи!$C$2:$C$1001)</f>
        <v>263.25423728813558</v>
      </c>
      <c r="L67" s="40">
        <f>продажи!$C67/продажи!$K67-1</f>
        <v>0.66379088333762559</v>
      </c>
      <c r="M67" s="33">
        <f t="shared" si="2"/>
        <v>4970</v>
      </c>
      <c r="N67" s="24">
        <f>Таблица1[[#This Row],[цена за шт в рублях]]/Таблица1[[#This Row],[средняя стоимость в категории по поставщику.]]-1</f>
        <v>-0.91187122736418513</v>
      </c>
      <c r="O67" s="26">
        <f>VLOOKUP(Таблица1[[#This Row],[id клиента]],клиенты!$A$2:$E$435,5,0)</f>
        <v>44882</v>
      </c>
      <c r="P67">
        <f>Таблица1[[#This Row],[дата создания чека]]-Таблица1[[#This Row],[Дата регистрации клента]]</f>
        <v>91</v>
      </c>
      <c r="Q67" s="26">
        <f t="shared" ca="1" si="3"/>
        <v>46059</v>
      </c>
      <c r="R67" s="51">
        <f ca="1">(TODAY()-Таблица1[[#This Row],[Дата регистрации клента]])/30</f>
        <v>39.233333333333334</v>
      </c>
      <c r="S67" s="63" t="str">
        <f>VLOOKUP(Таблица1[[#This Row],[id клиента]],Таблица8[[id клиента]:[Страна]],7,0)</f>
        <v>Узбекистан</v>
      </c>
      <c r="T67" s="26"/>
    </row>
    <row r="68" spans="1:20" ht="19.5" x14ac:dyDescent="0.4">
      <c r="A68" s="41">
        <v>67</v>
      </c>
      <c r="B68" s="42">
        <v>425</v>
      </c>
      <c r="C68" s="42">
        <v>365</v>
      </c>
      <c r="D68" s="42">
        <v>2</v>
      </c>
      <c r="E68" s="42">
        <v>730</v>
      </c>
      <c r="F68" s="43">
        <v>44989</v>
      </c>
      <c r="G68" s="42" t="s">
        <v>21</v>
      </c>
      <c r="H68" s="42">
        <v>346</v>
      </c>
      <c r="I68" s="42" t="str">
        <f>VLOOKUP(продажи!$B68,товар!$A$1:$C$433,2)</f>
        <v>Соль</v>
      </c>
      <c r="J68" s="42" t="str">
        <f>VLOOKUP(B68,товар!$A$1:$C$433,3)</f>
        <v>Экстра</v>
      </c>
      <c r="K68" s="44">
        <f>AVERAGEIF(продажи!$I$2:$I$1001,продажи!$I$2:$I$1001,продажи!$C$2:$C$1001)</f>
        <v>264.8679245283019</v>
      </c>
      <c r="L68" s="45">
        <f>продажи!$C68/продажи!$K68-1</f>
        <v>0.37804530559908822</v>
      </c>
      <c r="M68" s="33">
        <f t="shared" si="2"/>
        <v>4171</v>
      </c>
      <c r="N68" s="24">
        <f>Таблица1[[#This Row],[цена за шт в рублях]]/Таблица1[[#This Row],[средняя стоимость в категории по поставщику.]]-1</f>
        <v>-0.91249100935027572</v>
      </c>
      <c r="O68" s="26">
        <f>VLOOKUP(Таблица1[[#This Row],[id клиента]],клиенты!$A$2:$E$435,5,0)</f>
        <v>44636</v>
      </c>
      <c r="P68">
        <f>Таблица1[[#This Row],[дата создания чека]]-Таблица1[[#This Row],[Дата регистрации клента]]</f>
        <v>353</v>
      </c>
      <c r="Q68" s="26">
        <f t="shared" ca="1" si="3"/>
        <v>46059</v>
      </c>
      <c r="R68" s="51">
        <f ca="1">(TODAY()-Таблица1[[#This Row],[Дата регистрации клента]])/30</f>
        <v>47.43333333333333</v>
      </c>
      <c r="S68" s="63" t="str">
        <f>VLOOKUP(Таблица1[[#This Row],[id клиента]],Таблица8[[id клиента]:[Страна]],7,0)</f>
        <v>Россия</v>
      </c>
      <c r="T68" s="26"/>
    </row>
    <row r="69" spans="1:20" ht="19.5" x14ac:dyDescent="0.4">
      <c r="A69" s="37">
        <v>68</v>
      </c>
      <c r="B69" s="31">
        <v>277</v>
      </c>
      <c r="C69" s="31">
        <v>324</v>
      </c>
      <c r="D69" s="31">
        <v>2</v>
      </c>
      <c r="E69" s="31">
        <v>648</v>
      </c>
      <c r="F69" s="38">
        <v>45287</v>
      </c>
      <c r="G69" s="31" t="s">
        <v>21</v>
      </c>
      <c r="H69" s="31">
        <v>415</v>
      </c>
      <c r="I69" s="31" t="str">
        <f>VLOOKUP(продажи!$B69,товар!$A$1:$C$433,2)</f>
        <v>Чай</v>
      </c>
      <c r="J69" s="31" t="str">
        <f>VLOOKUP(B69,товар!$A$1:$C$433,3)</f>
        <v>Greenfield</v>
      </c>
      <c r="K69" s="39">
        <f>AVERAGEIF(продажи!$I$2:$I$1001,продажи!$I$2:$I$1001,продажи!$C$2:$C$1001)</f>
        <v>271.18181818181819</v>
      </c>
      <c r="L69" s="40">
        <f>продажи!$C69/продажи!$K69-1</f>
        <v>0.19477036540395565</v>
      </c>
      <c r="M69" s="33">
        <f t="shared" si="2"/>
        <v>6412</v>
      </c>
      <c r="N69" s="24">
        <f>Таблица1[[#This Row],[цена за шт в рублях]]/Таблица1[[#This Row],[средняя стоимость в категории по поставщику.]]-1</f>
        <v>-0.94946974422956953</v>
      </c>
      <c r="O69" s="26">
        <f>VLOOKUP(Таблица1[[#This Row],[id клиента]],клиенты!$A$2:$E$435,5,0)</f>
        <v>44661</v>
      </c>
      <c r="P69">
        <f>Таблица1[[#This Row],[дата создания чека]]-Таблица1[[#This Row],[Дата регистрации клента]]</f>
        <v>626</v>
      </c>
      <c r="Q69" s="26">
        <f t="shared" ca="1" si="3"/>
        <v>46059</v>
      </c>
      <c r="R69" s="51">
        <f ca="1">(TODAY()-Таблица1[[#This Row],[Дата регистрации клента]])/30</f>
        <v>46.6</v>
      </c>
      <c r="S69" s="63" t="str">
        <f>VLOOKUP(Таблица1[[#This Row],[id клиента]],Таблица8[[id клиента]:[Страна]],7,0)</f>
        <v>Украина</v>
      </c>
      <c r="T69" s="26"/>
    </row>
    <row r="70" spans="1:20" ht="19.5" x14ac:dyDescent="0.4">
      <c r="A70" s="41">
        <v>69</v>
      </c>
      <c r="B70" s="42">
        <v>130</v>
      </c>
      <c r="C70" s="42">
        <v>208</v>
      </c>
      <c r="D70" s="42">
        <v>5</v>
      </c>
      <c r="E70" s="42">
        <v>1040</v>
      </c>
      <c r="F70" s="43">
        <v>44975</v>
      </c>
      <c r="G70" s="42" t="s">
        <v>15</v>
      </c>
      <c r="H70" s="42">
        <v>115</v>
      </c>
      <c r="I70" s="42" t="str">
        <f>VLOOKUP(продажи!$B70,товар!$A$1:$C$433,2)</f>
        <v>Соль</v>
      </c>
      <c r="J70" s="42" t="str">
        <f>VLOOKUP(B70,товар!$A$1:$C$433,3)</f>
        <v>Илецкая</v>
      </c>
      <c r="K70" s="44">
        <f>AVERAGEIF(продажи!$I$2:$I$1001,продажи!$I$2:$I$1001,продажи!$C$2:$C$1001)</f>
        <v>264.8679245283019</v>
      </c>
      <c r="L70" s="45">
        <f>продажи!$C70/продажи!$K70-1</f>
        <v>-0.21470294913805388</v>
      </c>
      <c r="M70" s="33">
        <f t="shared" si="2"/>
        <v>4287</v>
      </c>
      <c r="N70" s="24">
        <f>Таблица1[[#This Row],[цена за шт в рублях]]/Таблица1[[#This Row],[средняя стоимость в категории по поставщику.]]-1</f>
        <v>-0.95148122229997667</v>
      </c>
      <c r="O70" s="26">
        <f>VLOOKUP(Таблица1[[#This Row],[id клиента]],клиенты!$A$2:$E$435,5,0)</f>
        <v>44832</v>
      </c>
      <c r="P70">
        <f>Таблица1[[#This Row],[дата создания чека]]-Таблица1[[#This Row],[Дата регистрации клента]]</f>
        <v>143</v>
      </c>
      <c r="Q70" s="26">
        <f t="shared" ca="1" si="3"/>
        <v>46059</v>
      </c>
      <c r="R70" s="51">
        <f ca="1">(TODAY()-Таблица1[[#This Row],[Дата регистрации клента]])/30</f>
        <v>40.9</v>
      </c>
      <c r="S70" s="63" t="str">
        <f>VLOOKUP(Таблица1[[#This Row],[id клиента]],Таблица8[[id клиента]:[Страна]],7,0)</f>
        <v>Беларусь</v>
      </c>
      <c r="T70" s="26"/>
    </row>
    <row r="71" spans="1:20" ht="19.5" x14ac:dyDescent="0.4">
      <c r="A71" s="37">
        <v>70</v>
      </c>
      <c r="B71" s="31">
        <v>337</v>
      </c>
      <c r="C71" s="31">
        <v>115</v>
      </c>
      <c r="D71" s="31">
        <v>3</v>
      </c>
      <c r="E71" s="31">
        <v>345</v>
      </c>
      <c r="F71" s="38">
        <v>45046</v>
      </c>
      <c r="G71" s="31" t="s">
        <v>8</v>
      </c>
      <c r="H71" s="31">
        <v>42</v>
      </c>
      <c r="I71" s="31" t="str">
        <f>VLOOKUP(продажи!$B71,товар!$A$1:$C$433,2)</f>
        <v>Макароны</v>
      </c>
      <c r="J71" s="31" t="str">
        <f>VLOOKUP(B71,товар!$A$1:$C$433,3)</f>
        <v>Паста Зара</v>
      </c>
      <c r="K71" s="39">
        <f>AVERAGEIF(продажи!$I$2:$I$1001,продажи!$I$2:$I$1001,продажи!$C$2:$C$1001)</f>
        <v>265.47674418604652</v>
      </c>
      <c r="L71" s="40">
        <f>продажи!$C71/продажи!$K71-1</f>
        <v>-0.56681704699750335</v>
      </c>
      <c r="M71" s="33">
        <f t="shared" si="2"/>
        <v>10237</v>
      </c>
      <c r="N71" s="24">
        <f>Таблица1[[#This Row],[цена за шт в рублях]]/Таблица1[[#This Row],[средняя стоимость в категории по поставщику.]]-1</f>
        <v>-0.98876624010940706</v>
      </c>
      <c r="O71" s="26">
        <f>VLOOKUP(Таблица1[[#This Row],[id клиента]],клиенты!$A$2:$E$435,5,0)</f>
        <v>44783</v>
      </c>
      <c r="P71">
        <f>Таблица1[[#This Row],[дата создания чека]]-Таблица1[[#This Row],[Дата регистрации клента]]</f>
        <v>263</v>
      </c>
      <c r="Q71" s="26">
        <f t="shared" ca="1" si="3"/>
        <v>46059</v>
      </c>
      <c r="R71" s="51">
        <f ca="1">(TODAY()-Таблица1[[#This Row],[Дата регистрации клента]])/30</f>
        <v>42.533333333333331</v>
      </c>
      <c r="S71" s="63" t="str">
        <f>VLOOKUP(Таблица1[[#This Row],[id клиента]],Таблица8[[id клиента]:[Страна]],7,0)</f>
        <v>Таджикистан</v>
      </c>
      <c r="T71" s="26"/>
    </row>
    <row r="72" spans="1:20" ht="19.5" x14ac:dyDescent="0.4">
      <c r="A72" s="41">
        <v>71</v>
      </c>
      <c r="B72" s="42">
        <v>30</v>
      </c>
      <c r="C72" s="42">
        <v>261</v>
      </c>
      <c r="D72" s="42">
        <v>1</v>
      </c>
      <c r="E72" s="42">
        <v>261</v>
      </c>
      <c r="F72" s="43">
        <v>45000</v>
      </c>
      <c r="G72" s="42" t="s">
        <v>22</v>
      </c>
      <c r="H72" s="42">
        <v>378</v>
      </c>
      <c r="I72" s="42" t="str">
        <f>VLOOKUP(продажи!$B72,товар!$A$1:$C$433,2)</f>
        <v>Чипсы</v>
      </c>
      <c r="J72" s="42" t="str">
        <f>VLOOKUP(B72,товар!$A$1:$C$433,3)</f>
        <v>Pringles</v>
      </c>
      <c r="K72" s="44">
        <f>AVERAGEIF(продажи!$I$2:$I$1001,продажи!$I$2:$I$1001,продажи!$C$2:$C$1001)</f>
        <v>273.72549019607845</v>
      </c>
      <c r="L72" s="45">
        <f>продажи!$C72/продажи!$K72-1</f>
        <v>-4.6489971346704961E-2</v>
      </c>
      <c r="M72" s="33">
        <f t="shared" si="2"/>
        <v>5885</v>
      </c>
      <c r="N72" s="24">
        <f>Таблица1[[#This Row],[цена за шт в рублях]]/Таблица1[[#This Row],[средняя стоимость в категории по поставщику.]]-1</f>
        <v>-0.95564995751911641</v>
      </c>
      <c r="O72" s="26">
        <f>VLOOKUP(Таблица1[[#This Row],[id клиента]],клиенты!$A$2:$E$435,5,0)</f>
        <v>44710</v>
      </c>
      <c r="P72">
        <f>Таблица1[[#This Row],[дата создания чека]]-Таблица1[[#This Row],[Дата регистрации клента]]</f>
        <v>290</v>
      </c>
      <c r="Q72" s="26">
        <f t="shared" ca="1" si="3"/>
        <v>46059</v>
      </c>
      <c r="R72" s="51">
        <f ca="1">(TODAY()-Таблица1[[#This Row],[Дата регистрации клента]])/30</f>
        <v>44.966666666666669</v>
      </c>
      <c r="S72" s="63" t="str">
        <f>VLOOKUP(Таблица1[[#This Row],[id клиента]],Таблица8[[id клиента]:[Страна]],7,0)</f>
        <v>Россия</v>
      </c>
      <c r="T72" s="26"/>
    </row>
    <row r="73" spans="1:20" ht="19.5" x14ac:dyDescent="0.4">
      <c r="A73" s="37">
        <v>72</v>
      </c>
      <c r="B73" s="31">
        <v>75</v>
      </c>
      <c r="C73" s="31">
        <v>257</v>
      </c>
      <c r="D73" s="31">
        <v>2</v>
      </c>
      <c r="E73" s="31">
        <v>514</v>
      </c>
      <c r="F73" s="38">
        <v>45306</v>
      </c>
      <c r="G73" s="31" t="s">
        <v>25</v>
      </c>
      <c r="H73" s="31">
        <v>449</v>
      </c>
      <c r="I73" s="31" t="str">
        <f>VLOOKUP(продажи!$B73,товар!$A$1:$C$433,2)</f>
        <v>Печенье</v>
      </c>
      <c r="J73" s="31" t="str">
        <f>VLOOKUP(B73,товар!$A$1:$C$433,3)</f>
        <v>Белогорье</v>
      </c>
      <c r="K73" s="39">
        <f>AVERAGEIF(продажи!$I$2:$I$1001,продажи!$I$2:$I$1001,продажи!$C$2:$C$1001)</f>
        <v>283.468085106383</v>
      </c>
      <c r="L73" s="40">
        <f>продажи!$C73/продажи!$K73-1</f>
        <v>-9.3372363581775919E-2</v>
      </c>
      <c r="M73" s="33">
        <f t="shared" si="2"/>
        <v>3493</v>
      </c>
      <c r="N73" s="24">
        <f>Таблица1[[#This Row],[цена за шт в рублях]]/Таблица1[[#This Row],[средняя стоимость в категории по поставщику.]]-1</f>
        <v>-0.92642427712567987</v>
      </c>
      <c r="O73" s="26">
        <f>VLOOKUP(Таблица1[[#This Row],[id клиента]],клиенты!$A$2:$E$435,5,0)</f>
        <v>44645</v>
      </c>
      <c r="P73">
        <f>Таблица1[[#This Row],[дата создания чека]]-Таблица1[[#This Row],[Дата регистрации клента]]</f>
        <v>661</v>
      </c>
      <c r="Q73" s="26">
        <f t="shared" ca="1" si="3"/>
        <v>46059</v>
      </c>
      <c r="R73" s="51">
        <f ca="1">(TODAY()-Таблица1[[#This Row],[Дата регистрации клента]])/30</f>
        <v>47.133333333333333</v>
      </c>
      <c r="S73" s="63" t="str">
        <f>VLOOKUP(Таблица1[[#This Row],[id клиента]],Таблица8[[id клиента]:[Страна]],7,0)</f>
        <v>Таджикистан</v>
      </c>
      <c r="T73" s="26"/>
    </row>
    <row r="74" spans="1:20" ht="19.5" x14ac:dyDescent="0.4">
      <c r="A74" s="41">
        <v>73</v>
      </c>
      <c r="B74" s="42">
        <v>118</v>
      </c>
      <c r="C74" s="42">
        <v>459</v>
      </c>
      <c r="D74" s="42">
        <v>2</v>
      </c>
      <c r="E74" s="42">
        <v>918</v>
      </c>
      <c r="F74" s="43">
        <v>44993</v>
      </c>
      <c r="G74" s="42" t="s">
        <v>17</v>
      </c>
      <c r="H74" s="42">
        <v>318</v>
      </c>
      <c r="I74" s="42" t="str">
        <f>VLOOKUP(продажи!$B74,товар!$A$1:$C$433,2)</f>
        <v>Сахар</v>
      </c>
      <c r="J74" s="42" t="str">
        <f>VLOOKUP(B74,товар!$A$1:$C$433,3)</f>
        <v>Продимекс</v>
      </c>
      <c r="K74" s="44">
        <f>AVERAGEIF(продажи!$I$2:$I$1001,продажи!$I$2:$I$1001,продажи!$C$2:$C$1001)</f>
        <v>254.58333333333334</v>
      </c>
      <c r="L74" s="45">
        <f>продажи!$C74/продажи!$K74-1</f>
        <v>0.80294599018003265</v>
      </c>
      <c r="M74" s="33">
        <f t="shared" si="2"/>
        <v>5172</v>
      </c>
      <c r="N74" s="24">
        <f>Таблица1[[#This Row],[цена за шт в рублях]]/Таблица1[[#This Row],[средняя стоимость в категории по поставщику.]]-1</f>
        <v>-0.91125290023201855</v>
      </c>
      <c r="O74" s="26">
        <f>VLOOKUP(Таблица1[[#This Row],[id клиента]],клиенты!$A$2:$E$435,5,0)</f>
        <v>44892</v>
      </c>
      <c r="P74">
        <f>Таблица1[[#This Row],[дата создания чека]]-Таблица1[[#This Row],[Дата регистрации клента]]</f>
        <v>101</v>
      </c>
      <c r="Q74" s="26">
        <f t="shared" ca="1" si="3"/>
        <v>46059</v>
      </c>
      <c r="R74" s="51">
        <f ca="1">(TODAY()-Таблица1[[#This Row],[Дата регистрации клента]])/30</f>
        <v>38.9</v>
      </c>
      <c r="S74" s="63" t="str">
        <f>VLOOKUP(Таблица1[[#This Row],[id клиента]],Таблица8[[id клиента]:[Страна]],7,0)</f>
        <v>Узбекистан</v>
      </c>
      <c r="T74" s="26"/>
    </row>
    <row r="75" spans="1:20" ht="19.5" x14ac:dyDescent="0.4">
      <c r="A75" s="37">
        <v>74</v>
      </c>
      <c r="B75" s="31">
        <v>19</v>
      </c>
      <c r="C75" s="31">
        <v>112</v>
      </c>
      <c r="D75" s="31">
        <v>4</v>
      </c>
      <c r="E75" s="31">
        <v>448</v>
      </c>
      <c r="F75" s="38">
        <v>45360</v>
      </c>
      <c r="G75" s="31" t="s">
        <v>17</v>
      </c>
      <c r="H75" s="31">
        <v>317</v>
      </c>
      <c r="I75" s="31" t="str">
        <f>VLOOKUP(продажи!$B75,товар!$A$1:$C$433,2)</f>
        <v>Мясо</v>
      </c>
      <c r="J75" s="31" t="str">
        <f>VLOOKUP(B75,товар!$A$1:$C$433,3)</f>
        <v>Снежана</v>
      </c>
      <c r="K75" s="39">
        <f>AVERAGEIF(продажи!$I$2:$I$1001,продажи!$I$2:$I$1001,продажи!$C$2:$C$1001)</f>
        <v>271.74545454545455</v>
      </c>
      <c r="L75" s="40">
        <f>продажи!$C75/продажи!$K75-1</f>
        <v>-0.58784959186404384</v>
      </c>
      <c r="M75" s="33">
        <f t="shared" si="2"/>
        <v>4630</v>
      </c>
      <c r="N75" s="24">
        <f>Таблица1[[#This Row],[цена за шт в рублях]]/Таблица1[[#This Row],[средняя стоимость в категории по поставщику.]]-1</f>
        <v>-0.97580993520518355</v>
      </c>
      <c r="O75" s="26">
        <f>VLOOKUP(Таблица1[[#This Row],[id клиента]],клиенты!$A$2:$E$435,5,0)</f>
        <v>44770</v>
      </c>
      <c r="P75">
        <f>Таблица1[[#This Row],[дата создания чека]]-Таблица1[[#This Row],[Дата регистрации клента]]</f>
        <v>590</v>
      </c>
      <c r="Q75" s="26">
        <f t="shared" ca="1" si="3"/>
        <v>46059</v>
      </c>
      <c r="R75" s="51">
        <f ca="1">(TODAY()-Таблица1[[#This Row],[Дата регистрации клента]])/30</f>
        <v>42.966666666666669</v>
      </c>
      <c r="S75" s="63" t="str">
        <f>VLOOKUP(Таблица1[[#This Row],[id клиента]],Таблица8[[id клиента]:[Страна]],7,0)</f>
        <v>Россия</v>
      </c>
      <c r="T75" s="26"/>
    </row>
    <row r="76" spans="1:20" ht="19.5" x14ac:dyDescent="0.4">
      <c r="A76" s="41">
        <v>75</v>
      </c>
      <c r="B76" s="42">
        <v>204</v>
      </c>
      <c r="C76" s="42">
        <v>491</v>
      </c>
      <c r="D76" s="42">
        <v>4</v>
      </c>
      <c r="E76" s="42">
        <v>1964</v>
      </c>
      <c r="F76" s="43">
        <v>44930</v>
      </c>
      <c r="G76" s="42" t="s">
        <v>18</v>
      </c>
      <c r="H76" s="42">
        <v>426</v>
      </c>
      <c r="I76" s="42" t="str">
        <f>VLOOKUP(продажи!$B76,товар!$A$1:$C$433,2)</f>
        <v>Печенье</v>
      </c>
      <c r="J76" s="42" t="str">
        <f>VLOOKUP(B76,товар!$A$1:$C$433,3)</f>
        <v>Юбилейное</v>
      </c>
      <c r="K76" s="44">
        <f>AVERAGEIF(продажи!$I$2:$I$1001,продажи!$I$2:$I$1001,продажи!$C$2:$C$1001)</f>
        <v>283.468085106383</v>
      </c>
      <c r="L76" s="45">
        <f>продажи!$C76/продажи!$K76-1</f>
        <v>0.73211739097800788</v>
      </c>
      <c r="M76" s="33">
        <f t="shared" si="2"/>
        <v>2092</v>
      </c>
      <c r="N76" s="24">
        <f>Таблица1[[#This Row],[цена за шт в рублях]]/Таблица1[[#This Row],[средняя стоимость в категории по поставщику.]]-1</f>
        <v>-0.76529636711281068</v>
      </c>
      <c r="O76" s="26">
        <f>VLOOKUP(Таблица1[[#This Row],[id клиента]],клиенты!$A$2:$E$435,5,0)</f>
        <v>44768</v>
      </c>
      <c r="P76">
        <f>Таблица1[[#This Row],[дата создания чека]]-Таблица1[[#This Row],[Дата регистрации клента]]</f>
        <v>162</v>
      </c>
      <c r="Q76" s="26">
        <f t="shared" ca="1" si="3"/>
        <v>46059</v>
      </c>
      <c r="R76" s="51">
        <f ca="1">(TODAY()-Таблица1[[#This Row],[Дата регистрации клента]])/30</f>
        <v>43.033333333333331</v>
      </c>
      <c r="S76" s="63" t="str">
        <f>VLOOKUP(Таблица1[[#This Row],[id клиента]],Таблица8[[id клиента]:[Страна]],7,0)</f>
        <v>Таджикистан</v>
      </c>
      <c r="T76" s="26"/>
    </row>
    <row r="77" spans="1:20" ht="19.5" x14ac:dyDescent="0.4">
      <c r="A77" s="37">
        <v>76</v>
      </c>
      <c r="B77" s="31">
        <v>304</v>
      </c>
      <c r="C77" s="31">
        <v>162</v>
      </c>
      <c r="D77" s="31">
        <v>1</v>
      </c>
      <c r="E77" s="31">
        <v>162</v>
      </c>
      <c r="F77" s="38">
        <v>45316</v>
      </c>
      <c r="G77" s="31" t="s">
        <v>15</v>
      </c>
      <c r="H77" s="31">
        <v>25</v>
      </c>
      <c r="I77" s="31" t="str">
        <f>VLOOKUP(продажи!$B77,товар!$A$1:$C$433,2)</f>
        <v>Конфеты</v>
      </c>
      <c r="J77" s="31" t="str">
        <f>VLOOKUP(B77,товар!$A$1:$C$433,3)</f>
        <v>Рот Фронт</v>
      </c>
      <c r="K77" s="39">
        <f>AVERAGEIF(продажи!$I$2:$I$1001,продажи!$I$2:$I$1001,продажи!$C$2:$C$1001)</f>
        <v>267.85483870967744</v>
      </c>
      <c r="L77" s="40">
        <f>продажи!$C77/продажи!$K77-1</f>
        <v>-0.39519479737460106</v>
      </c>
      <c r="M77" s="33">
        <f t="shared" si="2"/>
        <v>6053</v>
      </c>
      <c r="N77" s="24">
        <f>Таблица1[[#This Row],[цена за шт в рублях]]/Таблица1[[#This Row],[средняя стоимость в категории по поставщику.]]-1</f>
        <v>-0.97323641169667929</v>
      </c>
      <c r="O77" s="26">
        <f>VLOOKUP(Таблица1[[#This Row],[id клиента]],клиенты!$A$2:$E$435,5,0)</f>
        <v>44582</v>
      </c>
      <c r="P77">
        <f>Таблица1[[#This Row],[дата создания чека]]-Таблица1[[#This Row],[Дата регистрации клента]]</f>
        <v>734</v>
      </c>
      <c r="Q77" s="26">
        <f t="shared" ca="1" si="3"/>
        <v>46059</v>
      </c>
      <c r="R77" s="51">
        <f ca="1">(TODAY()-Таблица1[[#This Row],[Дата регистрации клента]])/30</f>
        <v>49.233333333333334</v>
      </c>
      <c r="S77" s="63" t="str">
        <f>VLOOKUP(Таблица1[[#This Row],[id клиента]],Таблица8[[id клиента]:[Страна]],7,0)</f>
        <v>Таджикистан</v>
      </c>
      <c r="T77" s="26"/>
    </row>
    <row r="78" spans="1:20" ht="19.5" x14ac:dyDescent="0.4">
      <c r="A78" s="41">
        <v>77</v>
      </c>
      <c r="B78" s="42">
        <v>189</v>
      </c>
      <c r="C78" s="42">
        <v>278</v>
      </c>
      <c r="D78" s="42">
        <v>2</v>
      </c>
      <c r="E78" s="42">
        <v>556</v>
      </c>
      <c r="F78" s="43">
        <v>45109</v>
      </c>
      <c r="G78" s="42" t="s">
        <v>23</v>
      </c>
      <c r="H78" s="42">
        <v>462</v>
      </c>
      <c r="I78" s="42" t="str">
        <f>VLOOKUP(продажи!$B78,товар!$A$1:$C$433,2)</f>
        <v>Хлеб</v>
      </c>
      <c r="J78" s="42" t="str">
        <f>VLOOKUP(B78,товар!$A$1:$C$433,3)</f>
        <v>Дарница</v>
      </c>
      <c r="K78" s="44">
        <f>AVERAGEIF(продажи!$I$2:$I$1001,продажи!$I$2:$I$1001,продажи!$C$2:$C$1001)</f>
        <v>300.31818181818181</v>
      </c>
      <c r="L78" s="45">
        <f>продажи!$C78/продажи!$K78-1</f>
        <v>-7.4315120326925999E-2</v>
      </c>
      <c r="M78" s="33">
        <f t="shared" si="2"/>
        <v>1848</v>
      </c>
      <c r="N78" s="24">
        <f>Таблица1[[#This Row],[цена за шт в рублях]]/Таблица1[[#This Row],[средняя стоимость в категории по поставщику.]]-1</f>
        <v>-0.84956709956709953</v>
      </c>
      <c r="O78" s="26">
        <f>VLOOKUP(Таблица1[[#This Row],[id клиента]],клиенты!$A$2:$E$435,5,0)</f>
        <v>44751</v>
      </c>
      <c r="P78">
        <f>Таблица1[[#This Row],[дата создания чека]]-Таблица1[[#This Row],[Дата регистрации клента]]</f>
        <v>358</v>
      </c>
      <c r="Q78" s="26">
        <f t="shared" ca="1" si="3"/>
        <v>46059</v>
      </c>
      <c r="R78" s="51">
        <f ca="1">(TODAY()-Таблица1[[#This Row],[Дата регистрации клента]])/30</f>
        <v>43.6</v>
      </c>
      <c r="S78" s="63" t="str">
        <f>VLOOKUP(Таблица1[[#This Row],[id клиента]],Таблица8[[id клиента]:[Страна]],7,0)</f>
        <v>Россия</v>
      </c>
      <c r="T78" s="26"/>
    </row>
    <row r="79" spans="1:20" ht="19.5" x14ac:dyDescent="0.4">
      <c r="A79" s="37">
        <v>78</v>
      </c>
      <c r="B79" s="31">
        <v>392</v>
      </c>
      <c r="C79" s="31">
        <v>484</v>
      </c>
      <c r="D79" s="31">
        <v>4</v>
      </c>
      <c r="E79" s="31">
        <v>1936</v>
      </c>
      <c r="F79" s="38">
        <v>45302</v>
      </c>
      <c r="G79" s="31" t="s">
        <v>10</v>
      </c>
      <c r="H79" s="31">
        <v>252</v>
      </c>
      <c r="I79" s="31" t="str">
        <f>VLOOKUP(продажи!$B79,товар!$A$1:$C$433,2)</f>
        <v>Кофе</v>
      </c>
      <c r="J79" s="31" t="str">
        <f>VLOOKUP(B79,товар!$A$1:$C$433,3)</f>
        <v>Черная Карта</v>
      </c>
      <c r="K79" s="39">
        <f>AVERAGEIF(продажи!$I$2:$I$1001,продажи!$I$2:$I$1001,продажи!$C$2:$C$1001)</f>
        <v>249.02380952380952</v>
      </c>
      <c r="L79" s="40">
        <f>продажи!$C79/продажи!$K79-1</f>
        <v>0.94358925327469167</v>
      </c>
      <c r="M79" s="33">
        <f t="shared" si="2"/>
        <v>2222</v>
      </c>
      <c r="N79" s="24">
        <f>Таблица1[[#This Row],[цена за шт в рублях]]/Таблица1[[#This Row],[средняя стоимость в категории по поставщику.]]-1</f>
        <v>-0.78217821782178221</v>
      </c>
      <c r="O79" s="26">
        <f>VLOOKUP(Таблица1[[#This Row],[id клиента]],клиенты!$A$2:$E$435,5,0)</f>
        <v>44643</v>
      </c>
      <c r="P79">
        <f>Таблица1[[#This Row],[дата создания чека]]-Таблица1[[#This Row],[Дата регистрации клента]]</f>
        <v>659</v>
      </c>
      <c r="Q79" s="26">
        <f t="shared" ca="1" si="3"/>
        <v>46059</v>
      </c>
      <c r="R79" s="51">
        <f ca="1">(TODAY()-Таблица1[[#This Row],[Дата регистрации клента]])/30</f>
        <v>47.2</v>
      </c>
      <c r="S79" s="63" t="str">
        <f>VLOOKUP(Таблица1[[#This Row],[id клиента]],Таблица8[[id клиента]:[Страна]],7,0)</f>
        <v>Россия</v>
      </c>
      <c r="T79" s="26"/>
    </row>
    <row r="80" spans="1:20" ht="19.5" x14ac:dyDescent="0.4">
      <c r="A80" s="41">
        <v>79</v>
      </c>
      <c r="B80" s="42">
        <v>10</v>
      </c>
      <c r="C80" s="42">
        <v>53</v>
      </c>
      <c r="D80" s="42">
        <v>1</v>
      </c>
      <c r="E80" s="42">
        <v>53</v>
      </c>
      <c r="F80" s="43">
        <v>45164</v>
      </c>
      <c r="G80" s="42" t="s">
        <v>25</v>
      </c>
      <c r="H80" s="42">
        <v>392</v>
      </c>
      <c r="I80" s="42" t="str">
        <f>VLOOKUP(продажи!$B80,товар!$A$1:$C$433,2)</f>
        <v>Сок</v>
      </c>
      <c r="J80" s="42" t="str">
        <f>VLOOKUP(B80,товар!$A$1:$C$433,3)</f>
        <v>Фруктовый сад</v>
      </c>
      <c r="K80" s="44">
        <f>AVERAGEIF(продажи!$I$2:$I$1001,продажи!$I$2:$I$1001,продажи!$C$2:$C$1001)</f>
        <v>268.60344827586209</v>
      </c>
      <c r="L80" s="45">
        <f>продажи!$C80/продажи!$K80-1</f>
        <v>-0.80268309904358437</v>
      </c>
      <c r="M80" s="33">
        <f t="shared" si="2"/>
        <v>9023</v>
      </c>
      <c r="N80" s="24">
        <f>Таблица1[[#This Row],[цена за шт в рублях]]/Таблица1[[#This Row],[средняя стоимость в категории по поставщику.]]-1</f>
        <v>-0.99412612213232854</v>
      </c>
      <c r="O80" s="26">
        <f>VLOOKUP(Таблица1[[#This Row],[id клиента]],клиенты!$A$2:$E$435,5,0)</f>
        <v>44919</v>
      </c>
      <c r="P80">
        <f>Таблица1[[#This Row],[дата создания чека]]-Таблица1[[#This Row],[Дата регистрации клента]]</f>
        <v>245</v>
      </c>
      <c r="Q80" s="26">
        <f t="shared" ca="1" si="3"/>
        <v>46059</v>
      </c>
      <c r="R80" s="51">
        <f ca="1">(TODAY()-Таблица1[[#This Row],[Дата регистрации клента]])/30</f>
        <v>38</v>
      </c>
      <c r="S80" s="63" t="str">
        <f>VLOOKUP(Таблица1[[#This Row],[id клиента]],Таблица8[[id клиента]:[Страна]],7,0)</f>
        <v>Россия</v>
      </c>
      <c r="T80" s="26"/>
    </row>
    <row r="81" spans="1:20" ht="19.5" x14ac:dyDescent="0.4">
      <c r="A81" s="37">
        <v>80</v>
      </c>
      <c r="B81" s="31">
        <v>64</v>
      </c>
      <c r="C81" s="31">
        <v>131</v>
      </c>
      <c r="D81" s="31">
        <v>5</v>
      </c>
      <c r="E81" s="31">
        <v>655</v>
      </c>
      <c r="F81" s="38">
        <v>44946</v>
      </c>
      <c r="G81" s="31" t="s">
        <v>15</v>
      </c>
      <c r="H81" s="31">
        <v>487</v>
      </c>
      <c r="I81" s="31" t="str">
        <f>VLOOKUP(продажи!$B81,товар!$A$1:$C$433,2)</f>
        <v>Колбаса</v>
      </c>
      <c r="J81" s="31" t="str">
        <f>VLOOKUP(B81,товар!$A$1:$C$433,3)</f>
        <v>Окраина</v>
      </c>
      <c r="K81" s="39">
        <f>AVERAGEIF(продажи!$I$2:$I$1001,продажи!$I$2:$I$1001,продажи!$C$2:$C$1001)</f>
        <v>286.92307692307691</v>
      </c>
      <c r="L81" s="40">
        <f>продажи!$C81/продажи!$K81-1</f>
        <v>-0.54343163538873984</v>
      </c>
      <c r="M81" s="33">
        <f t="shared" si="2"/>
        <v>3283</v>
      </c>
      <c r="N81" s="24">
        <f>Таблица1[[#This Row],[цена за шт в рублях]]/Таблица1[[#This Row],[средняя стоимость в категории по поставщику.]]-1</f>
        <v>-0.96009747182455074</v>
      </c>
      <c r="O81" s="26">
        <f>VLOOKUP(Таблица1[[#This Row],[id клиента]],клиенты!$A$2:$E$435,5,0)</f>
        <v>44815</v>
      </c>
      <c r="P81">
        <f>Таблица1[[#This Row],[дата создания чека]]-Таблица1[[#This Row],[Дата регистрации клента]]</f>
        <v>131</v>
      </c>
      <c r="Q81" s="26">
        <f t="shared" ca="1" si="3"/>
        <v>46059</v>
      </c>
      <c r="R81" s="51">
        <f ca="1">(TODAY()-Таблица1[[#This Row],[Дата регистрации клента]])/30</f>
        <v>41.466666666666669</v>
      </c>
      <c r="S81" s="63" t="str">
        <f>VLOOKUP(Таблица1[[#This Row],[id клиента]],Таблица8[[id клиента]:[Страна]],7,0)</f>
        <v>Россия</v>
      </c>
      <c r="T81" s="26"/>
    </row>
    <row r="82" spans="1:20" ht="19.5" x14ac:dyDescent="0.4">
      <c r="A82" s="41">
        <v>81</v>
      </c>
      <c r="B82" s="42">
        <v>116</v>
      </c>
      <c r="C82" s="42">
        <v>120</v>
      </c>
      <c r="D82" s="42">
        <v>2</v>
      </c>
      <c r="E82" s="42">
        <v>240</v>
      </c>
      <c r="F82" s="43">
        <v>45326</v>
      </c>
      <c r="G82" s="42" t="s">
        <v>26</v>
      </c>
      <c r="H82" s="42">
        <v>332</v>
      </c>
      <c r="I82" s="42" t="str">
        <f>VLOOKUP(продажи!$B82,товар!$A$1:$C$433,2)</f>
        <v>Соль</v>
      </c>
      <c r="J82" s="42" t="str">
        <f>VLOOKUP(B82,товар!$A$1:$C$433,3)</f>
        <v>Экстра</v>
      </c>
      <c r="K82" s="44">
        <f>AVERAGEIF(продажи!$I$2:$I$1001,продажи!$I$2:$I$1001,продажи!$C$2:$C$1001)</f>
        <v>264.8679245283019</v>
      </c>
      <c r="L82" s="45">
        <f>продажи!$C82/продажи!$K82-1</f>
        <v>-0.54694400911810803</v>
      </c>
      <c r="M82" s="33">
        <f t="shared" si="2"/>
        <v>4171</v>
      </c>
      <c r="N82" s="24">
        <f>Таблица1[[#This Row],[цена за шт в рублях]]/Таблица1[[#This Row],[средняя стоимость в категории по поставщику.]]-1</f>
        <v>-0.97122992088228244</v>
      </c>
      <c r="O82" s="26">
        <f>VLOOKUP(Таблица1[[#This Row],[id клиента]],клиенты!$A$2:$E$435,5,0)</f>
        <v>44858</v>
      </c>
      <c r="P82">
        <f>Таблица1[[#This Row],[дата создания чека]]-Таблица1[[#This Row],[Дата регистрации клента]]</f>
        <v>468</v>
      </c>
      <c r="Q82" s="26">
        <f t="shared" ca="1" si="3"/>
        <v>46059</v>
      </c>
      <c r="R82" s="51">
        <f ca="1">(TODAY()-Таблица1[[#This Row],[Дата регистрации клента]])/30</f>
        <v>40.033333333333331</v>
      </c>
      <c r="S82" s="63" t="str">
        <f>VLOOKUP(Таблица1[[#This Row],[id клиента]],Таблица8[[id клиента]:[Страна]],7,0)</f>
        <v>Узбекистан</v>
      </c>
      <c r="T82" s="26"/>
    </row>
    <row r="83" spans="1:20" ht="19.5" x14ac:dyDescent="0.4">
      <c r="A83" s="37">
        <v>150</v>
      </c>
      <c r="B83" s="31">
        <v>232</v>
      </c>
      <c r="C83" s="31">
        <v>109</v>
      </c>
      <c r="D83" s="31">
        <v>4</v>
      </c>
      <c r="E83" s="31">
        <v>436</v>
      </c>
      <c r="F83" s="57">
        <v>45387</v>
      </c>
      <c r="G83" s="31" t="s">
        <v>20</v>
      </c>
      <c r="H83" s="55">
        <v>407</v>
      </c>
      <c r="I83" s="31" t="str">
        <f>VLOOKUP(продажи!$B151,товар!$A$1:$C$433,2)</f>
        <v>Молоко</v>
      </c>
      <c r="J83" s="31" t="str">
        <f>VLOOKUP(B83,товар!$A$1:$C$433,3)</f>
        <v>Простоквашино</v>
      </c>
      <c r="K83" s="39">
        <f>AVERAGEIF(продажи!$I$2:$I$1001,продажи!$I$2:$I$1001,продажи!$C$2:$C$1001)</f>
        <v>294.95238095238096</v>
      </c>
      <c r="L83" s="40">
        <f>продажи!$C151/продажи!$K151-1</f>
        <v>-0.14562479819179852</v>
      </c>
      <c r="M83" s="53">
        <f t="shared" si="2"/>
        <v>3507</v>
      </c>
      <c r="N83" s="24">
        <f>Таблица1[[#This Row],[цена за шт в рублях]]/Таблица1[[#This Row],[средняя стоимость в категории по поставщику.]]-1</f>
        <v>-0.96891930424864559</v>
      </c>
      <c r="O83" s="26">
        <f>VLOOKUP(Таблица1[[#This Row],[id клиента]],клиенты!$A$2:$E$435,5,0)</f>
        <v>44621</v>
      </c>
      <c r="P83">
        <f>Таблица1[[#This Row],[дата создания чека]]-Таблица1[[#This Row],[Дата регистрации клента]]</f>
        <v>766</v>
      </c>
      <c r="Q83" s="26">
        <f t="shared" ca="1" si="3"/>
        <v>46059</v>
      </c>
      <c r="R83" s="51">
        <f ca="1">(TODAY()-Таблица1[[#This Row],[Дата регистрации клента]])/30</f>
        <v>47.93333333333333</v>
      </c>
      <c r="S83" s="63" t="str">
        <f>VLOOKUP(Таблица1[[#This Row],[id клиента]],Таблица8[[id клиента]:[Страна]],7,0)</f>
        <v>Беларусь</v>
      </c>
      <c r="T83" s="26"/>
    </row>
    <row r="84" spans="1:20" ht="19.5" x14ac:dyDescent="0.4">
      <c r="A84" s="41">
        <v>83</v>
      </c>
      <c r="B84" s="42">
        <v>345</v>
      </c>
      <c r="C84" s="42">
        <v>267</v>
      </c>
      <c r="D84" s="42">
        <v>5</v>
      </c>
      <c r="E84" s="42">
        <v>1335</v>
      </c>
      <c r="F84" s="43">
        <v>45004</v>
      </c>
      <c r="G84" s="42" t="s">
        <v>9</v>
      </c>
      <c r="H84" s="42">
        <v>287</v>
      </c>
      <c r="I84" s="42" t="str">
        <f>VLOOKUP(продажи!$B84,товар!$A$1:$C$433,2)</f>
        <v>Конфеты</v>
      </c>
      <c r="J84" s="42" t="str">
        <f>VLOOKUP(B84,товар!$A$1:$C$433,3)</f>
        <v>Рот Фронт</v>
      </c>
      <c r="K84" s="44">
        <f>AVERAGEIF(продажи!$I$2:$I$1001,продажи!$I$2:$I$1001,продажи!$C$2:$C$1001)</f>
        <v>267.85483870967744</v>
      </c>
      <c r="L84" s="45">
        <f>продажи!$C84/продажи!$K84-1</f>
        <v>-3.1914253025833172E-3</v>
      </c>
      <c r="M84" s="33">
        <f t="shared" si="2"/>
        <v>6053</v>
      </c>
      <c r="N84" s="24">
        <f>Таблица1[[#This Row],[цена за шт в рублях]]/Таблица1[[#This Row],[средняя стоимость в категории по поставщику.]]-1</f>
        <v>-0.9558896415000826</v>
      </c>
      <c r="O84" s="26">
        <f>VLOOKUP(Таблица1[[#This Row],[id клиента]],клиенты!$A$2:$E$435,5,0)</f>
        <v>44608</v>
      </c>
      <c r="P84">
        <f>Таблица1[[#This Row],[дата создания чека]]-Таблица1[[#This Row],[Дата регистрации клента]]</f>
        <v>396</v>
      </c>
      <c r="Q84" s="26">
        <f t="shared" ca="1" si="3"/>
        <v>46059</v>
      </c>
      <c r="R84" s="51">
        <f ca="1">(TODAY()-Таблица1[[#This Row],[Дата регистрации клента]])/30</f>
        <v>48.366666666666667</v>
      </c>
      <c r="S84" s="63" t="str">
        <f>VLOOKUP(Таблица1[[#This Row],[id клиента]],Таблица8[[id клиента]:[Страна]],7,0)</f>
        <v>Россия</v>
      </c>
      <c r="T84" s="26"/>
    </row>
    <row r="85" spans="1:20" ht="19.5" x14ac:dyDescent="0.4">
      <c r="A85" s="37">
        <v>84</v>
      </c>
      <c r="B85" s="31">
        <v>281</v>
      </c>
      <c r="C85" s="31">
        <v>371</v>
      </c>
      <c r="D85" s="31">
        <v>1</v>
      </c>
      <c r="E85" s="31">
        <v>371</v>
      </c>
      <c r="F85" s="38">
        <v>44993</v>
      </c>
      <c r="G85" s="31" t="s">
        <v>22</v>
      </c>
      <c r="H85" s="31">
        <v>11</v>
      </c>
      <c r="I85" s="31" t="str">
        <f>VLOOKUP(продажи!$B85,товар!$A$1:$C$433,2)</f>
        <v>Чай</v>
      </c>
      <c r="J85" s="31" t="str">
        <f>VLOOKUP(B85,товар!$A$1:$C$433,3)</f>
        <v>Lipton</v>
      </c>
      <c r="K85" s="39">
        <f>AVERAGEIF(продажи!$I$2:$I$1001,продажи!$I$2:$I$1001,продажи!$C$2:$C$1001)</f>
        <v>271.18181818181819</v>
      </c>
      <c r="L85" s="40">
        <f>продажи!$C85/продажи!$K85-1</f>
        <v>0.36808581964465303</v>
      </c>
      <c r="M85" s="33">
        <f t="shared" si="2"/>
        <v>4943</v>
      </c>
      <c r="N85" s="24">
        <f>Таблица1[[#This Row],[цена за шт в рублях]]/Таблица1[[#This Row],[средняя стоимость в категории по поставщику.]]-1</f>
        <v>-0.92494436576977546</v>
      </c>
      <c r="O85" s="26">
        <f>VLOOKUP(Таблица1[[#This Row],[id клиента]],клиенты!$A$2:$E$435,5,0)</f>
        <v>44690</v>
      </c>
      <c r="P85">
        <f>Таблица1[[#This Row],[дата создания чека]]-Таблица1[[#This Row],[Дата регистрации клента]]</f>
        <v>303</v>
      </c>
      <c r="Q85" s="26">
        <f t="shared" ca="1" si="3"/>
        <v>46059</v>
      </c>
      <c r="R85" s="51">
        <f ca="1">(TODAY()-Таблица1[[#This Row],[Дата регистрации клента]])/30</f>
        <v>45.633333333333333</v>
      </c>
      <c r="S85" s="63" t="str">
        <f>VLOOKUP(Таблица1[[#This Row],[id клиента]],Таблица8[[id клиента]:[Страна]],7,0)</f>
        <v>Таджикистан</v>
      </c>
      <c r="T85" s="26"/>
    </row>
    <row r="86" spans="1:20" ht="19.5" x14ac:dyDescent="0.4">
      <c r="A86" s="41">
        <v>85</v>
      </c>
      <c r="B86" s="42">
        <v>276</v>
      </c>
      <c r="C86" s="42">
        <v>295</v>
      </c>
      <c r="D86" s="42">
        <v>1</v>
      </c>
      <c r="E86" s="42">
        <v>295</v>
      </c>
      <c r="F86" s="43">
        <v>45272</v>
      </c>
      <c r="G86" s="42" t="s">
        <v>17</v>
      </c>
      <c r="H86" s="42">
        <v>458</v>
      </c>
      <c r="I86" s="42" t="str">
        <f>VLOOKUP(продажи!$B86,товар!$A$1:$C$433,2)</f>
        <v>Колбаса</v>
      </c>
      <c r="J86" s="42" t="str">
        <f>VLOOKUP(B86,товар!$A$1:$C$433,3)</f>
        <v>Дымов</v>
      </c>
      <c r="K86" s="44">
        <f>AVERAGEIF(продажи!$I$2:$I$1001,продажи!$I$2:$I$1001,продажи!$C$2:$C$1001)</f>
        <v>286.92307692307691</v>
      </c>
      <c r="L86" s="45">
        <f>продажи!$C86/продажи!$K86-1</f>
        <v>2.8150134048257502E-2</v>
      </c>
      <c r="M86" s="33">
        <f t="shared" si="2"/>
        <v>2814</v>
      </c>
      <c r="N86" s="24">
        <f>Таблица1[[#This Row],[цена за шт в рублях]]/Таблица1[[#This Row],[средняя стоимость в категории по поставщику.]]-1</f>
        <v>-0.89516702203269372</v>
      </c>
      <c r="O86" s="26">
        <f>VLOOKUP(Таблица1[[#This Row],[id клиента]],клиенты!$A$2:$E$435,5,0)</f>
        <v>44694</v>
      </c>
      <c r="P86">
        <f>Таблица1[[#This Row],[дата создания чека]]-Таблица1[[#This Row],[Дата регистрации клента]]</f>
        <v>578</v>
      </c>
      <c r="Q86" s="26">
        <f t="shared" ca="1" si="3"/>
        <v>46059</v>
      </c>
      <c r="R86" s="51">
        <f ca="1">(TODAY()-Таблица1[[#This Row],[Дата регистрации клента]])/30</f>
        <v>45.5</v>
      </c>
      <c r="S86" s="63" t="str">
        <f>VLOOKUP(Таблица1[[#This Row],[id клиента]],Таблица8[[id клиента]:[Страна]],7,0)</f>
        <v>Россия</v>
      </c>
      <c r="T86" s="26"/>
    </row>
    <row r="87" spans="1:20" ht="19.5" x14ac:dyDescent="0.4">
      <c r="A87" s="37">
        <v>86</v>
      </c>
      <c r="B87" s="31">
        <v>234</v>
      </c>
      <c r="C87" s="31">
        <v>75</v>
      </c>
      <c r="D87" s="31">
        <v>5</v>
      </c>
      <c r="E87" s="31">
        <v>375</v>
      </c>
      <c r="F87" s="38">
        <v>44939</v>
      </c>
      <c r="G87" s="31" t="s">
        <v>23</v>
      </c>
      <c r="H87" s="31">
        <v>130</v>
      </c>
      <c r="I87" s="31" t="str">
        <f>VLOOKUP(продажи!$B87,товар!$A$1:$C$433,2)</f>
        <v>Чай</v>
      </c>
      <c r="J87" s="31" t="str">
        <f>VLOOKUP(B87,товар!$A$1:$C$433,3)</f>
        <v>Greenfield</v>
      </c>
      <c r="K87" s="39">
        <f>AVERAGEIF(продажи!$I$2:$I$1001,продажи!$I$2:$I$1001,продажи!$C$2:$C$1001)</f>
        <v>271.18181818181819</v>
      </c>
      <c r="L87" s="40">
        <f>продажи!$C87/продажи!$K87-1</f>
        <v>-0.72343278578612136</v>
      </c>
      <c r="M87" s="33">
        <f t="shared" si="2"/>
        <v>6412</v>
      </c>
      <c r="N87" s="24">
        <f>Таблица1[[#This Row],[цена за шт в рублях]]/Таблица1[[#This Row],[средняя стоимость в категории по поставщику.]]-1</f>
        <v>-0.9883031815346226</v>
      </c>
      <c r="O87" s="26">
        <f>VLOOKUP(Таблица1[[#This Row],[id клиента]],клиенты!$A$2:$E$435,5,0)</f>
        <v>44863</v>
      </c>
      <c r="P87">
        <f>Таблица1[[#This Row],[дата создания чека]]-Таблица1[[#This Row],[Дата регистрации клента]]</f>
        <v>76</v>
      </c>
      <c r="Q87" s="26">
        <f t="shared" ca="1" si="3"/>
        <v>46059</v>
      </c>
      <c r="R87" s="51">
        <f ca="1">(TODAY()-Таблица1[[#This Row],[Дата регистрации клента]])/30</f>
        <v>39.866666666666667</v>
      </c>
      <c r="S87" s="63" t="str">
        <f>VLOOKUP(Таблица1[[#This Row],[id клиента]],Таблица8[[id клиента]:[Страна]],7,0)</f>
        <v>Таджикистан</v>
      </c>
      <c r="T87" s="26"/>
    </row>
    <row r="88" spans="1:20" ht="19.5" x14ac:dyDescent="0.4">
      <c r="A88" s="41">
        <v>87</v>
      </c>
      <c r="B88" s="42">
        <v>319</v>
      </c>
      <c r="C88" s="42">
        <v>247</v>
      </c>
      <c r="D88" s="42">
        <v>2</v>
      </c>
      <c r="E88" s="42">
        <v>494</v>
      </c>
      <c r="F88" s="43">
        <v>45189</v>
      </c>
      <c r="G88" s="42" t="s">
        <v>8</v>
      </c>
      <c r="H88" s="42">
        <v>330</v>
      </c>
      <c r="I88" s="42" t="str">
        <f>VLOOKUP(продажи!$B88,товар!$A$1:$C$433,2)</f>
        <v>Йогурт</v>
      </c>
      <c r="J88" s="42" t="str">
        <f>VLOOKUP(B88,товар!$A$1:$C$433,3)</f>
        <v>Эрманн</v>
      </c>
      <c r="K88" s="44">
        <f>AVERAGEIF(продажи!$I$2:$I$1001,продажи!$I$2:$I$1001,продажи!$C$2:$C$1001)</f>
        <v>263.25423728813558</v>
      </c>
      <c r="L88" s="45">
        <f>продажи!$C88/продажи!$K88-1</f>
        <v>-6.1743497295905225E-2</v>
      </c>
      <c r="M88" s="33">
        <f t="shared" si="2"/>
        <v>4970</v>
      </c>
      <c r="N88" s="24">
        <f>Таблица1[[#This Row],[цена за шт в рублях]]/Таблица1[[#This Row],[средняя стоимость в категории по поставщику.]]-1</f>
        <v>-0.95030181086519117</v>
      </c>
      <c r="O88" s="26">
        <f>VLOOKUP(Таблица1[[#This Row],[id клиента]],клиенты!$A$2:$E$435,5,0)</f>
        <v>44815</v>
      </c>
      <c r="P88">
        <f>Таблица1[[#This Row],[дата создания чека]]-Таблица1[[#This Row],[Дата регистрации клента]]</f>
        <v>374</v>
      </c>
      <c r="Q88" s="26">
        <f t="shared" ca="1" si="3"/>
        <v>46059</v>
      </c>
      <c r="R88" s="51">
        <f ca="1">(TODAY()-Таблица1[[#This Row],[Дата регистрации клента]])/30</f>
        <v>41.466666666666669</v>
      </c>
      <c r="S88" s="63" t="str">
        <f>VLOOKUP(Таблица1[[#This Row],[id клиента]],Таблица8[[id клиента]:[Страна]],7,0)</f>
        <v>Узбекистан</v>
      </c>
      <c r="T88" s="26"/>
    </row>
    <row r="89" spans="1:20" ht="19.5" x14ac:dyDescent="0.4">
      <c r="A89" s="37">
        <v>88</v>
      </c>
      <c r="B89" s="31">
        <v>375</v>
      </c>
      <c r="C89" s="31">
        <v>281</v>
      </c>
      <c r="D89" s="31">
        <v>2</v>
      </c>
      <c r="E89" s="31">
        <v>562</v>
      </c>
      <c r="F89" s="38">
        <v>45079</v>
      </c>
      <c r="G89" s="31" t="s">
        <v>17</v>
      </c>
      <c r="H89" s="31">
        <v>167</v>
      </c>
      <c r="I89" s="31" t="str">
        <f>VLOOKUP(продажи!$B89,товар!$A$1:$C$433,2)</f>
        <v>Макароны</v>
      </c>
      <c r="J89" s="31" t="str">
        <f>VLOOKUP(B89,товар!$A$1:$C$433,3)</f>
        <v>Борилла</v>
      </c>
      <c r="K89" s="39">
        <f>AVERAGEIF(продажи!$I$2:$I$1001,продажи!$I$2:$I$1001,продажи!$C$2:$C$1001)</f>
        <v>265.47674418604652</v>
      </c>
      <c r="L89" s="40">
        <f>продажи!$C89/продажи!$K89-1</f>
        <v>5.8473128640883054E-2</v>
      </c>
      <c r="M89" s="33">
        <f t="shared" si="2"/>
        <v>6852</v>
      </c>
      <c r="N89" s="24">
        <f>Таблица1[[#This Row],[цена за шт в рублях]]/Таблица1[[#This Row],[средняя стоимость в категории по поставщику.]]-1</f>
        <v>-0.95899007589025098</v>
      </c>
      <c r="O89" s="26">
        <f>VLOOKUP(Таблица1[[#This Row],[id клиента]],клиенты!$A$2:$E$435,5,0)</f>
        <v>44563</v>
      </c>
      <c r="P89">
        <f>Таблица1[[#This Row],[дата создания чека]]-Таблица1[[#This Row],[Дата регистрации клента]]</f>
        <v>516</v>
      </c>
      <c r="Q89" s="26">
        <f t="shared" ca="1" si="3"/>
        <v>46059</v>
      </c>
      <c r="R89" s="51">
        <f ca="1">(TODAY()-Таблица1[[#This Row],[Дата регистрации клента]])/30</f>
        <v>49.866666666666667</v>
      </c>
      <c r="S89" s="63" t="str">
        <f>VLOOKUP(Таблица1[[#This Row],[id клиента]],Таблица8[[id клиента]:[Страна]],7,0)</f>
        <v>Узбекистан</v>
      </c>
      <c r="T89" s="26"/>
    </row>
    <row r="90" spans="1:20" ht="19.5" x14ac:dyDescent="0.4">
      <c r="A90" s="41">
        <v>89</v>
      </c>
      <c r="B90" s="42">
        <v>443</v>
      </c>
      <c r="C90" s="42">
        <v>136</v>
      </c>
      <c r="D90" s="42">
        <v>2</v>
      </c>
      <c r="E90" s="42">
        <v>272</v>
      </c>
      <c r="F90" s="43">
        <v>44927</v>
      </c>
      <c r="G90" s="42" t="s">
        <v>25</v>
      </c>
      <c r="H90" s="42">
        <v>140</v>
      </c>
      <c r="I90" s="42" t="str">
        <f>VLOOKUP(продажи!$B90,товар!$A$1:$C$433,2)</f>
        <v>Кофе</v>
      </c>
      <c r="J90" s="42" t="str">
        <f>VLOOKUP(B90,товар!$A$1:$C$433,3)</f>
        <v>Jacobs</v>
      </c>
      <c r="K90" s="44">
        <f>AVERAGEIF(продажи!$I$2:$I$1001,продажи!$I$2:$I$1001,продажи!$C$2:$C$1001)</f>
        <v>249.02380952380952</v>
      </c>
      <c r="L90" s="45">
        <f>продажи!$C90/продажи!$K90-1</f>
        <v>-0.45386748255091303</v>
      </c>
      <c r="M90" s="33">
        <f t="shared" si="2"/>
        <v>5248</v>
      </c>
      <c r="N90" s="24">
        <f>Таблица1[[#This Row],[цена за шт в рублях]]/Таблица1[[#This Row],[средняя стоимость в категории по поставщику.]]-1</f>
        <v>-0.97408536585365857</v>
      </c>
      <c r="O90" s="26">
        <f>VLOOKUP(Таблица1[[#This Row],[id клиента]],клиенты!$A$2:$E$435,5,0)</f>
        <v>44627</v>
      </c>
      <c r="P90">
        <f>Таблица1[[#This Row],[дата создания чека]]-Таблица1[[#This Row],[Дата регистрации клента]]</f>
        <v>300</v>
      </c>
      <c r="Q90" s="26">
        <f t="shared" ca="1" si="3"/>
        <v>46059</v>
      </c>
      <c r="R90" s="51">
        <f ca="1">(TODAY()-Таблица1[[#This Row],[Дата регистрации клента]])/30</f>
        <v>47.733333333333334</v>
      </c>
      <c r="S90" s="63" t="str">
        <f>VLOOKUP(Таблица1[[#This Row],[id клиента]],Таблица8[[id клиента]:[Страна]],7,0)</f>
        <v>Россия</v>
      </c>
      <c r="T90" s="26"/>
    </row>
    <row r="91" spans="1:20" ht="19.5" x14ac:dyDescent="0.4">
      <c r="A91" s="37">
        <v>90</v>
      </c>
      <c r="B91" s="31">
        <v>30</v>
      </c>
      <c r="C91" s="31">
        <v>142</v>
      </c>
      <c r="D91" s="31">
        <v>5</v>
      </c>
      <c r="E91" s="31">
        <v>710</v>
      </c>
      <c r="F91" s="38">
        <v>45226</v>
      </c>
      <c r="G91" s="31" t="s">
        <v>23</v>
      </c>
      <c r="H91" s="31">
        <v>423</v>
      </c>
      <c r="I91" s="31" t="str">
        <f>VLOOKUP(продажи!$B91,товар!$A$1:$C$433,2)</f>
        <v>Чипсы</v>
      </c>
      <c r="J91" s="31" t="str">
        <f>VLOOKUP(B91,товар!$A$1:$C$433,3)</f>
        <v>Pringles</v>
      </c>
      <c r="K91" s="39">
        <f>AVERAGEIF(продажи!$I$2:$I$1001,продажи!$I$2:$I$1001,продажи!$C$2:$C$1001)</f>
        <v>273.72549019607845</v>
      </c>
      <c r="L91" s="40">
        <f>продажи!$C91/продажи!$K91-1</f>
        <v>-0.48123209169054448</v>
      </c>
      <c r="M91" s="33">
        <f t="shared" si="2"/>
        <v>5885</v>
      </c>
      <c r="N91" s="24">
        <f>Таблица1[[#This Row],[цена за шт в рублях]]/Таблица1[[#This Row],[средняя стоимость в категории по поставщику.]]-1</f>
        <v>-0.97587085811384877</v>
      </c>
      <c r="O91" s="26">
        <f>VLOOKUP(Таблица1[[#This Row],[id клиента]],клиенты!$A$2:$E$435,5,0)</f>
        <v>44841</v>
      </c>
      <c r="P91">
        <f>Таблица1[[#This Row],[дата создания чека]]-Таблица1[[#This Row],[Дата регистрации клента]]</f>
        <v>385</v>
      </c>
      <c r="Q91" s="26">
        <f t="shared" ca="1" si="3"/>
        <v>46059</v>
      </c>
      <c r="R91" s="51">
        <f ca="1">(TODAY()-Таблица1[[#This Row],[Дата регистрации клента]])/30</f>
        <v>40.6</v>
      </c>
      <c r="S91" s="63" t="str">
        <f>VLOOKUP(Таблица1[[#This Row],[id клиента]],Таблица8[[id клиента]:[Страна]],7,0)</f>
        <v>Беларусь</v>
      </c>
      <c r="T91" s="26"/>
    </row>
    <row r="92" spans="1:20" ht="19.5" x14ac:dyDescent="0.4">
      <c r="A92" s="41">
        <v>91</v>
      </c>
      <c r="B92" s="42">
        <v>24</v>
      </c>
      <c r="C92" s="42">
        <v>414</v>
      </c>
      <c r="D92" s="42">
        <v>1</v>
      </c>
      <c r="E92" s="42">
        <v>414</v>
      </c>
      <c r="F92" s="43">
        <v>45388</v>
      </c>
      <c r="G92" s="42" t="s">
        <v>12</v>
      </c>
      <c r="H92" s="42">
        <v>365</v>
      </c>
      <c r="I92" s="42" t="str">
        <f>VLOOKUP(продажи!$B92,товар!$A$1:$C$433,2)</f>
        <v>Йогурт</v>
      </c>
      <c r="J92" s="42" t="str">
        <f>VLOOKUP(B92,товар!$A$1:$C$433,3)</f>
        <v>Чудо</v>
      </c>
      <c r="K92" s="44">
        <f>AVERAGEIF(продажи!$I$2:$I$1001,продажи!$I$2:$I$1001,продажи!$C$2:$C$1001)</f>
        <v>263.25423728813558</v>
      </c>
      <c r="L92" s="45">
        <f>продажи!$C92/продажи!$K92-1</f>
        <v>0.57262425959309815</v>
      </c>
      <c r="M92" s="33">
        <f t="shared" si="2"/>
        <v>2871</v>
      </c>
      <c r="N92" s="24">
        <f>Таблица1[[#This Row],[цена за шт в рублях]]/Таблица1[[#This Row],[средняя стоимость в категории по поставщику.]]-1</f>
        <v>-0.85579937304075238</v>
      </c>
      <c r="O92" s="26">
        <f>VLOOKUP(Таблица1[[#This Row],[id клиента]],клиенты!$A$2:$E$435,5,0)</f>
        <v>44841</v>
      </c>
      <c r="P92">
        <f>Таблица1[[#This Row],[дата создания чека]]-Таблица1[[#This Row],[Дата регистрации клента]]</f>
        <v>547</v>
      </c>
      <c r="Q92" s="26">
        <f t="shared" ca="1" si="3"/>
        <v>46059</v>
      </c>
      <c r="R92" s="51">
        <f ca="1">(TODAY()-Таблица1[[#This Row],[Дата регистрации клента]])/30</f>
        <v>40.6</v>
      </c>
      <c r="S92" s="63" t="str">
        <f>VLOOKUP(Таблица1[[#This Row],[id клиента]],Таблица8[[id клиента]:[Страна]],7,0)</f>
        <v>Беларусь</v>
      </c>
      <c r="T92" s="26"/>
    </row>
    <row r="93" spans="1:20" ht="19.5" x14ac:dyDescent="0.4">
      <c r="A93" s="37">
        <v>92</v>
      </c>
      <c r="B93" s="31">
        <v>357</v>
      </c>
      <c r="C93" s="31">
        <v>206</v>
      </c>
      <c r="D93" s="31">
        <v>2</v>
      </c>
      <c r="E93" s="31">
        <v>412</v>
      </c>
      <c r="F93" s="38">
        <v>45424</v>
      </c>
      <c r="G93" s="31" t="s">
        <v>26</v>
      </c>
      <c r="H93" s="31">
        <v>452</v>
      </c>
      <c r="I93" s="31" t="str">
        <f>VLOOKUP(продажи!$B93,товар!$A$1:$C$433,2)</f>
        <v>Мясо</v>
      </c>
      <c r="J93" s="31" t="str">
        <f>VLOOKUP(B93,товар!$A$1:$C$433,3)</f>
        <v>Снежана</v>
      </c>
      <c r="K93" s="39">
        <f>AVERAGEIF(продажи!$I$2:$I$1001,продажи!$I$2:$I$1001,продажи!$C$2:$C$1001)</f>
        <v>271.74545454545455</v>
      </c>
      <c r="L93" s="40">
        <f>продажи!$C93/продажи!$K93-1</f>
        <v>-0.24193764217850933</v>
      </c>
      <c r="M93" s="33">
        <f t="shared" si="2"/>
        <v>4630</v>
      </c>
      <c r="N93" s="24">
        <f>Таблица1[[#This Row],[цена за шт в рублях]]/Таблица1[[#This Row],[средняя стоимость в категории по поставщику.]]-1</f>
        <v>-0.95550755939524834</v>
      </c>
      <c r="O93" s="26">
        <f>VLOOKUP(Таблица1[[#This Row],[id клиента]],клиенты!$A$2:$E$435,5,0)</f>
        <v>44769</v>
      </c>
      <c r="P93">
        <f>Таблица1[[#This Row],[дата создания чека]]-Таблица1[[#This Row],[Дата регистрации клента]]</f>
        <v>655</v>
      </c>
      <c r="Q93" s="26">
        <f t="shared" ca="1" si="3"/>
        <v>46059</v>
      </c>
      <c r="R93" s="51">
        <f ca="1">(TODAY()-Таблица1[[#This Row],[Дата регистрации клента]])/30</f>
        <v>43</v>
      </c>
      <c r="S93" s="63" t="str">
        <f>VLOOKUP(Таблица1[[#This Row],[id клиента]],Таблица8[[id клиента]:[Страна]],7,0)</f>
        <v>Россия</v>
      </c>
      <c r="T93" s="26"/>
    </row>
    <row r="94" spans="1:20" ht="19.5" x14ac:dyDescent="0.4">
      <c r="A94" s="41">
        <v>93</v>
      </c>
      <c r="B94" s="42">
        <v>265</v>
      </c>
      <c r="C94" s="42">
        <v>66</v>
      </c>
      <c r="D94" s="42">
        <v>1</v>
      </c>
      <c r="E94" s="42">
        <v>66</v>
      </c>
      <c r="F94" s="43">
        <v>45183</v>
      </c>
      <c r="G94" s="42" t="s">
        <v>24</v>
      </c>
      <c r="H94" s="42">
        <v>424</v>
      </c>
      <c r="I94" s="42" t="str">
        <f>VLOOKUP(продажи!$B94,товар!$A$1:$C$433,2)</f>
        <v>Мясо</v>
      </c>
      <c r="J94" s="42" t="str">
        <f>VLOOKUP(B94,товар!$A$1:$C$433,3)</f>
        <v>Мираторг</v>
      </c>
      <c r="K94" s="44">
        <f>AVERAGEIF(продажи!$I$2:$I$1001,продажи!$I$2:$I$1001,продажи!$C$2:$C$1001)</f>
        <v>271.74545454545455</v>
      </c>
      <c r="L94" s="45">
        <f>продажи!$C94/продажи!$K94-1</f>
        <v>-0.75712565234845441</v>
      </c>
      <c r="M94" s="33">
        <f t="shared" si="2"/>
        <v>3799</v>
      </c>
      <c r="N94" s="24">
        <f>Таблица1[[#This Row],[цена за шт в рублях]]/Таблица1[[#This Row],[средняя стоимость в категории по поставщику.]]-1</f>
        <v>-0.98262700710713347</v>
      </c>
      <c r="O94" s="26">
        <f>VLOOKUP(Таблица1[[#This Row],[id клиента]],клиенты!$A$2:$E$435,5,0)</f>
        <v>44585</v>
      </c>
      <c r="P94">
        <f>Таблица1[[#This Row],[дата создания чека]]-Таблица1[[#This Row],[Дата регистрации клента]]</f>
        <v>598</v>
      </c>
      <c r="Q94" s="26">
        <f t="shared" ca="1" si="3"/>
        <v>46059</v>
      </c>
      <c r="R94" s="51">
        <f ca="1">(TODAY()-Таблица1[[#This Row],[Дата регистрации клента]])/30</f>
        <v>49.133333333333333</v>
      </c>
      <c r="S94" s="63" t="str">
        <f>VLOOKUP(Таблица1[[#This Row],[id клиента]],Таблица8[[id клиента]:[Страна]],7,0)</f>
        <v>Россия</v>
      </c>
      <c r="T94" s="26"/>
    </row>
    <row r="95" spans="1:20" ht="19.5" x14ac:dyDescent="0.4">
      <c r="A95" s="37">
        <v>94</v>
      </c>
      <c r="B95" s="31">
        <v>102</v>
      </c>
      <c r="C95" s="31">
        <v>452</v>
      </c>
      <c r="D95" s="31">
        <v>1</v>
      </c>
      <c r="E95" s="31">
        <v>452</v>
      </c>
      <c r="F95" s="38">
        <v>45218</v>
      </c>
      <c r="G95" s="31" t="s">
        <v>21</v>
      </c>
      <c r="H95" s="31">
        <v>75</v>
      </c>
      <c r="I95" s="31" t="str">
        <f>VLOOKUP(продажи!$B95,товар!$A$1:$C$433,2)</f>
        <v>Печенье</v>
      </c>
      <c r="J95" s="31" t="str">
        <f>VLOOKUP(B95,товар!$A$1:$C$433,3)</f>
        <v>Белогорье</v>
      </c>
      <c r="K95" s="39">
        <f>AVERAGEIF(продажи!$I$2:$I$1001,продажи!$I$2:$I$1001,продажи!$C$2:$C$1001)</f>
        <v>283.468085106383</v>
      </c>
      <c r="L95" s="40">
        <f>продажи!$C95/продажи!$K95-1</f>
        <v>0.59453576521804385</v>
      </c>
      <c r="M95" s="33">
        <f t="shared" si="2"/>
        <v>3493</v>
      </c>
      <c r="N95" s="24">
        <f>Таблица1[[#This Row],[цена за шт в рублях]]/Таблица1[[#This Row],[средняя стоимость в категории по поставщику.]]-1</f>
        <v>-0.87059833953621535</v>
      </c>
      <c r="O95" s="26">
        <f>VLOOKUP(Таблица1[[#This Row],[id клиента]],клиенты!$A$2:$E$435,5,0)</f>
        <v>44796</v>
      </c>
      <c r="P95">
        <f>Таблица1[[#This Row],[дата создания чека]]-Таблица1[[#This Row],[Дата регистрации клента]]</f>
        <v>422</v>
      </c>
      <c r="Q95" s="26">
        <f t="shared" ca="1" si="3"/>
        <v>46059</v>
      </c>
      <c r="R95" s="51">
        <f ca="1">(TODAY()-Таблица1[[#This Row],[Дата регистрации клента]])/30</f>
        <v>42.1</v>
      </c>
      <c r="S95" s="63" t="str">
        <f>VLOOKUP(Таблица1[[#This Row],[id клиента]],Таблица8[[id клиента]:[Страна]],7,0)</f>
        <v>Украина</v>
      </c>
      <c r="T95" s="26"/>
    </row>
    <row r="96" spans="1:20" ht="19.5" x14ac:dyDescent="0.4">
      <c r="A96" s="41">
        <v>95</v>
      </c>
      <c r="B96" s="42">
        <v>212</v>
      </c>
      <c r="C96" s="42">
        <v>175</v>
      </c>
      <c r="D96" s="42">
        <v>1</v>
      </c>
      <c r="E96" s="42">
        <v>175</v>
      </c>
      <c r="F96" s="43">
        <v>45290</v>
      </c>
      <c r="G96" s="42" t="s">
        <v>27</v>
      </c>
      <c r="H96" s="42">
        <v>385</v>
      </c>
      <c r="I96" s="42" t="str">
        <f>VLOOKUP(продажи!$B96,товар!$A$1:$C$433,2)</f>
        <v>Чипсы</v>
      </c>
      <c r="J96" s="42" t="str">
        <f>VLOOKUP(B96,товар!$A$1:$C$433,3)</f>
        <v>Lay's</v>
      </c>
      <c r="K96" s="44">
        <f>AVERAGEIF(продажи!$I$2:$I$1001,продажи!$I$2:$I$1001,продажи!$C$2:$C$1001)</f>
        <v>273.72549019607845</v>
      </c>
      <c r="L96" s="45">
        <f>продажи!$C96/продажи!$K96-1</f>
        <v>-0.36067335243553011</v>
      </c>
      <c r="M96" s="33">
        <f t="shared" si="2"/>
        <v>2244</v>
      </c>
      <c r="N96" s="24">
        <f>Таблица1[[#This Row],[цена за шт в рублях]]/Таблица1[[#This Row],[средняя стоимость в категории по поставщику.]]-1</f>
        <v>-0.92201426024955435</v>
      </c>
      <c r="O96" s="26">
        <f>VLOOKUP(Таблица1[[#This Row],[id клиента]],клиенты!$A$2:$E$435,5,0)</f>
        <v>44753</v>
      </c>
      <c r="P96">
        <f>Таблица1[[#This Row],[дата создания чека]]-Таблица1[[#This Row],[Дата регистрации клента]]</f>
        <v>537</v>
      </c>
      <c r="Q96" s="26">
        <f t="shared" ca="1" si="3"/>
        <v>46059</v>
      </c>
      <c r="R96" s="51">
        <f ca="1">(TODAY()-Таблица1[[#This Row],[Дата регистрации клента]])/30</f>
        <v>43.533333333333331</v>
      </c>
      <c r="S96" s="63" t="str">
        <f>VLOOKUP(Таблица1[[#This Row],[id клиента]],Таблица8[[id клиента]:[Страна]],7,0)</f>
        <v>Украина</v>
      </c>
      <c r="T96" s="26"/>
    </row>
    <row r="97" spans="1:20" ht="19.5" x14ac:dyDescent="0.4">
      <c r="A97" s="37">
        <v>96</v>
      </c>
      <c r="B97" s="31">
        <v>215</v>
      </c>
      <c r="C97" s="31">
        <v>109</v>
      </c>
      <c r="D97" s="31">
        <v>1</v>
      </c>
      <c r="E97" s="31">
        <v>109</v>
      </c>
      <c r="F97" s="38">
        <v>45235</v>
      </c>
      <c r="G97" s="31" t="s">
        <v>17</v>
      </c>
      <c r="H97" s="31">
        <v>71</v>
      </c>
      <c r="I97" s="31" t="str">
        <f>VLOOKUP(продажи!$B97,товар!$A$1:$C$433,2)</f>
        <v>Сок</v>
      </c>
      <c r="J97" s="31" t="str">
        <f>VLOOKUP(B97,товар!$A$1:$C$433,3)</f>
        <v>Фруктовый сад</v>
      </c>
      <c r="K97" s="39">
        <f>AVERAGEIF(продажи!$I$2:$I$1001,продажи!$I$2:$I$1001,продажи!$C$2:$C$1001)</f>
        <v>268.60344827586209</v>
      </c>
      <c r="L97" s="40">
        <f>продажи!$C97/продажи!$K97-1</f>
        <v>-0.59419731690095645</v>
      </c>
      <c r="M97" s="33">
        <f t="shared" si="2"/>
        <v>9023</v>
      </c>
      <c r="N97" s="24">
        <f>Таблица1[[#This Row],[цена за шт в рублях]]/Таблица1[[#This Row],[средняя стоимость в категории по поставщику.]]-1</f>
        <v>-0.98791976061176989</v>
      </c>
      <c r="O97" s="26">
        <f>VLOOKUP(Таблица1[[#This Row],[id клиента]],клиенты!$A$2:$E$435,5,0)</f>
        <v>44762</v>
      </c>
      <c r="P97">
        <f>Таблица1[[#This Row],[дата создания чека]]-Таблица1[[#This Row],[Дата регистрации клента]]</f>
        <v>473</v>
      </c>
      <c r="Q97" s="26">
        <f t="shared" ca="1" si="3"/>
        <v>46059</v>
      </c>
      <c r="R97" s="51">
        <f ca="1">(TODAY()-Таблица1[[#This Row],[Дата регистрации клента]])/30</f>
        <v>43.233333333333334</v>
      </c>
      <c r="S97" s="63" t="str">
        <f>VLOOKUP(Таблица1[[#This Row],[id клиента]],Таблица8[[id клиента]:[Страна]],7,0)</f>
        <v>Украина</v>
      </c>
      <c r="T97" s="26"/>
    </row>
    <row r="98" spans="1:20" ht="19.5" x14ac:dyDescent="0.4">
      <c r="A98" s="41">
        <v>97</v>
      </c>
      <c r="B98" s="42">
        <v>364</v>
      </c>
      <c r="C98" s="42">
        <v>323</v>
      </c>
      <c r="D98" s="42">
        <v>2</v>
      </c>
      <c r="E98" s="42">
        <v>646</v>
      </c>
      <c r="F98" s="43">
        <v>45197</v>
      </c>
      <c r="G98" s="42" t="s">
        <v>25</v>
      </c>
      <c r="H98" s="42">
        <v>313</v>
      </c>
      <c r="I98" s="42" t="str">
        <f>VLOOKUP(продажи!$B98,товар!$A$1:$C$433,2)</f>
        <v>Сахар</v>
      </c>
      <c r="J98" s="42" t="str">
        <f>VLOOKUP(B98,товар!$A$1:$C$433,3)</f>
        <v>Русский сахар</v>
      </c>
      <c r="K98" s="44">
        <f>AVERAGEIF(продажи!$I$2:$I$1001,продажи!$I$2:$I$1001,продажи!$C$2:$C$1001)</f>
        <v>254.58333333333334</v>
      </c>
      <c r="L98" s="45">
        <f>продажи!$C98/продажи!$K98-1</f>
        <v>0.26873977086743039</v>
      </c>
      <c r="M98" s="33">
        <f t="shared" si="2"/>
        <v>4988</v>
      </c>
      <c r="N98" s="24">
        <f>Таблица1[[#This Row],[цена за шт в рублях]]/Таблица1[[#This Row],[средняя стоимость в категории по поставщику.]]-1</f>
        <v>-0.93524458700882118</v>
      </c>
      <c r="O98" s="26">
        <f>VLOOKUP(Таблица1[[#This Row],[id клиента]],клиенты!$A$2:$E$435,5,0)</f>
        <v>44896</v>
      </c>
      <c r="P98">
        <f>Таблица1[[#This Row],[дата создания чека]]-Таблица1[[#This Row],[Дата регистрации клента]]</f>
        <v>301</v>
      </c>
      <c r="Q98" s="26">
        <f t="shared" ca="1" si="3"/>
        <v>46059</v>
      </c>
      <c r="R98" s="51">
        <f ca="1">(TODAY()-Таблица1[[#This Row],[Дата регистрации клента]])/30</f>
        <v>38.766666666666666</v>
      </c>
      <c r="S98" s="63" t="str">
        <f>VLOOKUP(Таблица1[[#This Row],[id клиента]],Таблица8[[id клиента]:[Страна]],7,0)</f>
        <v>Узбекистан</v>
      </c>
      <c r="T98" s="26"/>
    </row>
    <row r="99" spans="1:20" ht="19.5" x14ac:dyDescent="0.4">
      <c r="A99" s="37">
        <v>98</v>
      </c>
      <c r="B99" s="31">
        <v>499</v>
      </c>
      <c r="C99" s="31">
        <v>96</v>
      </c>
      <c r="D99" s="31">
        <v>1</v>
      </c>
      <c r="E99" s="31">
        <v>96</v>
      </c>
      <c r="F99" s="38">
        <v>44942</v>
      </c>
      <c r="G99" s="31" t="s">
        <v>13</v>
      </c>
      <c r="H99" s="31">
        <v>239</v>
      </c>
      <c r="I99" s="31" t="str">
        <f>VLOOKUP(продажи!$B99,товар!$A$1:$C$433,2)</f>
        <v>Печенье</v>
      </c>
      <c r="J99" s="31" t="str">
        <f>VLOOKUP(B99,товар!$A$1:$C$433,3)</f>
        <v>Посиделкино</v>
      </c>
      <c r="K99" s="39">
        <f>AVERAGEIF(продажи!$I$2:$I$1001,продажи!$I$2:$I$1001,продажи!$C$2:$C$1001)</f>
        <v>283.468085106383</v>
      </c>
      <c r="L99" s="40">
        <f>продажи!$C99/продажи!$K99-1</f>
        <v>-0.66133753659085792</v>
      </c>
      <c r="M99" s="33">
        <f t="shared" si="2"/>
        <v>3538</v>
      </c>
      <c r="N99" s="24">
        <f>Таблица1[[#This Row],[цена за шт в рублях]]/Таблица1[[#This Row],[средняя стоимость в категории по поставщику.]]-1</f>
        <v>-0.97286602600339178</v>
      </c>
      <c r="O99" s="26">
        <f>VLOOKUP(Таблица1[[#This Row],[id клиента]],клиенты!$A$2:$E$435,5,0)</f>
        <v>44767</v>
      </c>
      <c r="P99">
        <f>Таблица1[[#This Row],[дата создания чека]]-Таблица1[[#This Row],[Дата регистрации клента]]</f>
        <v>175</v>
      </c>
      <c r="Q99" s="26">
        <f t="shared" ca="1" si="3"/>
        <v>46059</v>
      </c>
      <c r="R99" s="51">
        <f ca="1">(TODAY()-Таблица1[[#This Row],[Дата регистрации клента]])/30</f>
        <v>43.06666666666667</v>
      </c>
      <c r="S99" s="63" t="str">
        <f>VLOOKUP(Таблица1[[#This Row],[id клиента]],Таблица8[[id клиента]:[Страна]],7,0)</f>
        <v>Узбекистан</v>
      </c>
      <c r="T99" s="26"/>
    </row>
    <row r="100" spans="1:20" ht="19.5" x14ac:dyDescent="0.4">
      <c r="A100" s="41">
        <v>99</v>
      </c>
      <c r="B100" s="42">
        <v>202</v>
      </c>
      <c r="C100" s="42">
        <v>422</v>
      </c>
      <c r="D100" s="42">
        <v>2</v>
      </c>
      <c r="E100" s="42">
        <v>844</v>
      </c>
      <c r="F100" s="43">
        <v>45077</v>
      </c>
      <c r="G100" s="42" t="s">
        <v>13</v>
      </c>
      <c r="H100" s="42">
        <v>301</v>
      </c>
      <c r="I100" s="42" t="str">
        <f>VLOOKUP(продажи!$B100,товар!$A$1:$C$433,2)</f>
        <v>Овощи</v>
      </c>
      <c r="J100" s="42" t="str">
        <f>VLOOKUP(B100,товар!$A$1:$C$433,3)</f>
        <v>Овощной ряд</v>
      </c>
      <c r="K100" s="44">
        <f>AVERAGEIF(продажи!$I$2:$I$1001,продажи!$I$2:$I$1001,продажи!$C$2:$C$1001)</f>
        <v>250.48780487804879</v>
      </c>
      <c r="L100" s="45">
        <f>продажи!$C100/продажи!$K100-1</f>
        <v>0.68471275559883149</v>
      </c>
      <c r="M100" s="33">
        <f t="shared" si="2"/>
        <v>5165</v>
      </c>
      <c r="N100" s="24">
        <f>Таблица1[[#This Row],[цена за шт в рублях]]/Таблица1[[#This Row],[средняя стоимость в категории по поставщику.]]-1</f>
        <v>-0.91829622458857696</v>
      </c>
      <c r="O100" s="26">
        <f>VLOOKUP(Таблица1[[#This Row],[id клиента]],клиенты!$A$2:$E$435,5,0)</f>
        <v>44714</v>
      </c>
      <c r="P100">
        <f>Таблица1[[#This Row],[дата создания чека]]-Таблица1[[#This Row],[Дата регистрации клента]]</f>
        <v>363</v>
      </c>
      <c r="Q100" s="26">
        <f t="shared" ca="1" si="3"/>
        <v>46059</v>
      </c>
      <c r="R100" s="51">
        <f ca="1">(TODAY()-Таблица1[[#This Row],[Дата регистрации клента]])/30</f>
        <v>44.833333333333336</v>
      </c>
      <c r="S100" s="63" t="str">
        <f>VLOOKUP(Таблица1[[#This Row],[id клиента]],Таблица8[[id клиента]:[Страна]],7,0)</f>
        <v>Россия</v>
      </c>
      <c r="T100" s="26"/>
    </row>
    <row r="101" spans="1:20" ht="19.5" x14ac:dyDescent="0.4">
      <c r="A101" s="37">
        <v>100</v>
      </c>
      <c r="B101" s="31">
        <v>244</v>
      </c>
      <c r="C101" s="31">
        <v>57</v>
      </c>
      <c r="D101" s="31">
        <v>3</v>
      </c>
      <c r="E101" s="31">
        <v>171</v>
      </c>
      <c r="F101" s="38">
        <v>45331</v>
      </c>
      <c r="G101" s="31" t="s">
        <v>26</v>
      </c>
      <c r="H101" s="31">
        <v>359</v>
      </c>
      <c r="I101" s="31" t="str">
        <f>VLOOKUP(продажи!$B101,товар!$A$1:$C$433,2)</f>
        <v>Мясо</v>
      </c>
      <c r="J101" s="31" t="str">
        <f>VLOOKUP(B101,товар!$A$1:$C$433,3)</f>
        <v>Сава</v>
      </c>
      <c r="K101" s="39">
        <f>AVERAGEIF(продажи!$I$2:$I$1001,продажи!$I$2:$I$1001,продажи!$C$2:$C$1001)</f>
        <v>271.74545454545455</v>
      </c>
      <c r="L101" s="40">
        <f>продажи!$C101/продажи!$K101-1</f>
        <v>-0.79024488157366524</v>
      </c>
      <c r="M101" s="33">
        <f t="shared" si="2"/>
        <v>3405</v>
      </c>
      <c r="N101" s="24">
        <f>Таблица1[[#This Row],[цена за шт в рублях]]/Таблица1[[#This Row],[средняя стоимость в категории по поставщику.]]-1</f>
        <v>-0.98325991189427309</v>
      </c>
      <c r="O101" s="26">
        <f>VLOOKUP(Таблица1[[#This Row],[id клиента]],клиенты!$A$2:$E$435,5,0)</f>
        <v>44584</v>
      </c>
      <c r="P101">
        <f>Таблица1[[#This Row],[дата создания чека]]-Таблица1[[#This Row],[Дата регистрации клента]]</f>
        <v>747</v>
      </c>
      <c r="Q101" s="26">
        <f t="shared" ca="1" si="3"/>
        <v>46059</v>
      </c>
      <c r="R101" s="51">
        <f ca="1">(TODAY()-Таблица1[[#This Row],[Дата регистрации клента]])/30</f>
        <v>49.166666666666664</v>
      </c>
      <c r="S101" s="63" t="str">
        <f>VLOOKUP(Таблица1[[#This Row],[id клиента]],Таблица8[[id клиента]:[Страна]],7,0)</f>
        <v>Россия</v>
      </c>
      <c r="T101" s="26"/>
    </row>
    <row r="102" spans="1:20" ht="19.5" x14ac:dyDescent="0.4">
      <c r="A102" s="41">
        <v>101</v>
      </c>
      <c r="B102" s="42">
        <v>363</v>
      </c>
      <c r="C102" s="42">
        <v>414</v>
      </c>
      <c r="D102" s="42">
        <v>4</v>
      </c>
      <c r="E102" s="42">
        <v>1656</v>
      </c>
      <c r="F102" s="43">
        <v>45210</v>
      </c>
      <c r="G102" s="42" t="s">
        <v>25</v>
      </c>
      <c r="H102" s="42">
        <v>474</v>
      </c>
      <c r="I102" s="42" t="str">
        <f>VLOOKUP(продажи!$B102,товар!$A$1:$C$433,2)</f>
        <v>Хлеб</v>
      </c>
      <c r="J102" s="42" t="str">
        <f>VLOOKUP(B102,товар!$A$1:$C$433,3)</f>
        <v>Дарница</v>
      </c>
      <c r="K102" s="44">
        <f>AVERAGEIF(продажи!$I$2:$I$1001,продажи!$I$2:$I$1001,продажи!$C$2:$C$1001)</f>
        <v>300.31818181818181</v>
      </c>
      <c r="L102" s="45">
        <f>продажи!$C102/продажи!$K102-1</f>
        <v>0.37853791433328299</v>
      </c>
      <c r="M102" s="33">
        <f t="shared" si="2"/>
        <v>1848</v>
      </c>
      <c r="N102" s="24">
        <f>Таблица1[[#This Row],[цена за шт в рублях]]/Таблица1[[#This Row],[средняя стоимость в категории по поставщику.]]-1</f>
        <v>-0.77597402597402598</v>
      </c>
      <c r="O102" s="26">
        <f>VLOOKUP(Таблица1[[#This Row],[id клиента]],клиенты!$A$2:$E$435,5,0)</f>
        <v>44605</v>
      </c>
      <c r="P102">
        <f>Таблица1[[#This Row],[дата создания чека]]-Таблица1[[#This Row],[Дата регистрации клента]]</f>
        <v>605</v>
      </c>
      <c r="Q102" s="26">
        <f t="shared" ca="1" si="3"/>
        <v>46059</v>
      </c>
      <c r="R102" s="51">
        <f ca="1">(TODAY()-Таблица1[[#This Row],[Дата регистрации клента]])/30</f>
        <v>48.466666666666669</v>
      </c>
      <c r="S102" s="63" t="str">
        <f>VLOOKUP(Таблица1[[#This Row],[id клиента]],Таблица8[[id клиента]:[Страна]],7,0)</f>
        <v>Россия</v>
      </c>
      <c r="T102" s="26"/>
    </row>
    <row r="103" spans="1:20" ht="19.5" x14ac:dyDescent="0.4">
      <c r="A103" s="37">
        <v>102</v>
      </c>
      <c r="B103" s="31">
        <v>212</v>
      </c>
      <c r="C103" s="31">
        <v>320</v>
      </c>
      <c r="D103" s="31">
        <v>5</v>
      </c>
      <c r="E103" s="31">
        <v>1600</v>
      </c>
      <c r="F103" s="38">
        <v>45082</v>
      </c>
      <c r="G103" s="31" t="s">
        <v>10</v>
      </c>
      <c r="H103" s="31">
        <v>111</v>
      </c>
      <c r="I103" s="31" t="str">
        <f>VLOOKUP(продажи!$B103,товар!$A$1:$C$433,2)</f>
        <v>Чипсы</v>
      </c>
      <c r="J103" s="31" t="str">
        <f>VLOOKUP(B103,товар!$A$1:$C$433,3)</f>
        <v>Lay's</v>
      </c>
      <c r="K103" s="39">
        <f>AVERAGEIF(продажи!$I$2:$I$1001,продажи!$I$2:$I$1001,продажи!$C$2:$C$1001)</f>
        <v>273.72549019607845</v>
      </c>
      <c r="L103" s="40">
        <f>продажи!$C103/продажи!$K103-1</f>
        <v>0.16905444126074487</v>
      </c>
      <c r="M103" s="33">
        <f t="shared" si="2"/>
        <v>2244</v>
      </c>
      <c r="N103" s="24">
        <f>Таблица1[[#This Row],[цена за шт в рублях]]/Таблица1[[#This Row],[средняя стоимость в категории по поставщику.]]-1</f>
        <v>-0.85739750445632801</v>
      </c>
      <c r="O103" s="26">
        <f>VLOOKUP(Таблица1[[#This Row],[id клиента]],клиенты!$A$2:$E$435,5,0)</f>
        <v>44804</v>
      </c>
      <c r="P103">
        <f>Таблица1[[#This Row],[дата создания чека]]-Таблица1[[#This Row],[Дата регистрации клента]]</f>
        <v>278</v>
      </c>
      <c r="Q103" s="26">
        <f t="shared" ca="1" si="3"/>
        <v>46059</v>
      </c>
      <c r="R103" s="51">
        <f ca="1">(TODAY()-Таблица1[[#This Row],[Дата регистрации клента]])/30</f>
        <v>41.833333333333336</v>
      </c>
      <c r="S103" s="63" t="str">
        <f>VLOOKUP(Таблица1[[#This Row],[id клиента]],Таблица8[[id клиента]:[Страна]],7,0)</f>
        <v>Узбекистан</v>
      </c>
      <c r="T103" s="26"/>
    </row>
    <row r="104" spans="1:20" ht="19.5" x14ac:dyDescent="0.4">
      <c r="A104" s="41">
        <v>103</v>
      </c>
      <c r="B104" s="42">
        <v>434</v>
      </c>
      <c r="C104" s="42">
        <v>272</v>
      </c>
      <c r="D104" s="42">
        <v>2</v>
      </c>
      <c r="E104" s="42">
        <v>544</v>
      </c>
      <c r="F104" s="43">
        <v>45174</v>
      </c>
      <c r="G104" s="42" t="s">
        <v>13</v>
      </c>
      <c r="H104" s="42">
        <v>126</v>
      </c>
      <c r="I104" s="42" t="str">
        <f>VLOOKUP(продажи!$B104,товар!$A$1:$C$433,2)</f>
        <v>Сыр</v>
      </c>
      <c r="J104" s="42" t="str">
        <f>VLOOKUP(B104,товар!$A$1:$C$433,3)</f>
        <v>Сырная долина</v>
      </c>
      <c r="K104" s="44">
        <f>AVERAGEIF(продажи!$I$2:$I$1001,продажи!$I$2:$I$1001,продажи!$C$2:$C$1001)</f>
        <v>261.03225806451616</v>
      </c>
      <c r="L104" s="45">
        <f>продажи!$C104/продажи!$K104-1</f>
        <v>4.2016806722688926E-2</v>
      </c>
      <c r="M104" s="33">
        <f t="shared" si="2"/>
        <v>8943</v>
      </c>
      <c r="N104" s="24">
        <f>Таблица1[[#This Row],[цена за шт в рублях]]/Таблица1[[#This Row],[средняя стоимость в категории по поставщику.]]-1</f>
        <v>-0.96958515039695847</v>
      </c>
      <c r="O104" s="26">
        <f>VLOOKUP(Таблица1[[#This Row],[id клиента]],клиенты!$A$2:$E$435,5,0)</f>
        <v>44822</v>
      </c>
      <c r="P104">
        <f>Таблица1[[#This Row],[дата создания чека]]-Таблица1[[#This Row],[Дата регистрации клента]]</f>
        <v>352</v>
      </c>
      <c r="Q104" s="26">
        <f t="shared" ca="1" si="3"/>
        <v>46059</v>
      </c>
      <c r="R104" s="51">
        <f ca="1">(TODAY()-Таблица1[[#This Row],[Дата регистрации клента]])/30</f>
        <v>41.233333333333334</v>
      </c>
      <c r="S104" s="63" t="str">
        <f>VLOOKUP(Таблица1[[#This Row],[id клиента]],Таблица8[[id клиента]:[Страна]],7,0)</f>
        <v>Узбекистан</v>
      </c>
      <c r="T104" s="26"/>
    </row>
    <row r="105" spans="1:20" ht="19.5" x14ac:dyDescent="0.4">
      <c r="A105" s="37">
        <v>104</v>
      </c>
      <c r="B105" s="31">
        <v>305</v>
      </c>
      <c r="C105" s="31">
        <v>419</v>
      </c>
      <c r="D105" s="31">
        <v>4</v>
      </c>
      <c r="E105" s="31">
        <v>1676</v>
      </c>
      <c r="F105" s="38">
        <v>45171</v>
      </c>
      <c r="G105" s="31" t="s">
        <v>27</v>
      </c>
      <c r="H105" s="31">
        <v>356</v>
      </c>
      <c r="I105" s="31" t="str">
        <f>VLOOKUP(продажи!$B105,товар!$A$1:$C$433,2)</f>
        <v>Печенье</v>
      </c>
      <c r="J105" s="31" t="str">
        <f>VLOOKUP(B105,товар!$A$1:$C$433,3)</f>
        <v>Посиделкино</v>
      </c>
      <c r="K105" s="39">
        <f>AVERAGEIF(продажи!$I$2:$I$1001,продажи!$I$2:$I$1001,продажи!$C$2:$C$1001)</f>
        <v>283.468085106383</v>
      </c>
      <c r="L105" s="40">
        <f>продажи!$C105/продажи!$K105-1</f>
        <v>0.47812054342115129</v>
      </c>
      <c r="M105" s="33">
        <f t="shared" si="2"/>
        <v>3538</v>
      </c>
      <c r="N105" s="24">
        <f>Таблица1[[#This Row],[цена за шт в рублях]]/Таблица1[[#This Row],[средняя стоимость в категории по поставщику.]]-1</f>
        <v>-0.88157150932730355</v>
      </c>
      <c r="O105" s="26">
        <f>VLOOKUP(Таблица1[[#This Row],[id клиента]],клиенты!$A$2:$E$435,5,0)</f>
        <v>44570</v>
      </c>
      <c r="P105">
        <f>Таблица1[[#This Row],[дата создания чека]]-Таблица1[[#This Row],[Дата регистрации клента]]</f>
        <v>601</v>
      </c>
      <c r="Q105" s="26">
        <f t="shared" ca="1" si="3"/>
        <v>46059</v>
      </c>
      <c r="R105" s="51">
        <f ca="1">(TODAY()-Таблица1[[#This Row],[Дата регистрации клента]])/30</f>
        <v>49.633333333333333</v>
      </c>
      <c r="S105" s="63" t="str">
        <f>VLOOKUP(Таблица1[[#This Row],[id клиента]],Таблица8[[id клиента]:[Страна]],7,0)</f>
        <v>Таджикистан</v>
      </c>
      <c r="T105" s="26"/>
    </row>
    <row r="106" spans="1:20" ht="19.5" x14ac:dyDescent="0.4">
      <c r="A106" s="41">
        <v>105</v>
      </c>
      <c r="B106" s="42">
        <v>37</v>
      </c>
      <c r="C106" s="42">
        <v>478</v>
      </c>
      <c r="D106" s="42">
        <v>4</v>
      </c>
      <c r="E106" s="42">
        <v>1912</v>
      </c>
      <c r="F106" s="43">
        <v>45259</v>
      </c>
      <c r="G106" s="42" t="s">
        <v>12</v>
      </c>
      <c r="H106" s="42">
        <v>166</v>
      </c>
      <c r="I106" s="42" t="str">
        <f>VLOOKUP(продажи!$B106,товар!$A$1:$C$433,2)</f>
        <v>Соль</v>
      </c>
      <c r="J106" s="42" t="str">
        <f>VLOOKUP(B106,товар!$A$1:$C$433,3)</f>
        <v>Илецкая</v>
      </c>
      <c r="K106" s="44">
        <f>AVERAGEIF(продажи!$I$2:$I$1001,продажи!$I$2:$I$1001,продажи!$C$2:$C$1001)</f>
        <v>264.8679245283019</v>
      </c>
      <c r="L106" s="45">
        <f>продажи!$C106/продажи!$K106-1</f>
        <v>0.80467303034620308</v>
      </c>
      <c r="M106" s="33">
        <f t="shared" si="2"/>
        <v>4287</v>
      </c>
      <c r="N106" s="24">
        <f>Таблица1[[#This Row],[цена за шт в рублях]]/Таблица1[[#This Row],[средняя стоимость в категории по поставщику.]]-1</f>
        <v>-0.88850011663167716</v>
      </c>
      <c r="O106" s="26">
        <f>VLOOKUP(Таблица1[[#This Row],[id клиента]],клиенты!$A$2:$E$435,5,0)</f>
        <v>44796</v>
      </c>
      <c r="P106">
        <f>Таблица1[[#This Row],[дата создания чека]]-Таблица1[[#This Row],[Дата регистрации клента]]</f>
        <v>463</v>
      </c>
      <c r="Q106" s="26">
        <f t="shared" ca="1" si="3"/>
        <v>46059</v>
      </c>
      <c r="R106" s="51">
        <f ca="1">(TODAY()-Таблица1[[#This Row],[Дата регистрации клента]])/30</f>
        <v>42.1</v>
      </c>
      <c r="S106" s="63" t="str">
        <f>VLOOKUP(Таблица1[[#This Row],[id клиента]],Таблица8[[id клиента]:[Страна]],7,0)</f>
        <v>Узбекистан</v>
      </c>
      <c r="T106" s="26"/>
    </row>
    <row r="107" spans="1:20" ht="19.5" x14ac:dyDescent="0.4">
      <c r="A107" s="37">
        <v>106</v>
      </c>
      <c r="B107" s="31">
        <v>242</v>
      </c>
      <c r="C107" s="31">
        <v>333</v>
      </c>
      <c r="D107" s="31">
        <v>3</v>
      </c>
      <c r="E107" s="31">
        <v>999</v>
      </c>
      <c r="F107" s="38">
        <v>45287</v>
      </c>
      <c r="G107" s="31" t="s">
        <v>10</v>
      </c>
      <c r="H107" s="31">
        <v>162</v>
      </c>
      <c r="I107" s="31" t="str">
        <f>VLOOKUP(продажи!$B107,товар!$A$1:$C$433,2)</f>
        <v>Овощи</v>
      </c>
      <c r="J107" s="31" t="str">
        <f>VLOOKUP(B107,товар!$A$1:$C$433,3)</f>
        <v>Овощной ряд</v>
      </c>
      <c r="K107" s="39">
        <f>AVERAGEIF(продажи!$I$2:$I$1001,продажи!$I$2:$I$1001,продажи!$C$2:$C$1001)</f>
        <v>250.48780487804879</v>
      </c>
      <c r="L107" s="40">
        <f>продажи!$C107/продажи!$K107-1</f>
        <v>0.32940603700097371</v>
      </c>
      <c r="M107" s="33">
        <f t="shared" si="2"/>
        <v>5165</v>
      </c>
      <c r="N107" s="24">
        <f>Таблица1[[#This Row],[цена за шт в рублях]]/Таблица1[[#This Row],[средняя стоимость в категории по поставщику.]]-1</f>
        <v>-0.93552758954501458</v>
      </c>
      <c r="O107" s="26">
        <f>VLOOKUP(Таблица1[[#This Row],[id клиента]],клиенты!$A$2:$E$435,5,0)</f>
        <v>44639</v>
      </c>
      <c r="P107">
        <f>Таблица1[[#This Row],[дата создания чека]]-Таблица1[[#This Row],[Дата регистрации клента]]</f>
        <v>648</v>
      </c>
      <c r="Q107" s="26">
        <f t="shared" ca="1" si="3"/>
        <v>46059</v>
      </c>
      <c r="R107" s="51">
        <f ca="1">(TODAY()-Таблица1[[#This Row],[Дата регистрации клента]])/30</f>
        <v>47.333333333333336</v>
      </c>
      <c r="S107" s="63" t="str">
        <f>VLOOKUP(Таблица1[[#This Row],[id клиента]],Таблица8[[id клиента]:[Страна]],7,0)</f>
        <v>Таджикистан</v>
      </c>
      <c r="T107" s="26"/>
    </row>
    <row r="108" spans="1:20" ht="19.5" x14ac:dyDescent="0.4">
      <c r="A108" s="41">
        <v>107</v>
      </c>
      <c r="B108" s="42">
        <v>332</v>
      </c>
      <c r="C108" s="42">
        <v>327</v>
      </c>
      <c r="D108" s="42">
        <v>2</v>
      </c>
      <c r="E108" s="42">
        <v>654</v>
      </c>
      <c r="F108" s="43">
        <v>45095</v>
      </c>
      <c r="G108" s="42" t="s">
        <v>19</v>
      </c>
      <c r="H108" s="42">
        <v>459</v>
      </c>
      <c r="I108" s="42" t="str">
        <f>VLOOKUP(продажи!$B108,товар!$A$1:$C$433,2)</f>
        <v>Чай</v>
      </c>
      <c r="J108" s="42" t="str">
        <f>VLOOKUP(B108,товар!$A$1:$C$433,3)</f>
        <v>Тесс</v>
      </c>
      <c r="K108" s="44">
        <f>AVERAGEIF(продажи!$I$2:$I$1001,продажи!$I$2:$I$1001,продажи!$C$2:$C$1001)</f>
        <v>271.18181818181819</v>
      </c>
      <c r="L108" s="45">
        <f>продажи!$C108/продажи!$K108-1</f>
        <v>0.20583305397251084</v>
      </c>
      <c r="M108" s="33">
        <f t="shared" si="2"/>
        <v>1127</v>
      </c>
      <c r="N108" s="24">
        <f>Таблица1[[#This Row],[цена за шт в рублях]]/Таблица1[[#This Row],[средняя стоимость в категории по поставщику.]]-1</f>
        <v>-0.70984915705412599</v>
      </c>
      <c r="O108" s="26">
        <f>VLOOKUP(Таблица1[[#This Row],[id клиента]],клиенты!$A$2:$E$435,5,0)</f>
        <v>44743</v>
      </c>
      <c r="P108">
        <f>Таблица1[[#This Row],[дата создания чека]]-Таблица1[[#This Row],[Дата регистрации клента]]</f>
        <v>352</v>
      </c>
      <c r="Q108" s="26">
        <f t="shared" ca="1" si="3"/>
        <v>46059</v>
      </c>
      <c r="R108" s="51">
        <f ca="1">(TODAY()-Таблица1[[#This Row],[Дата регистрации клента]])/30</f>
        <v>43.866666666666667</v>
      </c>
      <c r="S108" s="63" t="str">
        <f>VLOOKUP(Таблица1[[#This Row],[id клиента]],Таблица8[[id клиента]:[Страна]],7,0)</f>
        <v>Россия</v>
      </c>
      <c r="T108" s="26"/>
    </row>
    <row r="109" spans="1:20" ht="19.5" x14ac:dyDescent="0.4">
      <c r="A109" s="37">
        <v>108</v>
      </c>
      <c r="B109" s="31">
        <v>452</v>
      </c>
      <c r="C109" s="31">
        <v>89</v>
      </c>
      <c r="D109" s="31">
        <v>3</v>
      </c>
      <c r="E109" s="31">
        <v>267</v>
      </c>
      <c r="F109" s="38">
        <v>45033</v>
      </c>
      <c r="G109" s="31" t="s">
        <v>22</v>
      </c>
      <c r="H109" s="31">
        <v>211</v>
      </c>
      <c r="I109" s="31" t="str">
        <f>VLOOKUP(продажи!$B109,товар!$A$1:$C$433,2)</f>
        <v>Фрукты</v>
      </c>
      <c r="J109" s="31" t="str">
        <f>VLOOKUP(B109,товар!$A$1:$C$433,3)</f>
        <v>Экзотик</v>
      </c>
      <c r="K109" s="39">
        <f>AVERAGEIF(продажи!$I$2:$I$1001,продажи!$I$2:$I$1001,продажи!$C$2:$C$1001)</f>
        <v>274.16279069767444</v>
      </c>
      <c r="L109" s="40">
        <f>продажи!$C109/продажи!$K109-1</f>
        <v>-0.67537534990245152</v>
      </c>
      <c r="M109" s="33">
        <f t="shared" si="2"/>
        <v>4059</v>
      </c>
      <c r="N109" s="24">
        <f>Таблица1[[#This Row],[цена за шт в рублях]]/Таблица1[[#This Row],[средняя стоимость в категории по поставщику.]]-1</f>
        <v>-0.97807341709780737</v>
      </c>
      <c r="O109" s="26">
        <f>VLOOKUP(Таблица1[[#This Row],[id клиента]],клиенты!$A$2:$E$435,5,0)</f>
        <v>44621</v>
      </c>
      <c r="P109">
        <f>Таблица1[[#This Row],[дата создания чека]]-Таблица1[[#This Row],[Дата регистрации клента]]</f>
        <v>412</v>
      </c>
      <c r="Q109" s="26">
        <f t="shared" ca="1" si="3"/>
        <v>46059</v>
      </c>
      <c r="R109" s="51">
        <f ca="1">(TODAY()-Таблица1[[#This Row],[Дата регистрации клента]])/30</f>
        <v>47.93333333333333</v>
      </c>
      <c r="S109" s="63" t="str">
        <f>VLOOKUP(Таблица1[[#This Row],[id клиента]],Таблица8[[id клиента]:[Страна]],7,0)</f>
        <v>Украина</v>
      </c>
      <c r="T109" s="26"/>
    </row>
    <row r="110" spans="1:20" ht="19.5" x14ac:dyDescent="0.4">
      <c r="A110" s="41">
        <v>109</v>
      </c>
      <c r="B110" s="42">
        <v>452</v>
      </c>
      <c r="C110" s="42">
        <v>78</v>
      </c>
      <c r="D110" s="42">
        <v>3</v>
      </c>
      <c r="E110" s="42">
        <v>234</v>
      </c>
      <c r="F110" s="43">
        <v>45285</v>
      </c>
      <c r="G110" s="42" t="s">
        <v>10</v>
      </c>
      <c r="H110" s="42">
        <v>132</v>
      </c>
      <c r="I110" s="42" t="str">
        <f>VLOOKUP(продажи!$B110,товар!$A$1:$C$433,2)</f>
        <v>Фрукты</v>
      </c>
      <c r="J110" s="42" t="str">
        <f>VLOOKUP(B110,товар!$A$1:$C$433,3)</f>
        <v>Экзотик</v>
      </c>
      <c r="K110" s="44">
        <f>AVERAGEIF(продажи!$I$2:$I$1001,продажи!$I$2:$I$1001,продажи!$C$2:$C$1001)</f>
        <v>274.16279069767444</v>
      </c>
      <c r="L110" s="45">
        <f>продажи!$C110/продажи!$K110-1</f>
        <v>-0.71549749766731696</v>
      </c>
      <c r="M110" s="33">
        <f t="shared" si="2"/>
        <v>4059</v>
      </c>
      <c r="N110" s="24">
        <f>Таблица1[[#This Row],[цена за шт в рублях]]/Таблица1[[#This Row],[средняя стоимость в категории по поставщику.]]-1</f>
        <v>-0.98078344419807839</v>
      </c>
      <c r="O110" s="26">
        <f>VLOOKUP(Таблица1[[#This Row],[id клиента]],клиенты!$A$2:$E$435,5,0)</f>
        <v>44601</v>
      </c>
      <c r="P110">
        <f>Таблица1[[#This Row],[дата создания чека]]-Таблица1[[#This Row],[Дата регистрации клента]]</f>
        <v>684</v>
      </c>
      <c r="Q110" s="26">
        <f t="shared" ca="1" si="3"/>
        <v>46059</v>
      </c>
      <c r="R110" s="51">
        <f ca="1">(TODAY()-Таблица1[[#This Row],[Дата регистрации клента]])/30</f>
        <v>48.6</v>
      </c>
      <c r="S110" s="63" t="str">
        <f>VLOOKUP(Таблица1[[#This Row],[id клиента]],Таблица8[[id клиента]:[Страна]],7,0)</f>
        <v>Украина</v>
      </c>
      <c r="T110" s="26"/>
    </row>
    <row r="111" spans="1:20" ht="19.5" x14ac:dyDescent="0.4">
      <c r="A111" s="37">
        <v>110</v>
      </c>
      <c r="B111" s="31">
        <v>132</v>
      </c>
      <c r="C111" s="31">
        <v>278</v>
      </c>
      <c r="D111" s="31">
        <v>3</v>
      </c>
      <c r="E111" s="31">
        <v>834</v>
      </c>
      <c r="F111" s="38">
        <v>45013</v>
      </c>
      <c r="G111" s="31" t="s">
        <v>11</v>
      </c>
      <c r="H111" s="31">
        <v>236</v>
      </c>
      <c r="I111" s="31" t="str">
        <f>VLOOKUP(продажи!$B111,товар!$A$1:$C$433,2)</f>
        <v>Рыба</v>
      </c>
      <c r="J111" s="31" t="str">
        <f>VLOOKUP(B111,товар!$A$1:$C$433,3)</f>
        <v>Меридиан</v>
      </c>
      <c r="K111" s="39">
        <f>AVERAGEIF(продажи!$I$2:$I$1001,продажи!$I$2:$I$1001,продажи!$C$2:$C$1001)</f>
        <v>258.5128205128205</v>
      </c>
      <c r="L111" s="40">
        <f>продажи!$C111/продажи!$K111-1</f>
        <v>7.5381868676849928E-2</v>
      </c>
      <c r="M111" s="33">
        <f t="shared" si="2"/>
        <v>4431</v>
      </c>
      <c r="N111" s="24">
        <f>Таблица1[[#This Row],[цена за шт в рублях]]/Таблица1[[#This Row],[средняя стоимость в категории по поставщику.]]-1</f>
        <v>-0.93726021214172872</v>
      </c>
      <c r="O111" s="26">
        <f>VLOOKUP(Таблица1[[#This Row],[id клиента]],клиенты!$A$2:$E$435,5,0)</f>
        <v>44820</v>
      </c>
      <c r="P111">
        <f>Таблица1[[#This Row],[дата создания чека]]-Таблица1[[#This Row],[Дата регистрации клента]]</f>
        <v>193</v>
      </c>
      <c r="Q111" s="26">
        <f t="shared" ca="1" si="3"/>
        <v>46059</v>
      </c>
      <c r="R111" s="51">
        <f ca="1">(TODAY()-Таблица1[[#This Row],[Дата регистрации клента]])/30</f>
        <v>41.3</v>
      </c>
      <c r="S111" s="63" t="str">
        <f>VLOOKUP(Таблица1[[#This Row],[id клиента]],Таблица8[[id клиента]:[Страна]],7,0)</f>
        <v>Узбекистан</v>
      </c>
      <c r="T111" s="26"/>
    </row>
    <row r="112" spans="1:20" ht="19.5" x14ac:dyDescent="0.4">
      <c r="A112" s="41">
        <v>111</v>
      </c>
      <c r="B112" s="42">
        <v>457</v>
      </c>
      <c r="C112" s="42">
        <v>211</v>
      </c>
      <c r="D112" s="42">
        <v>4</v>
      </c>
      <c r="E112" s="42">
        <v>844</v>
      </c>
      <c r="F112" s="43">
        <v>45039</v>
      </c>
      <c r="G112" s="42" t="s">
        <v>17</v>
      </c>
      <c r="H112" s="42">
        <v>333</v>
      </c>
      <c r="I112" s="42" t="str">
        <f>VLOOKUP(продажи!$B112,товар!$A$1:$C$433,2)</f>
        <v>Сок</v>
      </c>
      <c r="J112" s="42" t="str">
        <f>VLOOKUP(B112,товар!$A$1:$C$433,3)</f>
        <v>Rich</v>
      </c>
      <c r="K112" s="44">
        <f>AVERAGEIF(продажи!$I$2:$I$1001,продажи!$I$2:$I$1001,продажи!$C$2:$C$1001)</f>
        <v>268.60344827586209</v>
      </c>
      <c r="L112" s="45">
        <f>продажи!$C112/продажи!$K112-1</f>
        <v>-0.21445535656974135</v>
      </c>
      <c r="M112" s="33">
        <f t="shared" si="2"/>
        <v>1089</v>
      </c>
      <c r="N112" s="24">
        <f>Таблица1[[#This Row],[цена за шт в рублях]]/Таблица1[[#This Row],[средняя стоимость в категории по поставщику.]]-1</f>
        <v>-0.80624426078971534</v>
      </c>
      <c r="O112" s="26">
        <f>VLOOKUP(Таблица1[[#This Row],[id клиента]],клиенты!$A$2:$E$435,5,0)</f>
        <v>44857</v>
      </c>
      <c r="P112">
        <f>Таблица1[[#This Row],[дата создания чека]]-Таблица1[[#This Row],[Дата регистрации клента]]</f>
        <v>182</v>
      </c>
      <c r="Q112" s="26">
        <f t="shared" ca="1" si="3"/>
        <v>46059</v>
      </c>
      <c r="R112" s="51">
        <f ca="1">(TODAY()-Таблица1[[#This Row],[Дата регистрации клента]])/30</f>
        <v>40.06666666666667</v>
      </c>
      <c r="S112" s="63" t="str">
        <f>VLOOKUP(Таблица1[[#This Row],[id клиента]],Таблица8[[id клиента]:[Страна]],7,0)</f>
        <v>Россия</v>
      </c>
      <c r="T112" s="26"/>
    </row>
    <row r="113" spans="1:20" ht="19.5" x14ac:dyDescent="0.4">
      <c r="A113" s="37">
        <v>112</v>
      </c>
      <c r="B113" s="31">
        <v>250</v>
      </c>
      <c r="C113" s="31">
        <v>97</v>
      </c>
      <c r="D113" s="31">
        <v>5</v>
      </c>
      <c r="E113" s="31">
        <v>485</v>
      </c>
      <c r="F113" s="38">
        <v>45214</v>
      </c>
      <c r="G113" s="31" t="s">
        <v>27</v>
      </c>
      <c r="H113" s="31">
        <v>298</v>
      </c>
      <c r="I113" s="31" t="str">
        <f>VLOOKUP(продажи!$B113,товар!$A$1:$C$433,2)</f>
        <v>Фрукты</v>
      </c>
      <c r="J113" s="31" t="str">
        <f>VLOOKUP(B113,товар!$A$1:$C$433,3)</f>
        <v>Фрукты-Ягоды</v>
      </c>
      <c r="K113" s="39">
        <f>AVERAGEIF(продажи!$I$2:$I$1001,продажи!$I$2:$I$1001,продажи!$C$2:$C$1001)</f>
        <v>274.16279069767444</v>
      </c>
      <c r="L113" s="40">
        <f>продажи!$C113/продажи!$K113-1</f>
        <v>-0.64619560607345838</v>
      </c>
      <c r="M113" s="33">
        <f t="shared" si="2"/>
        <v>2526</v>
      </c>
      <c r="N113" s="24">
        <f>Таблица1[[#This Row],[цена за шт в рублях]]/Таблица1[[#This Row],[средняя стоимость в категории по поставщику.]]-1</f>
        <v>-0.96159936658749012</v>
      </c>
      <c r="O113" s="26">
        <f>VLOOKUP(Таблица1[[#This Row],[id клиента]],клиенты!$A$2:$E$435,5,0)</f>
        <v>44821</v>
      </c>
      <c r="P113">
        <f>Таблица1[[#This Row],[дата создания чека]]-Таблица1[[#This Row],[Дата регистрации клента]]</f>
        <v>393</v>
      </c>
      <c r="Q113" s="26">
        <f t="shared" ca="1" si="3"/>
        <v>46059</v>
      </c>
      <c r="R113" s="51">
        <f ca="1">(TODAY()-Таблица1[[#This Row],[Дата регистрации клента]])/30</f>
        <v>41.266666666666666</v>
      </c>
      <c r="S113" s="63" t="str">
        <f>VLOOKUP(Таблица1[[#This Row],[id клиента]],Таблица8[[id клиента]:[Страна]],7,0)</f>
        <v>Украина</v>
      </c>
      <c r="T113" s="26"/>
    </row>
    <row r="114" spans="1:20" ht="19.5" x14ac:dyDescent="0.4">
      <c r="A114" s="41">
        <v>113</v>
      </c>
      <c r="B114" s="42">
        <v>195</v>
      </c>
      <c r="C114" s="42">
        <v>240</v>
      </c>
      <c r="D114" s="42">
        <v>2</v>
      </c>
      <c r="E114" s="42">
        <v>480</v>
      </c>
      <c r="F114" s="43">
        <v>45277</v>
      </c>
      <c r="G114" s="42" t="s">
        <v>14</v>
      </c>
      <c r="H114" s="42">
        <v>273</v>
      </c>
      <c r="I114" s="42" t="str">
        <f>VLOOKUP(продажи!$B114,товар!$A$1:$C$433,2)</f>
        <v>Хлеб</v>
      </c>
      <c r="J114" s="42" t="str">
        <f>VLOOKUP(B114,товар!$A$1:$C$433,3)</f>
        <v>Каравай</v>
      </c>
      <c r="K114" s="44">
        <f>AVERAGEIF(продажи!$I$2:$I$1001,продажи!$I$2:$I$1001,продажи!$C$2:$C$1001)</f>
        <v>300.31818181818181</v>
      </c>
      <c r="L114" s="45">
        <f>продажи!$C114/продажи!$K114-1</f>
        <v>-0.20084758589374907</v>
      </c>
      <c r="M114" s="33">
        <f t="shared" si="2"/>
        <v>3974</v>
      </c>
      <c r="N114" s="24">
        <f>Таблица1[[#This Row],[цена за шт в рублях]]/Таблица1[[#This Row],[средняя стоимость в категории по поставщику.]]-1</f>
        <v>-0.93960744841469557</v>
      </c>
      <c r="O114" s="26">
        <f>VLOOKUP(Таблица1[[#This Row],[id клиента]],клиенты!$A$2:$E$435,5,0)</f>
        <v>44599</v>
      </c>
      <c r="P114">
        <f>Таблица1[[#This Row],[дата создания чека]]-Таблица1[[#This Row],[Дата регистрации клента]]</f>
        <v>678</v>
      </c>
      <c r="Q114" s="26">
        <f t="shared" ca="1" si="3"/>
        <v>46059</v>
      </c>
      <c r="R114" s="51">
        <f ca="1">(TODAY()-Таблица1[[#This Row],[Дата регистрации клента]])/30</f>
        <v>48.666666666666664</v>
      </c>
      <c r="S114" s="63" t="str">
        <f>VLOOKUP(Таблица1[[#This Row],[id клиента]],Таблица8[[id клиента]:[Страна]],7,0)</f>
        <v>Узбекистан</v>
      </c>
      <c r="T114" s="26"/>
    </row>
    <row r="115" spans="1:20" ht="19.5" x14ac:dyDescent="0.4">
      <c r="A115" s="37">
        <v>114</v>
      </c>
      <c r="B115" s="31">
        <v>186</v>
      </c>
      <c r="C115" s="31">
        <v>244</v>
      </c>
      <c r="D115" s="31">
        <v>1</v>
      </c>
      <c r="E115" s="31">
        <v>244</v>
      </c>
      <c r="F115" s="38">
        <v>45176</v>
      </c>
      <c r="G115" s="31" t="s">
        <v>17</v>
      </c>
      <c r="H115" s="31">
        <v>321</v>
      </c>
      <c r="I115" s="31" t="str">
        <f>VLOOKUP(продажи!$B115,товар!$A$1:$C$433,2)</f>
        <v>Сыр</v>
      </c>
      <c r="J115" s="31" t="str">
        <f>VLOOKUP(B115,товар!$A$1:$C$433,3)</f>
        <v>President</v>
      </c>
      <c r="K115" s="39">
        <f>AVERAGEIF(продажи!$I$2:$I$1001,продажи!$I$2:$I$1001,продажи!$C$2:$C$1001)</f>
        <v>261.03225806451616</v>
      </c>
      <c r="L115" s="40">
        <f>продажи!$C115/продажи!$K115-1</f>
        <v>-6.5249629263470221E-2</v>
      </c>
      <c r="M115" s="33">
        <f t="shared" si="2"/>
        <v>3935</v>
      </c>
      <c r="N115" s="24">
        <f>Таблица1[[#This Row],[цена за шт в рублях]]/Таблица1[[#This Row],[средняя стоимость в категории по поставщику.]]-1</f>
        <v>-0.93799237611181707</v>
      </c>
      <c r="O115" s="26">
        <f>VLOOKUP(Таблица1[[#This Row],[id клиента]],клиенты!$A$2:$E$435,5,0)</f>
        <v>44756</v>
      </c>
      <c r="P115">
        <f>Таблица1[[#This Row],[дата создания чека]]-Таблица1[[#This Row],[Дата регистрации клента]]</f>
        <v>420</v>
      </c>
      <c r="Q115" s="26">
        <f t="shared" ca="1" si="3"/>
        <v>46059</v>
      </c>
      <c r="R115" s="51">
        <f ca="1">(TODAY()-Таблица1[[#This Row],[Дата регистрации клента]])/30</f>
        <v>43.43333333333333</v>
      </c>
      <c r="S115" s="63" t="str">
        <f>VLOOKUP(Таблица1[[#This Row],[id клиента]],Таблица8[[id клиента]:[Страна]],7,0)</f>
        <v>Таджикистан</v>
      </c>
      <c r="T115" s="26"/>
    </row>
    <row r="116" spans="1:20" ht="19.5" x14ac:dyDescent="0.4">
      <c r="A116" s="41">
        <v>115</v>
      </c>
      <c r="B116" s="42">
        <v>490</v>
      </c>
      <c r="C116" s="42">
        <v>219</v>
      </c>
      <c r="D116" s="42">
        <v>1</v>
      </c>
      <c r="E116" s="42">
        <v>219</v>
      </c>
      <c r="F116" s="43">
        <v>44948</v>
      </c>
      <c r="G116" s="42" t="s">
        <v>20</v>
      </c>
      <c r="H116" s="42">
        <v>119</v>
      </c>
      <c r="I116" s="42" t="str">
        <f>VLOOKUP(продажи!$B116,товар!$A$1:$C$433,2)</f>
        <v>Сыр</v>
      </c>
      <c r="J116" s="42" t="str">
        <f>VLOOKUP(B116,товар!$A$1:$C$433,3)</f>
        <v>Сырная долина</v>
      </c>
      <c r="K116" s="44">
        <f>AVERAGEIF(продажи!$I$2:$I$1001,продажи!$I$2:$I$1001,продажи!$C$2:$C$1001)</f>
        <v>261.03225806451616</v>
      </c>
      <c r="L116" s="45">
        <f>продажи!$C116/продажи!$K116-1</f>
        <v>-0.16102323282254083</v>
      </c>
      <c r="M116" s="33">
        <f t="shared" si="2"/>
        <v>8943</v>
      </c>
      <c r="N116" s="24">
        <f>Таблица1[[#This Row],[цена за шт в рублях]]/Таблица1[[#This Row],[средняя стоимость в категории по поставщику.]]-1</f>
        <v>-0.97551157329755112</v>
      </c>
      <c r="O116" s="26">
        <f>VLOOKUP(Таблица1[[#This Row],[id клиента]],клиенты!$A$2:$E$435,5,0)</f>
        <v>44690</v>
      </c>
      <c r="P116">
        <f>Таблица1[[#This Row],[дата создания чека]]-Таблица1[[#This Row],[Дата регистрации клента]]</f>
        <v>258</v>
      </c>
      <c r="Q116" s="26">
        <f t="shared" ca="1" si="3"/>
        <v>46059</v>
      </c>
      <c r="R116" s="51">
        <f ca="1">(TODAY()-Таблица1[[#This Row],[Дата регистрации клента]])/30</f>
        <v>45.633333333333333</v>
      </c>
      <c r="S116" s="63" t="str">
        <f>VLOOKUP(Таблица1[[#This Row],[id клиента]],Таблица8[[id клиента]:[Страна]],7,0)</f>
        <v>Россия</v>
      </c>
      <c r="T116" s="26"/>
    </row>
    <row r="117" spans="1:20" ht="19.5" x14ac:dyDescent="0.4">
      <c r="A117" s="37">
        <v>116</v>
      </c>
      <c r="B117" s="31">
        <v>72</v>
      </c>
      <c r="C117" s="31">
        <v>162</v>
      </c>
      <c r="D117" s="31">
        <v>1</v>
      </c>
      <c r="E117" s="31">
        <v>162</v>
      </c>
      <c r="F117" s="38">
        <v>44959</v>
      </c>
      <c r="G117" s="31" t="s">
        <v>17</v>
      </c>
      <c r="H117" s="31">
        <v>472</v>
      </c>
      <c r="I117" s="31" t="str">
        <f>VLOOKUP(продажи!$B117,товар!$A$1:$C$433,2)</f>
        <v>Конфеты</v>
      </c>
      <c r="J117" s="31" t="str">
        <f>VLOOKUP(B117,товар!$A$1:$C$433,3)</f>
        <v>Бабаевский</v>
      </c>
      <c r="K117" s="39">
        <f>AVERAGEIF(продажи!$I$2:$I$1001,продажи!$I$2:$I$1001,продажи!$C$2:$C$1001)</f>
        <v>267.85483870967744</v>
      </c>
      <c r="L117" s="40">
        <f>продажи!$C117/продажи!$K117-1</f>
        <v>-0.39519479737460106</v>
      </c>
      <c r="M117" s="33">
        <f t="shared" si="2"/>
        <v>6757</v>
      </c>
      <c r="N117" s="24">
        <f>Таблица1[[#This Row],[цена за шт в рублях]]/Таблица1[[#This Row],[средняя стоимость в категории по поставщику.]]-1</f>
        <v>-0.9760248631049282</v>
      </c>
      <c r="O117" s="26">
        <f>VLOOKUP(Таблица1[[#This Row],[id клиента]],клиенты!$A$2:$E$435,5,0)</f>
        <v>44901</v>
      </c>
      <c r="P117">
        <f>Таблица1[[#This Row],[дата создания чека]]-Таблица1[[#This Row],[Дата регистрации клента]]</f>
        <v>58</v>
      </c>
      <c r="Q117" s="26">
        <f t="shared" ca="1" si="3"/>
        <v>46059</v>
      </c>
      <c r="R117" s="51">
        <f ca="1">(TODAY()-Таблица1[[#This Row],[Дата регистрации клента]])/30</f>
        <v>38.6</v>
      </c>
      <c r="S117" s="63" t="str">
        <f>VLOOKUP(Таблица1[[#This Row],[id клиента]],Таблица8[[id клиента]:[Страна]],7,0)</f>
        <v>Украина</v>
      </c>
      <c r="T117" s="26"/>
    </row>
    <row r="118" spans="1:20" ht="19.5" x14ac:dyDescent="0.4">
      <c r="A118" s="41">
        <v>117</v>
      </c>
      <c r="B118" s="42">
        <v>430</v>
      </c>
      <c r="C118" s="42">
        <v>119</v>
      </c>
      <c r="D118" s="42">
        <v>3</v>
      </c>
      <c r="E118" s="42">
        <v>357</v>
      </c>
      <c r="F118" s="43">
        <v>45241</v>
      </c>
      <c r="G118" s="42" t="s">
        <v>24</v>
      </c>
      <c r="H118" s="42">
        <v>396</v>
      </c>
      <c r="I118" s="42" t="str">
        <f>VLOOKUP(продажи!$B118,товар!$A$1:$C$433,2)</f>
        <v>Чай</v>
      </c>
      <c r="J118" s="42" t="str">
        <f>VLOOKUP(B118,товар!$A$1:$C$433,3)</f>
        <v>Ахмад</v>
      </c>
      <c r="K118" s="44">
        <f>AVERAGEIF(продажи!$I$2:$I$1001,продажи!$I$2:$I$1001,продажи!$C$2:$C$1001)</f>
        <v>271.18181818181819</v>
      </c>
      <c r="L118" s="45">
        <f>продажи!$C118/продажи!$K118-1</f>
        <v>-0.56118002011397916</v>
      </c>
      <c r="M118" s="33">
        <f t="shared" si="2"/>
        <v>2433</v>
      </c>
      <c r="N118" s="24">
        <f>Таблица1[[#This Row],[цена за шт в рублях]]/Таблица1[[#This Row],[средняя стоимость в категории по поставщику.]]-1</f>
        <v>-0.95108919030004113</v>
      </c>
      <c r="O118" s="26">
        <f>VLOOKUP(Таблица1[[#This Row],[id клиента]],клиенты!$A$2:$E$435,5,0)</f>
        <v>44871</v>
      </c>
      <c r="P118">
        <f>Таблица1[[#This Row],[дата создания чека]]-Таблица1[[#This Row],[Дата регистрации клента]]</f>
        <v>370</v>
      </c>
      <c r="Q118" s="26">
        <f t="shared" ca="1" si="3"/>
        <v>46059</v>
      </c>
      <c r="R118" s="51">
        <f ca="1">(TODAY()-Таблица1[[#This Row],[Дата регистрации клента]])/30</f>
        <v>39.6</v>
      </c>
      <c r="S118" s="63" t="str">
        <f>VLOOKUP(Таблица1[[#This Row],[id клиента]],Таблица8[[id клиента]:[Страна]],7,0)</f>
        <v>Украина</v>
      </c>
      <c r="T118" s="26"/>
    </row>
    <row r="119" spans="1:20" ht="19.5" x14ac:dyDescent="0.4">
      <c r="A119" s="37">
        <v>118</v>
      </c>
      <c r="B119" s="31">
        <v>223</v>
      </c>
      <c r="C119" s="31">
        <v>174</v>
      </c>
      <c r="D119" s="31">
        <v>2</v>
      </c>
      <c r="E119" s="31">
        <v>348</v>
      </c>
      <c r="F119" s="38">
        <v>45338</v>
      </c>
      <c r="G119" s="31" t="s">
        <v>14</v>
      </c>
      <c r="H119" s="31">
        <v>269</v>
      </c>
      <c r="I119" s="31" t="str">
        <f>VLOOKUP(продажи!$B119,товар!$A$1:$C$433,2)</f>
        <v>Чай</v>
      </c>
      <c r="J119" s="31" t="str">
        <f>VLOOKUP(B119,товар!$A$1:$C$433,3)</f>
        <v>Greenfield</v>
      </c>
      <c r="K119" s="39">
        <f>AVERAGEIF(продажи!$I$2:$I$1001,продажи!$I$2:$I$1001,продажи!$C$2:$C$1001)</f>
        <v>271.18181818181819</v>
      </c>
      <c r="L119" s="40">
        <f>продажи!$C119/продажи!$K119-1</f>
        <v>-0.35836406302380153</v>
      </c>
      <c r="M119" s="33">
        <f t="shared" si="2"/>
        <v>6412</v>
      </c>
      <c r="N119" s="24">
        <f>Таблица1[[#This Row],[цена за шт в рублях]]/Таблица1[[#This Row],[средняя стоимость в категории по поставщику.]]-1</f>
        <v>-0.97286338116032445</v>
      </c>
      <c r="O119" s="26">
        <f>VLOOKUP(Таблица1[[#This Row],[id клиента]],клиенты!$A$2:$E$435,5,0)</f>
        <v>44720</v>
      </c>
      <c r="P119">
        <f>Таблица1[[#This Row],[дата создания чека]]-Таблица1[[#This Row],[Дата регистрации клента]]</f>
        <v>618</v>
      </c>
      <c r="Q119" s="26">
        <f t="shared" ca="1" si="3"/>
        <v>46059</v>
      </c>
      <c r="R119" s="51">
        <f ca="1">(TODAY()-Таблица1[[#This Row],[Дата регистрации клента]])/30</f>
        <v>44.633333333333333</v>
      </c>
      <c r="S119" s="63" t="str">
        <f>VLOOKUP(Таблица1[[#This Row],[id клиента]],Таблица8[[id клиента]:[Страна]],7,0)</f>
        <v>Россия</v>
      </c>
      <c r="T119" s="26"/>
    </row>
    <row r="120" spans="1:20" ht="19.5" x14ac:dyDescent="0.4">
      <c r="A120" s="41">
        <v>569</v>
      </c>
      <c r="B120" s="42">
        <v>474</v>
      </c>
      <c r="C120" s="42">
        <v>261</v>
      </c>
      <c r="D120" s="42">
        <v>2</v>
      </c>
      <c r="E120" s="42">
        <v>522</v>
      </c>
      <c r="F120" s="58">
        <v>45382</v>
      </c>
      <c r="G120" s="42" t="s">
        <v>27</v>
      </c>
      <c r="H120" s="56">
        <v>88</v>
      </c>
      <c r="I120" s="42" t="str">
        <f>VLOOKUP(продажи!$B570,товар!$A$1:$C$433,2)</f>
        <v>Молоко</v>
      </c>
      <c r="J120" s="42" t="str">
        <f>VLOOKUP(B120,товар!$A$1:$C$433,3)</f>
        <v>Простоквашино</v>
      </c>
      <c r="K120" s="44">
        <f>AVERAGEIF(продажи!$I$2:$I$1001,продажи!$I$2:$I$1001,продажи!$C$2:$C$1001)</f>
        <v>294.95238095238096</v>
      </c>
      <c r="L120" s="45">
        <f>продажи!$C570/продажи!$K570-1</f>
        <v>0.19002260251856629</v>
      </c>
      <c r="M120" s="53">
        <f t="shared" si="2"/>
        <v>3507</v>
      </c>
      <c r="N120" s="24">
        <f>Таблица1[[#This Row],[цена за шт в рублях]]/Таблица1[[#This Row],[средняя стоимость в категории по поставщику.]]-1</f>
        <v>-0.92557741659538062</v>
      </c>
      <c r="O120" s="26">
        <f>VLOOKUP(Таблица1[[#This Row],[id клиента]],клиенты!$A$2:$E$435,5,0)</f>
        <v>44630</v>
      </c>
      <c r="P120">
        <f>Таблица1[[#This Row],[дата создания чека]]-Таблица1[[#This Row],[Дата регистрации клента]]</f>
        <v>752</v>
      </c>
      <c r="Q120" s="26">
        <f t="shared" ca="1" si="3"/>
        <v>46059</v>
      </c>
      <c r="R120" s="51">
        <f ca="1">(TODAY()-Таблица1[[#This Row],[Дата регистрации клента]])/30</f>
        <v>47.633333333333333</v>
      </c>
      <c r="S120" s="63" t="str">
        <f>VLOOKUP(Таблица1[[#This Row],[id клиента]],Таблица8[[id клиента]:[Страна]],7,0)</f>
        <v>Украина</v>
      </c>
      <c r="T120" s="26"/>
    </row>
    <row r="121" spans="1:20" ht="19.5" x14ac:dyDescent="0.4">
      <c r="A121" s="37">
        <v>120</v>
      </c>
      <c r="B121" s="31">
        <v>223</v>
      </c>
      <c r="C121" s="31">
        <v>411</v>
      </c>
      <c r="D121" s="31">
        <v>5</v>
      </c>
      <c r="E121" s="31">
        <v>2055</v>
      </c>
      <c r="F121" s="38">
        <v>45244</v>
      </c>
      <c r="G121" s="31" t="s">
        <v>23</v>
      </c>
      <c r="H121" s="31">
        <v>281</v>
      </c>
      <c r="I121" s="31" t="str">
        <f>VLOOKUP(продажи!$B121,товар!$A$1:$C$433,2)</f>
        <v>Чай</v>
      </c>
      <c r="J121" s="31" t="str">
        <f>VLOOKUP(B121,товар!$A$1:$C$433,3)</f>
        <v>Greenfield</v>
      </c>
      <c r="K121" s="39">
        <f>AVERAGEIF(продажи!$I$2:$I$1001,продажи!$I$2:$I$1001,продажи!$C$2:$C$1001)</f>
        <v>271.18181818181819</v>
      </c>
      <c r="L121" s="40">
        <f>продажи!$C121/продажи!$K121-1</f>
        <v>0.51558833389205505</v>
      </c>
      <c r="M121" s="33">
        <f t="shared" si="2"/>
        <v>6412</v>
      </c>
      <c r="N121" s="24">
        <f>Таблица1[[#This Row],[цена за шт в рублях]]/Таблица1[[#This Row],[средняя стоимость в категории по поставщику.]]-1</f>
        <v>-0.93590143480973176</v>
      </c>
      <c r="O121" s="26">
        <f>VLOOKUP(Таблица1[[#This Row],[id клиента]],клиенты!$A$2:$E$435,5,0)</f>
        <v>44711</v>
      </c>
      <c r="P121">
        <f>Таблица1[[#This Row],[дата создания чека]]-Таблица1[[#This Row],[Дата регистрации клента]]</f>
        <v>533</v>
      </c>
      <c r="Q121" s="26">
        <f t="shared" ca="1" si="3"/>
        <v>46059</v>
      </c>
      <c r="R121" s="51">
        <f ca="1">(TODAY()-Таблица1[[#This Row],[Дата регистрации клента]])/30</f>
        <v>44.93333333333333</v>
      </c>
      <c r="S121" s="63" t="str">
        <f>VLOOKUP(Таблица1[[#This Row],[id клиента]],Таблица8[[id клиента]:[Страна]],7,0)</f>
        <v>Узбекистан</v>
      </c>
      <c r="T121" s="26"/>
    </row>
    <row r="122" spans="1:20" ht="19.5" x14ac:dyDescent="0.4">
      <c r="A122" s="41">
        <v>121</v>
      </c>
      <c r="B122" s="42">
        <v>244</v>
      </c>
      <c r="C122" s="42">
        <v>245</v>
      </c>
      <c r="D122" s="42">
        <v>4</v>
      </c>
      <c r="E122" s="42">
        <v>980</v>
      </c>
      <c r="F122" s="43">
        <v>44960</v>
      </c>
      <c r="G122" s="42" t="s">
        <v>25</v>
      </c>
      <c r="H122" s="42">
        <v>149</v>
      </c>
      <c r="I122" s="42" t="str">
        <f>VLOOKUP(продажи!$B122,товар!$A$1:$C$433,2)</f>
        <v>Мясо</v>
      </c>
      <c r="J122" s="42" t="str">
        <f>VLOOKUP(B122,товар!$A$1:$C$433,3)</f>
        <v>Сава</v>
      </c>
      <c r="K122" s="44">
        <f>AVERAGEIF(продажи!$I$2:$I$1001,продажи!$I$2:$I$1001,продажи!$C$2:$C$1001)</f>
        <v>271.74545454545455</v>
      </c>
      <c r="L122" s="45">
        <f>продажи!$C122/продажи!$K122-1</f>
        <v>-9.8420982202595986E-2</v>
      </c>
      <c r="M122" s="33">
        <f t="shared" si="2"/>
        <v>3405</v>
      </c>
      <c r="N122" s="24">
        <f>Таблица1[[#This Row],[цена за шт в рублях]]/Таблица1[[#This Row],[средняя стоимость в категории по поставщику.]]-1</f>
        <v>-0.92804698972099853</v>
      </c>
      <c r="O122" s="26">
        <f>VLOOKUP(Таблица1[[#This Row],[id клиента]],клиенты!$A$2:$E$435,5,0)</f>
        <v>44882</v>
      </c>
      <c r="P122">
        <f>Таблица1[[#This Row],[дата создания чека]]-Таблица1[[#This Row],[Дата регистрации клента]]</f>
        <v>78</v>
      </c>
      <c r="Q122" s="26">
        <f t="shared" ca="1" si="3"/>
        <v>46059</v>
      </c>
      <c r="R122" s="51">
        <f ca="1">(TODAY()-Таблица1[[#This Row],[Дата регистрации клента]])/30</f>
        <v>39.233333333333334</v>
      </c>
      <c r="S122" s="63" t="str">
        <f>VLOOKUP(Таблица1[[#This Row],[id клиента]],Таблица8[[id клиента]:[Страна]],7,0)</f>
        <v>Таджикистан</v>
      </c>
      <c r="T122" s="26"/>
    </row>
    <row r="123" spans="1:20" ht="19.5" x14ac:dyDescent="0.4">
      <c r="A123" s="37">
        <v>122</v>
      </c>
      <c r="B123" s="31">
        <v>393</v>
      </c>
      <c r="C123" s="31">
        <v>113</v>
      </c>
      <c r="D123" s="31">
        <v>5</v>
      </c>
      <c r="E123" s="31">
        <v>565</v>
      </c>
      <c r="F123" s="38">
        <v>45433</v>
      </c>
      <c r="G123" s="31" t="s">
        <v>19</v>
      </c>
      <c r="H123" s="31">
        <v>71</v>
      </c>
      <c r="I123" s="31" t="str">
        <f>VLOOKUP(продажи!$B123,товар!$A$1:$C$433,2)</f>
        <v>Рыба</v>
      </c>
      <c r="J123" s="31" t="str">
        <f>VLOOKUP(B123,товар!$A$1:$C$433,3)</f>
        <v>Русское море</v>
      </c>
      <c r="K123" s="39">
        <f>AVERAGEIF(продажи!$I$2:$I$1001,продажи!$I$2:$I$1001,продажи!$C$2:$C$1001)</f>
        <v>258.5128205128205</v>
      </c>
      <c r="L123" s="40">
        <f>продажи!$C123/продажи!$K123-1</f>
        <v>-0.56288434834358259</v>
      </c>
      <c r="M123" s="33">
        <f t="shared" si="2"/>
        <v>878</v>
      </c>
      <c r="N123" s="24">
        <f>Таблица1[[#This Row],[цена за шт в рублях]]/Таблица1[[#This Row],[средняя стоимость в категории по поставщику.]]-1</f>
        <v>-0.87129840546697035</v>
      </c>
      <c r="O123" s="26">
        <f>VLOOKUP(Таблица1[[#This Row],[id клиента]],клиенты!$A$2:$E$435,5,0)</f>
        <v>44762</v>
      </c>
      <c r="P123">
        <f>Таблица1[[#This Row],[дата создания чека]]-Таблица1[[#This Row],[Дата регистрации клента]]</f>
        <v>671</v>
      </c>
      <c r="Q123" s="26">
        <f t="shared" ca="1" si="3"/>
        <v>46059</v>
      </c>
      <c r="R123" s="51">
        <f ca="1">(TODAY()-Таблица1[[#This Row],[Дата регистрации клента]])/30</f>
        <v>43.233333333333334</v>
      </c>
      <c r="S123" s="63" t="str">
        <f>VLOOKUP(Таблица1[[#This Row],[id клиента]],Таблица8[[id клиента]:[Страна]],7,0)</f>
        <v>Украина</v>
      </c>
      <c r="T123" s="26"/>
    </row>
    <row r="124" spans="1:20" ht="19.5" x14ac:dyDescent="0.4">
      <c r="A124" s="41">
        <v>123</v>
      </c>
      <c r="B124" s="42">
        <v>166</v>
      </c>
      <c r="C124" s="42">
        <v>73</v>
      </c>
      <c r="D124" s="42">
        <v>4</v>
      </c>
      <c r="E124" s="42">
        <v>292</v>
      </c>
      <c r="F124" s="43">
        <v>45316</v>
      </c>
      <c r="G124" s="42" t="s">
        <v>24</v>
      </c>
      <c r="H124" s="42">
        <v>126</v>
      </c>
      <c r="I124" s="42" t="str">
        <f>VLOOKUP(продажи!$B124,товар!$A$1:$C$433,2)</f>
        <v>Сок</v>
      </c>
      <c r="J124" s="42" t="str">
        <f>VLOOKUP(B124,товар!$A$1:$C$433,3)</f>
        <v>Добрый</v>
      </c>
      <c r="K124" s="44">
        <f>AVERAGEIF(продажи!$I$2:$I$1001,продажи!$I$2:$I$1001,продажи!$C$2:$C$1001)</f>
        <v>268.60344827586209</v>
      </c>
      <c r="L124" s="45">
        <f>продажи!$C124/продажи!$K124-1</f>
        <v>-0.72822389113550301</v>
      </c>
      <c r="M124" s="33">
        <f t="shared" si="2"/>
        <v>2671</v>
      </c>
      <c r="N124" s="24">
        <f>Таблица1[[#This Row],[цена за шт в рублях]]/Таблица1[[#This Row],[средняя стоимость в категории по поставщику.]]-1</f>
        <v>-0.97266941220516656</v>
      </c>
      <c r="O124" s="26">
        <f>VLOOKUP(Таблица1[[#This Row],[id клиента]],клиенты!$A$2:$E$435,5,0)</f>
        <v>44822</v>
      </c>
      <c r="P124">
        <f>Таблица1[[#This Row],[дата создания чека]]-Таблица1[[#This Row],[Дата регистрации клента]]</f>
        <v>494</v>
      </c>
      <c r="Q124" s="26">
        <f t="shared" ca="1" si="3"/>
        <v>46059</v>
      </c>
      <c r="R124" s="51">
        <f ca="1">(TODAY()-Таблица1[[#This Row],[Дата регистрации клента]])/30</f>
        <v>41.233333333333334</v>
      </c>
      <c r="S124" s="63" t="str">
        <f>VLOOKUP(Таблица1[[#This Row],[id клиента]],Таблица8[[id клиента]:[Страна]],7,0)</f>
        <v>Узбекистан</v>
      </c>
      <c r="T124" s="26"/>
    </row>
    <row r="125" spans="1:20" ht="19.5" x14ac:dyDescent="0.4">
      <c r="A125" s="37">
        <v>124</v>
      </c>
      <c r="B125" s="31">
        <v>249</v>
      </c>
      <c r="C125" s="31">
        <v>368</v>
      </c>
      <c r="D125" s="31">
        <v>2</v>
      </c>
      <c r="E125" s="31">
        <v>736</v>
      </c>
      <c r="F125" s="38">
        <v>45313</v>
      </c>
      <c r="G125" s="31" t="s">
        <v>22</v>
      </c>
      <c r="H125" s="31">
        <v>380</v>
      </c>
      <c r="I125" s="31" t="str">
        <f>VLOOKUP(продажи!$B125,товар!$A$1:$C$433,2)</f>
        <v>Чай</v>
      </c>
      <c r="J125" s="31" t="str">
        <f>VLOOKUP(B125,товар!$A$1:$C$433,3)</f>
        <v>Lipton</v>
      </c>
      <c r="K125" s="39">
        <f>AVERAGEIF(продажи!$I$2:$I$1001,продажи!$I$2:$I$1001,продажи!$C$2:$C$1001)</f>
        <v>271.18181818181819</v>
      </c>
      <c r="L125" s="40">
        <f>продажи!$C125/продажи!$K125-1</f>
        <v>0.35702313107609784</v>
      </c>
      <c r="M125" s="33">
        <f t="shared" si="2"/>
        <v>4943</v>
      </c>
      <c r="N125" s="24">
        <f>Таблица1[[#This Row],[цена за шт в рублях]]/Таблица1[[#This Row],[средняя стоимость в категории по поставщику.]]-1</f>
        <v>-0.92555128464495251</v>
      </c>
      <c r="O125" s="26">
        <f>VLOOKUP(Таблица1[[#This Row],[id клиента]],клиенты!$A$2:$E$435,5,0)</f>
        <v>44563</v>
      </c>
      <c r="P125">
        <f>Таблица1[[#This Row],[дата создания чека]]-Таблица1[[#This Row],[Дата регистрации клента]]</f>
        <v>750</v>
      </c>
      <c r="Q125" s="26">
        <f t="shared" ca="1" si="3"/>
        <v>46059</v>
      </c>
      <c r="R125" s="51">
        <f ca="1">(TODAY()-Таблица1[[#This Row],[Дата регистрации клента]])/30</f>
        <v>49.866666666666667</v>
      </c>
      <c r="S125" s="63" t="str">
        <f>VLOOKUP(Таблица1[[#This Row],[id клиента]],Таблица8[[id клиента]:[Страна]],7,0)</f>
        <v>Россия</v>
      </c>
      <c r="T125" s="26"/>
    </row>
    <row r="126" spans="1:20" ht="19.5" x14ac:dyDescent="0.4">
      <c r="A126" s="41">
        <v>125</v>
      </c>
      <c r="B126" s="42">
        <v>83</v>
      </c>
      <c r="C126" s="42">
        <v>351</v>
      </c>
      <c r="D126" s="42">
        <v>1</v>
      </c>
      <c r="E126" s="42">
        <v>351</v>
      </c>
      <c r="F126" s="43">
        <v>45361</v>
      </c>
      <c r="G126" s="42" t="s">
        <v>15</v>
      </c>
      <c r="H126" s="42">
        <v>11</v>
      </c>
      <c r="I126" s="42" t="str">
        <f>VLOOKUP(продажи!$B126,товар!$A$1:$C$433,2)</f>
        <v>Сок</v>
      </c>
      <c r="J126" s="42" t="str">
        <f>VLOOKUP(B126,товар!$A$1:$C$433,3)</f>
        <v>Сады Придонья</v>
      </c>
      <c r="K126" s="44">
        <f>AVERAGEIF(продажи!$I$2:$I$1001,продажи!$I$2:$I$1001,продажи!$C$2:$C$1001)</f>
        <v>268.60344827586209</v>
      </c>
      <c r="L126" s="45">
        <f>продажи!$C126/продажи!$K126-1</f>
        <v>0.30675909878682828</v>
      </c>
      <c r="M126" s="33">
        <f t="shared" si="2"/>
        <v>2796</v>
      </c>
      <c r="N126" s="24">
        <f>Таблица1[[#This Row],[цена за шт в рублях]]/Таблица1[[#This Row],[средняя стоимость в категории по поставщику.]]-1</f>
        <v>-0.87446351931330468</v>
      </c>
      <c r="O126" s="26">
        <f>VLOOKUP(Таблица1[[#This Row],[id клиента]],клиенты!$A$2:$E$435,5,0)</f>
        <v>44690</v>
      </c>
      <c r="P126">
        <f>Таблица1[[#This Row],[дата создания чека]]-Таблица1[[#This Row],[Дата регистрации клента]]</f>
        <v>671</v>
      </c>
      <c r="Q126" s="26">
        <f t="shared" ca="1" si="3"/>
        <v>46059</v>
      </c>
      <c r="R126" s="51">
        <f ca="1">(TODAY()-Таблица1[[#This Row],[Дата регистрации клента]])/30</f>
        <v>45.633333333333333</v>
      </c>
      <c r="S126" s="63" t="str">
        <f>VLOOKUP(Таблица1[[#This Row],[id клиента]],Таблица8[[id клиента]:[Страна]],7,0)</f>
        <v>Таджикистан</v>
      </c>
      <c r="T126" s="26"/>
    </row>
    <row r="127" spans="1:20" ht="19.5" x14ac:dyDescent="0.4">
      <c r="A127" s="37">
        <v>126</v>
      </c>
      <c r="B127" s="31">
        <v>242</v>
      </c>
      <c r="C127" s="31">
        <v>221</v>
      </c>
      <c r="D127" s="31">
        <v>5</v>
      </c>
      <c r="E127" s="31">
        <v>1105</v>
      </c>
      <c r="F127" s="38">
        <v>45025</v>
      </c>
      <c r="G127" s="31" t="s">
        <v>20</v>
      </c>
      <c r="H127" s="31">
        <v>114</v>
      </c>
      <c r="I127" s="31" t="str">
        <f>VLOOKUP(продажи!$B127,товар!$A$1:$C$433,2)</f>
        <v>Овощи</v>
      </c>
      <c r="J127" s="31" t="str">
        <f>VLOOKUP(B127,товар!$A$1:$C$433,3)</f>
        <v>Овощной ряд</v>
      </c>
      <c r="K127" s="39">
        <f>AVERAGEIF(продажи!$I$2:$I$1001,продажи!$I$2:$I$1001,продажи!$C$2:$C$1001)</f>
        <v>250.48780487804879</v>
      </c>
      <c r="L127" s="40">
        <f>продажи!$C127/продажи!$K127-1</f>
        <v>-0.11772151898734184</v>
      </c>
      <c r="M127" s="33">
        <f t="shared" si="2"/>
        <v>5165</v>
      </c>
      <c r="N127" s="24">
        <f>Таблица1[[#This Row],[цена за шт в рублях]]/Таблица1[[#This Row],[средняя стоимость в категории по поставщику.]]-1</f>
        <v>-0.95721200387221683</v>
      </c>
      <c r="O127" s="26">
        <f>VLOOKUP(Таблица1[[#This Row],[id клиента]],клиенты!$A$2:$E$435,5,0)</f>
        <v>44889</v>
      </c>
      <c r="P127">
        <f>Таблица1[[#This Row],[дата создания чека]]-Таблица1[[#This Row],[Дата регистрации клента]]</f>
        <v>136</v>
      </c>
      <c r="Q127" s="26">
        <f t="shared" ca="1" si="3"/>
        <v>46059</v>
      </c>
      <c r="R127" s="51">
        <f ca="1">(TODAY()-Таблица1[[#This Row],[Дата регистрации клента]])/30</f>
        <v>39</v>
      </c>
      <c r="S127" s="63" t="str">
        <f>VLOOKUP(Таблица1[[#This Row],[id клиента]],Таблица8[[id клиента]:[Страна]],7,0)</f>
        <v>Россия</v>
      </c>
      <c r="T127" s="26"/>
    </row>
    <row r="128" spans="1:20" ht="19.5" x14ac:dyDescent="0.4">
      <c r="A128" s="41">
        <v>127</v>
      </c>
      <c r="B128" s="42">
        <v>281</v>
      </c>
      <c r="C128" s="42">
        <v>442</v>
      </c>
      <c r="D128" s="42">
        <v>5</v>
      </c>
      <c r="E128" s="42">
        <v>2210</v>
      </c>
      <c r="F128" s="43">
        <v>45379</v>
      </c>
      <c r="G128" s="42" t="s">
        <v>10</v>
      </c>
      <c r="H128" s="42">
        <v>381</v>
      </c>
      <c r="I128" s="42" t="str">
        <f>VLOOKUP(продажи!$B128,товар!$A$1:$C$433,2)</f>
        <v>Чай</v>
      </c>
      <c r="J128" s="42" t="str">
        <f>VLOOKUP(B128,товар!$A$1:$C$433,3)</f>
        <v>Lipton</v>
      </c>
      <c r="K128" s="44">
        <f>AVERAGEIF(продажи!$I$2:$I$1001,продажи!$I$2:$I$1001,продажи!$C$2:$C$1001)</f>
        <v>271.18181818181819</v>
      </c>
      <c r="L128" s="45">
        <f>продажи!$C128/продажи!$K128-1</f>
        <v>0.6299027824337915</v>
      </c>
      <c r="M128" s="33">
        <f t="shared" si="2"/>
        <v>4943</v>
      </c>
      <c r="N128" s="24">
        <f>Таблица1[[#This Row],[цена за шт в рублях]]/Таблица1[[#This Row],[средняя стоимость в категории по поставщику.]]-1</f>
        <v>-0.91058061905725274</v>
      </c>
      <c r="O128" s="26">
        <f>VLOOKUP(Таблица1[[#This Row],[id клиента]],клиенты!$A$2:$E$435,5,0)</f>
        <v>44714</v>
      </c>
      <c r="P128">
        <f>Таблица1[[#This Row],[дата создания чека]]-Таблица1[[#This Row],[Дата регистрации клента]]</f>
        <v>665</v>
      </c>
      <c r="Q128" s="26">
        <f t="shared" ca="1" si="3"/>
        <v>46059</v>
      </c>
      <c r="R128" s="51">
        <f ca="1">(TODAY()-Таблица1[[#This Row],[Дата регистрации клента]])/30</f>
        <v>44.833333333333336</v>
      </c>
      <c r="S128" s="63" t="str">
        <f>VLOOKUP(Таблица1[[#This Row],[id клиента]],Таблица8[[id клиента]:[Страна]],7,0)</f>
        <v>Узбекистан</v>
      </c>
      <c r="T128" s="26"/>
    </row>
    <row r="129" spans="1:20" ht="19.5" x14ac:dyDescent="0.4">
      <c r="A129" s="37">
        <v>128</v>
      </c>
      <c r="B129" s="31">
        <v>236</v>
      </c>
      <c r="C129" s="31">
        <v>465</v>
      </c>
      <c r="D129" s="31">
        <v>1</v>
      </c>
      <c r="E129" s="31">
        <v>465</v>
      </c>
      <c r="F129" s="38">
        <v>45176</v>
      </c>
      <c r="G129" s="31" t="s">
        <v>26</v>
      </c>
      <c r="H129" s="31">
        <v>342</v>
      </c>
      <c r="I129" s="31" t="str">
        <f>VLOOKUP(продажи!$B129,товар!$A$1:$C$433,2)</f>
        <v>Печенье</v>
      </c>
      <c r="J129" s="31" t="str">
        <f>VLOOKUP(B129,товар!$A$1:$C$433,3)</f>
        <v>Посиделкино</v>
      </c>
      <c r="K129" s="39">
        <f>AVERAGEIF(продажи!$I$2:$I$1001,продажи!$I$2:$I$1001,продажи!$C$2:$C$1001)</f>
        <v>283.468085106383</v>
      </c>
      <c r="L129" s="40">
        <f>продажи!$C129/продажи!$K129-1</f>
        <v>0.64039630713803186</v>
      </c>
      <c r="M129" s="33">
        <f t="shared" si="2"/>
        <v>3538</v>
      </c>
      <c r="N129" s="24">
        <f>Таблица1[[#This Row],[цена за шт в рублях]]/Таблица1[[#This Row],[средняя стоимость в категории по поставщику.]]-1</f>
        <v>-0.86856981345392881</v>
      </c>
      <c r="O129" s="26">
        <f>VLOOKUP(Таблица1[[#This Row],[id клиента]],клиенты!$A$2:$E$435,5,0)</f>
        <v>44570</v>
      </c>
      <c r="P129">
        <f>Таблица1[[#This Row],[дата создания чека]]-Таблица1[[#This Row],[Дата регистрации клента]]</f>
        <v>606</v>
      </c>
      <c r="Q129" s="26">
        <f t="shared" ca="1" si="3"/>
        <v>46059</v>
      </c>
      <c r="R129" s="51">
        <f ca="1">(TODAY()-Таблица1[[#This Row],[Дата регистрации клента]])/30</f>
        <v>49.633333333333333</v>
      </c>
      <c r="S129" s="63" t="str">
        <f>VLOOKUP(Таблица1[[#This Row],[id клиента]],Таблица8[[id клиента]:[Страна]],7,0)</f>
        <v>Таджикистан</v>
      </c>
      <c r="T129" s="26"/>
    </row>
    <row r="130" spans="1:20" ht="19.5" x14ac:dyDescent="0.4">
      <c r="A130" s="41">
        <v>129</v>
      </c>
      <c r="B130" s="42">
        <v>379</v>
      </c>
      <c r="C130" s="42">
        <v>380</v>
      </c>
      <c r="D130" s="42">
        <v>1</v>
      </c>
      <c r="E130" s="42">
        <v>380</v>
      </c>
      <c r="F130" s="43">
        <v>45260</v>
      </c>
      <c r="G130" s="42" t="s">
        <v>26</v>
      </c>
      <c r="H130" s="42">
        <v>276</v>
      </c>
      <c r="I130" s="42" t="str">
        <f>VLOOKUP(продажи!$B130,товар!$A$1:$C$433,2)</f>
        <v>Йогурт</v>
      </c>
      <c r="J130" s="42" t="str">
        <f>VLOOKUP(B130,товар!$A$1:$C$433,3)</f>
        <v>Активиа</v>
      </c>
      <c r="K130" s="44">
        <f>AVERAGEIF(продажи!$I$2:$I$1001,продажи!$I$2:$I$1001,продажи!$C$2:$C$1001)</f>
        <v>263.25423728813558</v>
      </c>
      <c r="L130" s="45">
        <f>продажи!$C130/продажи!$K130-1</f>
        <v>0.44347154262168442</v>
      </c>
      <c r="M130" s="33">
        <f t="shared" ref="M130:M193" si="4">SUMIFS($C$2:$C$1001,$I$2:$I$1001,I130,$J$2:$J$1001,J130)</f>
        <v>1762</v>
      </c>
      <c r="N130" s="24">
        <f>Таблица1[[#This Row],[цена за шт в рублях]]/Таблица1[[#This Row],[средняя стоимость в категории по поставщику.]]-1</f>
        <v>-0.78433598183881958</v>
      </c>
      <c r="O130" s="26">
        <f>VLOOKUP(Таблица1[[#This Row],[id клиента]],клиенты!$A$2:$E$435,5,0)</f>
        <v>44632</v>
      </c>
      <c r="P130">
        <f>Таблица1[[#This Row],[дата создания чека]]-Таблица1[[#This Row],[Дата регистрации клента]]</f>
        <v>628</v>
      </c>
      <c r="Q130" s="26">
        <f t="shared" ref="Q130:Q193" ca="1" si="5">TODAY()</f>
        <v>46059</v>
      </c>
      <c r="R130" s="51">
        <f ca="1">(TODAY()-Таблица1[[#This Row],[Дата регистрации клента]])/30</f>
        <v>47.56666666666667</v>
      </c>
      <c r="S130" s="63" t="str">
        <f>VLOOKUP(Таблица1[[#This Row],[id клиента]],Таблица8[[id клиента]:[Страна]],7,0)</f>
        <v>Таджикистан</v>
      </c>
      <c r="T130" s="26"/>
    </row>
    <row r="131" spans="1:20" ht="19.5" x14ac:dyDescent="0.4">
      <c r="A131" s="37">
        <v>130</v>
      </c>
      <c r="B131" s="31">
        <v>37</v>
      </c>
      <c r="C131" s="31">
        <v>313</v>
      </c>
      <c r="D131" s="31">
        <v>1</v>
      </c>
      <c r="E131" s="31">
        <v>313</v>
      </c>
      <c r="F131" s="38">
        <v>45009</v>
      </c>
      <c r="G131" s="31" t="s">
        <v>16</v>
      </c>
      <c r="H131" s="31">
        <v>293</v>
      </c>
      <c r="I131" s="31" t="str">
        <f>VLOOKUP(продажи!$B131,товар!$A$1:$C$433,2)</f>
        <v>Соль</v>
      </c>
      <c r="J131" s="31" t="str">
        <f>VLOOKUP(B131,товар!$A$1:$C$433,3)</f>
        <v>Илецкая</v>
      </c>
      <c r="K131" s="39">
        <f>AVERAGEIF(продажи!$I$2:$I$1001,продажи!$I$2:$I$1001,продажи!$C$2:$C$1001)</f>
        <v>264.8679245283019</v>
      </c>
      <c r="L131" s="40">
        <f>продажи!$C131/продажи!$K131-1</f>
        <v>0.18172104288360158</v>
      </c>
      <c r="M131" s="33">
        <f t="shared" si="4"/>
        <v>4287</v>
      </c>
      <c r="N131" s="24">
        <f>Таблица1[[#This Row],[цена за шт в рублях]]/Таблица1[[#This Row],[средняя стоимость в категории по поставщику.]]-1</f>
        <v>-0.92698857009563795</v>
      </c>
      <c r="O131" s="26">
        <f>VLOOKUP(Таблица1[[#This Row],[id клиента]],клиенты!$A$2:$E$435,5,0)</f>
        <v>44573</v>
      </c>
      <c r="P131">
        <f>Таблица1[[#This Row],[дата создания чека]]-Таблица1[[#This Row],[Дата регистрации клента]]</f>
        <v>436</v>
      </c>
      <c r="Q131" s="26">
        <f t="shared" ca="1" si="5"/>
        <v>46059</v>
      </c>
      <c r="R131" s="51">
        <f ca="1">(TODAY()-Таблица1[[#This Row],[Дата регистрации клента]])/30</f>
        <v>49.533333333333331</v>
      </c>
      <c r="S131" s="63" t="str">
        <f>VLOOKUP(Таблица1[[#This Row],[id клиента]],Таблица8[[id клиента]:[Страна]],7,0)</f>
        <v>Беларусь</v>
      </c>
      <c r="T131" s="26"/>
    </row>
    <row r="132" spans="1:20" ht="19.5" x14ac:dyDescent="0.4">
      <c r="A132" s="41">
        <v>131</v>
      </c>
      <c r="B132" s="42">
        <v>431</v>
      </c>
      <c r="C132" s="42">
        <v>141</v>
      </c>
      <c r="D132" s="42">
        <v>5</v>
      </c>
      <c r="E132" s="42">
        <v>705</v>
      </c>
      <c r="F132" s="43">
        <v>45029</v>
      </c>
      <c r="G132" s="42" t="s">
        <v>18</v>
      </c>
      <c r="H132" s="42">
        <v>386</v>
      </c>
      <c r="I132" s="42" t="str">
        <f>VLOOKUP(продажи!$B132,товар!$A$1:$C$433,2)</f>
        <v>Овощи</v>
      </c>
      <c r="J132" s="42" t="str">
        <f>VLOOKUP(B132,товар!$A$1:$C$433,3)</f>
        <v>Гавриш</v>
      </c>
      <c r="K132" s="44">
        <f>AVERAGEIF(продажи!$I$2:$I$1001,продажи!$I$2:$I$1001,продажи!$C$2:$C$1001)</f>
        <v>250.48780487804879</v>
      </c>
      <c r="L132" s="45">
        <f>продажи!$C132/продажи!$K132-1</f>
        <v>-0.43709834469328146</v>
      </c>
      <c r="M132" s="33">
        <f t="shared" si="4"/>
        <v>2229</v>
      </c>
      <c r="N132" s="24">
        <f>Таблица1[[#This Row],[цена за шт в рублях]]/Таблица1[[#This Row],[средняя стоимость в категории по поставщику.]]-1</f>
        <v>-0.93674293405114395</v>
      </c>
      <c r="O132" s="26">
        <f>VLOOKUP(Таблица1[[#This Row],[id клиента]],клиенты!$A$2:$E$435,5,0)</f>
        <v>44734</v>
      </c>
      <c r="P132">
        <f>Таблица1[[#This Row],[дата создания чека]]-Таблица1[[#This Row],[Дата регистрации клента]]</f>
        <v>295</v>
      </c>
      <c r="Q132" s="26">
        <f t="shared" ca="1" si="5"/>
        <v>46059</v>
      </c>
      <c r="R132" s="51">
        <f ca="1">(TODAY()-Таблица1[[#This Row],[Дата регистрации клента]])/30</f>
        <v>44.166666666666664</v>
      </c>
      <c r="S132" s="63" t="str">
        <f>VLOOKUP(Таблица1[[#This Row],[id клиента]],Таблица8[[id клиента]:[Страна]],7,0)</f>
        <v>Узбекистан</v>
      </c>
      <c r="T132" s="26"/>
    </row>
    <row r="133" spans="1:20" ht="19.5" x14ac:dyDescent="0.4">
      <c r="A133" s="37">
        <v>132</v>
      </c>
      <c r="B133" s="31">
        <v>237</v>
      </c>
      <c r="C133" s="31">
        <v>348</v>
      </c>
      <c r="D133" s="31">
        <v>2</v>
      </c>
      <c r="E133" s="31">
        <v>696</v>
      </c>
      <c r="F133" s="38">
        <v>45384</v>
      </c>
      <c r="G133" s="31" t="s">
        <v>9</v>
      </c>
      <c r="H133" s="31">
        <v>362</v>
      </c>
      <c r="I133" s="31" t="str">
        <f>VLOOKUP(продажи!$B133,товар!$A$1:$C$433,2)</f>
        <v>Конфеты</v>
      </c>
      <c r="J133" s="31" t="str">
        <f>VLOOKUP(B133,товар!$A$1:$C$433,3)</f>
        <v>Рот Фронт</v>
      </c>
      <c r="K133" s="39">
        <f>AVERAGEIF(продажи!$I$2:$I$1001,продажи!$I$2:$I$1001,продажи!$C$2:$C$1001)</f>
        <v>267.85483870967744</v>
      </c>
      <c r="L133" s="40">
        <f>продажи!$C133/продажи!$K133-1</f>
        <v>0.29921117601011615</v>
      </c>
      <c r="M133" s="33">
        <f t="shared" si="4"/>
        <v>6053</v>
      </c>
      <c r="N133" s="24">
        <f>Таблица1[[#This Row],[цена за шт в рублях]]/Таблица1[[#This Row],[средняя стоимость в категории по поставщику.]]-1</f>
        <v>-0.9425078473484223</v>
      </c>
      <c r="O133" s="26">
        <f>VLOOKUP(Таблица1[[#This Row],[id клиента]],клиенты!$A$2:$E$435,5,0)</f>
        <v>44916</v>
      </c>
      <c r="P133">
        <f>Таблица1[[#This Row],[дата создания чека]]-Таблица1[[#This Row],[Дата регистрации клента]]</f>
        <v>468</v>
      </c>
      <c r="Q133" s="26">
        <f t="shared" ca="1" si="5"/>
        <v>46059</v>
      </c>
      <c r="R133" s="51">
        <f ca="1">(TODAY()-Таблица1[[#This Row],[Дата регистрации клента]])/30</f>
        <v>38.1</v>
      </c>
      <c r="S133" s="63" t="str">
        <f>VLOOKUP(Таблица1[[#This Row],[id клиента]],Таблица8[[id клиента]:[Страна]],7,0)</f>
        <v>Россия</v>
      </c>
      <c r="T133" s="26"/>
    </row>
    <row r="134" spans="1:20" ht="19.5" x14ac:dyDescent="0.4">
      <c r="A134" s="41">
        <v>133</v>
      </c>
      <c r="B134" s="42">
        <v>452</v>
      </c>
      <c r="C134" s="42">
        <v>349</v>
      </c>
      <c r="D134" s="42">
        <v>1</v>
      </c>
      <c r="E134" s="42">
        <v>349</v>
      </c>
      <c r="F134" s="43">
        <v>45000</v>
      </c>
      <c r="G134" s="42" t="s">
        <v>11</v>
      </c>
      <c r="H134" s="42">
        <v>283</v>
      </c>
      <c r="I134" s="42" t="str">
        <f>VLOOKUP(продажи!$B134,товар!$A$1:$C$433,2)</f>
        <v>Фрукты</v>
      </c>
      <c r="J134" s="42" t="str">
        <f>VLOOKUP(B134,товар!$A$1:$C$433,3)</f>
        <v>Экзотик</v>
      </c>
      <c r="K134" s="44">
        <f>AVERAGEIF(продажи!$I$2:$I$1001,продажи!$I$2:$I$1001,продажи!$C$2:$C$1001)</f>
        <v>274.16279069767444</v>
      </c>
      <c r="L134" s="45">
        <f>продажи!$C134/продажи!$K134-1</f>
        <v>0.27296632453982528</v>
      </c>
      <c r="M134" s="33">
        <f t="shared" si="4"/>
        <v>4059</v>
      </c>
      <c r="N134" s="24">
        <f>Таблица1[[#This Row],[цена за шт в рублях]]/Таблица1[[#This Row],[средняя стоимость в категории по поставщику.]]-1</f>
        <v>-0.91401823109140179</v>
      </c>
      <c r="O134" s="26">
        <f>VLOOKUP(Таблица1[[#This Row],[id клиента]],клиенты!$A$2:$E$435,5,0)</f>
        <v>44889</v>
      </c>
      <c r="P134">
        <f>Таблица1[[#This Row],[дата создания чека]]-Таблица1[[#This Row],[Дата регистрации клента]]</f>
        <v>111</v>
      </c>
      <c r="Q134" s="26">
        <f t="shared" ca="1" si="5"/>
        <v>46059</v>
      </c>
      <c r="R134" s="51">
        <f ca="1">(TODAY()-Таблица1[[#This Row],[Дата регистрации клента]])/30</f>
        <v>39</v>
      </c>
      <c r="S134" s="63" t="str">
        <f>VLOOKUP(Таблица1[[#This Row],[id клиента]],Таблица8[[id клиента]:[Страна]],7,0)</f>
        <v>Таджикистан</v>
      </c>
      <c r="T134" s="26"/>
    </row>
    <row r="135" spans="1:20" ht="19.5" x14ac:dyDescent="0.4">
      <c r="A135" s="37">
        <v>134</v>
      </c>
      <c r="B135" s="31">
        <v>382</v>
      </c>
      <c r="C135" s="31">
        <v>379</v>
      </c>
      <c r="D135" s="31">
        <v>5</v>
      </c>
      <c r="E135" s="31">
        <v>1895</v>
      </c>
      <c r="F135" s="38">
        <v>45314</v>
      </c>
      <c r="G135" s="31" t="s">
        <v>16</v>
      </c>
      <c r="H135" s="31">
        <v>388</v>
      </c>
      <c r="I135" s="31" t="str">
        <f>VLOOKUP(продажи!$B135,товар!$A$1:$C$433,2)</f>
        <v>Овощи</v>
      </c>
      <c r="J135" s="31" t="str">
        <f>VLOOKUP(B135,товар!$A$1:$C$433,3)</f>
        <v>Овощной ряд</v>
      </c>
      <c r="K135" s="39">
        <f>AVERAGEIF(продажи!$I$2:$I$1001,продажи!$I$2:$I$1001,продажи!$C$2:$C$1001)</f>
        <v>250.48780487804879</v>
      </c>
      <c r="L135" s="40">
        <f>продажи!$C135/продажи!$K135-1</f>
        <v>0.51304771178188902</v>
      </c>
      <c r="M135" s="33">
        <f t="shared" si="4"/>
        <v>5165</v>
      </c>
      <c r="N135" s="24">
        <f>Таблица1[[#This Row],[цена за шт в рублях]]/Таблица1[[#This Row],[средняя стоимость в категории по поставщику.]]-1</f>
        <v>-0.92662149080348499</v>
      </c>
      <c r="O135" s="26">
        <f>VLOOKUP(Таблица1[[#This Row],[id клиента]],клиенты!$A$2:$E$435,5,0)</f>
        <v>44581</v>
      </c>
      <c r="P135">
        <f>Таблица1[[#This Row],[дата создания чека]]-Таблица1[[#This Row],[Дата регистрации клента]]</f>
        <v>733</v>
      </c>
      <c r="Q135" s="26">
        <f t="shared" ca="1" si="5"/>
        <v>46059</v>
      </c>
      <c r="R135" s="51">
        <f ca="1">(TODAY()-Таблица1[[#This Row],[Дата регистрации клента]])/30</f>
        <v>49.266666666666666</v>
      </c>
      <c r="S135" s="63" t="str">
        <f>VLOOKUP(Таблица1[[#This Row],[id клиента]],Таблица8[[id клиента]:[Страна]],7,0)</f>
        <v>Россия</v>
      </c>
      <c r="T135" s="26"/>
    </row>
    <row r="136" spans="1:20" ht="19.5" x14ac:dyDescent="0.4">
      <c r="A136" s="41">
        <v>135</v>
      </c>
      <c r="B136" s="42">
        <v>452</v>
      </c>
      <c r="C136" s="42">
        <v>448</v>
      </c>
      <c r="D136" s="42">
        <v>4</v>
      </c>
      <c r="E136" s="42">
        <v>1792</v>
      </c>
      <c r="F136" s="43">
        <v>45434</v>
      </c>
      <c r="G136" s="42" t="s">
        <v>26</v>
      </c>
      <c r="H136" s="42">
        <v>437</v>
      </c>
      <c r="I136" s="42" t="str">
        <f>VLOOKUP(продажи!$B136,товар!$A$1:$C$433,2)</f>
        <v>Фрукты</v>
      </c>
      <c r="J136" s="42" t="str">
        <f>VLOOKUP(B136,товар!$A$1:$C$433,3)</f>
        <v>Экзотик</v>
      </c>
      <c r="K136" s="44">
        <f>AVERAGEIF(продажи!$I$2:$I$1001,продажи!$I$2:$I$1001,продажи!$C$2:$C$1001)</f>
        <v>274.16279069767444</v>
      </c>
      <c r="L136" s="45">
        <f>продажи!$C136/продажи!$K136-1</f>
        <v>0.63406565442361518</v>
      </c>
      <c r="M136" s="33">
        <f t="shared" si="4"/>
        <v>4059</v>
      </c>
      <c r="N136" s="24">
        <f>Таблица1[[#This Row],[цена за шт в рублях]]/Таблица1[[#This Row],[средняя стоимость в категории по поставщику.]]-1</f>
        <v>-0.88962798718896274</v>
      </c>
      <c r="O136" s="26">
        <f>VLOOKUP(Таблица1[[#This Row],[id клиента]],клиенты!$A$2:$E$435,5,0)</f>
        <v>44576</v>
      </c>
      <c r="P136">
        <f>Таблица1[[#This Row],[дата создания чека]]-Таблица1[[#This Row],[Дата регистрации клента]]</f>
        <v>858</v>
      </c>
      <c r="Q136" s="26">
        <f t="shared" ca="1" si="5"/>
        <v>46059</v>
      </c>
      <c r="R136" s="51">
        <f ca="1">(TODAY()-Таблица1[[#This Row],[Дата регистрации клента]])/30</f>
        <v>49.43333333333333</v>
      </c>
      <c r="S136" s="63" t="str">
        <f>VLOOKUP(Таблица1[[#This Row],[id клиента]],Таблица8[[id клиента]:[Страна]],7,0)</f>
        <v>Узбекистан</v>
      </c>
      <c r="T136" s="26"/>
    </row>
    <row r="137" spans="1:20" ht="19.5" x14ac:dyDescent="0.4">
      <c r="A137" s="37">
        <v>136</v>
      </c>
      <c r="B137" s="31">
        <v>463</v>
      </c>
      <c r="C137" s="31">
        <v>173</v>
      </c>
      <c r="D137" s="31">
        <v>2</v>
      </c>
      <c r="E137" s="31">
        <v>346</v>
      </c>
      <c r="F137" s="38">
        <v>45038</v>
      </c>
      <c r="G137" s="31" t="s">
        <v>22</v>
      </c>
      <c r="H137" s="31">
        <v>450</v>
      </c>
      <c r="I137" s="31" t="str">
        <f>VLOOKUP(продажи!$B137,товар!$A$1:$C$433,2)</f>
        <v>Кофе</v>
      </c>
      <c r="J137" s="31" t="str">
        <f>VLOOKUP(B137,товар!$A$1:$C$433,3)</f>
        <v>Черная Карта</v>
      </c>
      <c r="K137" s="39">
        <f>AVERAGEIF(продажи!$I$2:$I$1001,продажи!$I$2:$I$1001,продажи!$C$2:$C$1001)</f>
        <v>249.02380952380952</v>
      </c>
      <c r="L137" s="40">
        <f>продажи!$C137/продажи!$K137-1</f>
        <v>-0.30528731236255857</v>
      </c>
      <c r="M137" s="33">
        <f t="shared" si="4"/>
        <v>2222</v>
      </c>
      <c r="N137" s="24">
        <f>Таблица1[[#This Row],[цена за шт в рублях]]/Таблица1[[#This Row],[средняя стоимость в категории по поставщику.]]-1</f>
        <v>-0.92214221422142217</v>
      </c>
      <c r="O137" s="26">
        <f>VLOOKUP(Таблица1[[#This Row],[id клиента]],клиенты!$A$2:$E$435,5,0)</f>
        <v>44619</v>
      </c>
      <c r="P137">
        <f>Таблица1[[#This Row],[дата создания чека]]-Таблица1[[#This Row],[Дата регистрации клента]]</f>
        <v>419</v>
      </c>
      <c r="Q137" s="26">
        <f t="shared" ca="1" si="5"/>
        <v>46059</v>
      </c>
      <c r="R137" s="51">
        <f ca="1">(TODAY()-Таблица1[[#This Row],[Дата регистрации клента]])/30</f>
        <v>48</v>
      </c>
      <c r="S137" s="63" t="str">
        <f>VLOOKUP(Таблица1[[#This Row],[id клиента]],Таблица8[[id клиента]:[Страна]],7,0)</f>
        <v>Россия</v>
      </c>
      <c r="T137" s="26"/>
    </row>
    <row r="138" spans="1:20" ht="19.5" x14ac:dyDescent="0.4">
      <c r="A138" s="41">
        <v>137</v>
      </c>
      <c r="B138" s="42">
        <v>494</v>
      </c>
      <c r="C138" s="42">
        <v>304</v>
      </c>
      <c r="D138" s="42">
        <v>3</v>
      </c>
      <c r="E138" s="42">
        <v>912</v>
      </c>
      <c r="F138" s="43">
        <v>45070</v>
      </c>
      <c r="G138" s="42" t="s">
        <v>14</v>
      </c>
      <c r="H138" s="42">
        <v>136</v>
      </c>
      <c r="I138" s="42" t="str">
        <f>VLOOKUP(продажи!$B138,товар!$A$1:$C$433,2)</f>
        <v>Сыр</v>
      </c>
      <c r="J138" s="42" t="str">
        <f>VLOOKUP(B138,товар!$A$1:$C$433,3)</f>
        <v>Сырная долина</v>
      </c>
      <c r="K138" s="44">
        <f>AVERAGEIF(продажи!$I$2:$I$1001,продажи!$I$2:$I$1001,продажи!$C$2:$C$1001)</f>
        <v>261.03225806451616</v>
      </c>
      <c r="L138" s="45">
        <f>продажи!$C138/продажи!$K138-1</f>
        <v>0.16460701927829935</v>
      </c>
      <c r="M138" s="33">
        <f t="shared" si="4"/>
        <v>8943</v>
      </c>
      <c r="N138" s="24">
        <f>Таблица1[[#This Row],[цена за шт в рублях]]/Таблица1[[#This Row],[средняя стоимость в категории по поставщику.]]-1</f>
        <v>-0.96600693279660066</v>
      </c>
      <c r="O138" s="26">
        <f>VLOOKUP(Таблица1[[#This Row],[id клиента]],клиенты!$A$2:$E$435,5,0)</f>
        <v>44860</v>
      </c>
      <c r="P138">
        <f>Таблица1[[#This Row],[дата создания чека]]-Таблица1[[#This Row],[Дата регистрации клента]]</f>
        <v>210</v>
      </c>
      <c r="Q138" s="26">
        <f t="shared" ca="1" si="5"/>
        <v>46059</v>
      </c>
      <c r="R138" s="51">
        <f ca="1">(TODAY()-Таблица1[[#This Row],[Дата регистрации клента]])/30</f>
        <v>39.966666666666669</v>
      </c>
      <c r="S138" s="63" t="str">
        <f>VLOOKUP(Таблица1[[#This Row],[id клиента]],Таблица8[[id клиента]:[Страна]],7,0)</f>
        <v>Украина</v>
      </c>
      <c r="T138" s="26"/>
    </row>
    <row r="139" spans="1:20" ht="19.5" x14ac:dyDescent="0.4">
      <c r="A139" s="37">
        <v>138</v>
      </c>
      <c r="B139" s="31">
        <v>394</v>
      </c>
      <c r="C139" s="31">
        <v>493</v>
      </c>
      <c r="D139" s="31">
        <v>3</v>
      </c>
      <c r="E139" s="31">
        <v>1479</v>
      </c>
      <c r="F139" s="38">
        <v>45032</v>
      </c>
      <c r="G139" s="31" t="s">
        <v>12</v>
      </c>
      <c r="H139" s="31">
        <v>61</v>
      </c>
      <c r="I139" s="31" t="str">
        <f>VLOOKUP(продажи!$B139,товар!$A$1:$C$433,2)</f>
        <v>Кофе</v>
      </c>
      <c r="J139" s="31" t="str">
        <f>VLOOKUP(B139,товар!$A$1:$C$433,3)</f>
        <v>Черная Карта</v>
      </c>
      <c r="K139" s="39">
        <f>AVERAGEIF(продажи!$I$2:$I$1001,продажи!$I$2:$I$1001,продажи!$C$2:$C$1001)</f>
        <v>249.02380952380952</v>
      </c>
      <c r="L139" s="40">
        <f>продажи!$C139/продажи!$K139-1</f>
        <v>0.97973037575294009</v>
      </c>
      <c r="M139" s="33">
        <f t="shared" si="4"/>
        <v>2222</v>
      </c>
      <c r="N139" s="24">
        <f>Таблица1[[#This Row],[цена за шт в рублях]]/Таблица1[[#This Row],[средняя стоимость в категории по поставщику.]]-1</f>
        <v>-0.77812781278127807</v>
      </c>
      <c r="O139" s="26">
        <f>VLOOKUP(Таблица1[[#This Row],[id клиента]],клиенты!$A$2:$E$435,5,0)</f>
        <v>44769</v>
      </c>
      <c r="P139">
        <f>Таблица1[[#This Row],[дата создания чека]]-Таблица1[[#This Row],[Дата регистрации клента]]</f>
        <v>263</v>
      </c>
      <c r="Q139" s="26">
        <f t="shared" ca="1" si="5"/>
        <v>46059</v>
      </c>
      <c r="R139" s="51">
        <f ca="1">(TODAY()-Таблица1[[#This Row],[Дата регистрации клента]])/30</f>
        <v>43</v>
      </c>
      <c r="S139" s="63" t="str">
        <f>VLOOKUP(Таблица1[[#This Row],[id клиента]],Таблица8[[id клиента]:[Страна]],7,0)</f>
        <v>Таджикистан</v>
      </c>
      <c r="T139" s="26"/>
    </row>
    <row r="140" spans="1:20" ht="19.5" x14ac:dyDescent="0.4">
      <c r="A140" s="41">
        <v>139</v>
      </c>
      <c r="B140" s="42">
        <v>380</v>
      </c>
      <c r="C140" s="42">
        <v>344</v>
      </c>
      <c r="D140" s="42">
        <v>5</v>
      </c>
      <c r="E140" s="42">
        <v>1720</v>
      </c>
      <c r="F140" s="43">
        <v>45189</v>
      </c>
      <c r="G140" s="42" t="s">
        <v>12</v>
      </c>
      <c r="H140" s="42">
        <v>364</v>
      </c>
      <c r="I140" s="42" t="str">
        <f>VLOOKUP(продажи!$B140,товар!$A$1:$C$433,2)</f>
        <v>Конфеты</v>
      </c>
      <c r="J140" s="42" t="str">
        <f>VLOOKUP(B140,товар!$A$1:$C$433,3)</f>
        <v>Бабаевский</v>
      </c>
      <c r="K140" s="44">
        <f>AVERAGEIF(продажи!$I$2:$I$1001,продажи!$I$2:$I$1001,продажи!$C$2:$C$1001)</f>
        <v>267.85483870967744</v>
      </c>
      <c r="L140" s="45">
        <f>продажи!$C140/продажи!$K140-1</f>
        <v>0.2842777142168964</v>
      </c>
      <c r="M140" s="33">
        <f t="shared" si="4"/>
        <v>6757</v>
      </c>
      <c r="N140" s="24">
        <f>Таблица1[[#This Row],[цена за шт в рублях]]/Таблица1[[#This Row],[средняя стоимость в категории по поставщику.]]-1</f>
        <v>-0.94908983276602044</v>
      </c>
      <c r="O140" s="26">
        <f>VLOOKUP(Таблица1[[#This Row],[id клиента]],клиенты!$A$2:$E$435,5,0)</f>
        <v>44883</v>
      </c>
      <c r="P140">
        <f>Таблица1[[#This Row],[дата создания чека]]-Таблица1[[#This Row],[Дата регистрации клента]]</f>
        <v>306</v>
      </c>
      <c r="Q140" s="26">
        <f t="shared" ca="1" si="5"/>
        <v>46059</v>
      </c>
      <c r="R140" s="51">
        <f ca="1">(TODAY()-Таблица1[[#This Row],[Дата регистрации клента]])/30</f>
        <v>39.200000000000003</v>
      </c>
      <c r="S140" s="63" t="str">
        <f>VLOOKUP(Таблица1[[#This Row],[id клиента]],Таблица8[[id клиента]:[Страна]],7,0)</f>
        <v>Россия</v>
      </c>
      <c r="T140" s="26"/>
    </row>
    <row r="141" spans="1:20" ht="19.5" x14ac:dyDescent="0.4">
      <c r="A141" s="37">
        <v>140</v>
      </c>
      <c r="B141" s="31">
        <v>449</v>
      </c>
      <c r="C141" s="31">
        <v>470</v>
      </c>
      <c r="D141" s="31">
        <v>4</v>
      </c>
      <c r="E141" s="31">
        <v>1880</v>
      </c>
      <c r="F141" s="38">
        <v>45110</v>
      </c>
      <c r="G141" s="31" t="s">
        <v>18</v>
      </c>
      <c r="H141" s="31">
        <v>496</v>
      </c>
      <c r="I141" s="31" t="str">
        <f>VLOOKUP(продажи!$B141,товар!$A$1:$C$433,2)</f>
        <v>Мясо</v>
      </c>
      <c r="J141" s="31" t="str">
        <f>VLOOKUP(B141,товар!$A$1:$C$433,3)</f>
        <v>Агрокомплекс</v>
      </c>
      <c r="K141" s="39">
        <f>AVERAGEIF(продажи!$I$2:$I$1001,продажи!$I$2:$I$1001,продажи!$C$2:$C$1001)</f>
        <v>271.74545454545455</v>
      </c>
      <c r="L141" s="40">
        <f>продажи!$C141/продажи!$K141-1</f>
        <v>0.72955974842767302</v>
      </c>
      <c r="M141" s="33">
        <f t="shared" si="4"/>
        <v>3112</v>
      </c>
      <c r="N141" s="24">
        <f>Таблица1[[#This Row],[цена за шт в рублях]]/Таблица1[[#This Row],[средняя стоимость в категории по поставщику.]]-1</f>
        <v>-0.84897172236503859</v>
      </c>
      <c r="O141" s="26">
        <f>VLOOKUP(Таблица1[[#This Row],[id клиента]],клиенты!$A$2:$E$435,5,0)</f>
        <v>44867</v>
      </c>
      <c r="P141">
        <f>Таблица1[[#This Row],[дата создания чека]]-Таблица1[[#This Row],[Дата регистрации клента]]</f>
        <v>243</v>
      </c>
      <c r="Q141" s="26">
        <f t="shared" ca="1" si="5"/>
        <v>46059</v>
      </c>
      <c r="R141" s="51">
        <f ca="1">(TODAY()-Таблица1[[#This Row],[Дата регистрации клента]])/30</f>
        <v>39.733333333333334</v>
      </c>
      <c r="S141" s="63" t="str">
        <f>VLOOKUP(Таблица1[[#This Row],[id клиента]],Таблица8[[id клиента]:[Страна]],7,0)</f>
        <v>Украина</v>
      </c>
      <c r="T141" s="26"/>
    </row>
    <row r="142" spans="1:20" ht="19.5" x14ac:dyDescent="0.4">
      <c r="A142" s="41">
        <v>141</v>
      </c>
      <c r="B142" s="42">
        <v>309</v>
      </c>
      <c r="C142" s="42">
        <v>498</v>
      </c>
      <c r="D142" s="42">
        <v>1</v>
      </c>
      <c r="E142" s="42">
        <v>498</v>
      </c>
      <c r="F142" s="43">
        <v>45372</v>
      </c>
      <c r="G142" s="42" t="s">
        <v>18</v>
      </c>
      <c r="H142" s="42">
        <v>464</v>
      </c>
      <c r="I142" s="42" t="str">
        <f>VLOOKUP(продажи!$B142,товар!$A$1:$C$433,2)</f>
        <v>Конфеты</v>
      </c>
      <c r="J142" s="42" t="str">
        <f>VLOOKUP(B142,товар!$A$1:$C$433,3)</f>
        <v>Рот Фронт</v>
      </c>
      <c r="K142" s="44">
        <f>AVERAGEIF(продажи!$I$2:$I$1001,продажи!$I$2:$I$1001,продажи!$C$2:$C$1001)</f>
        <v>267.85483870967744</v>
      </c>
      <c r="L142" s="45">
        <f>продажи!$C142/продажи!$K142-1</f>
        <v>0.85921599325585585</v>
      </c>
      <c r="M142" s="33">
        <f t="shared" si="4"/>
        <v>6053</v>
      </c>
      <c r="N142" s="24">
        <f>Таблица1[[#This Row],[цена за шт в рублях]]/Таблица1[[#This Row],[средняя стоимость в категории по поставщику.]]-1</f>
        <v>-0.91772674706756985</v>
      </c>
      <c r="O142" s="26">
        <f>VLOOKUP(Таблица1[[#This Row],[id клиента]],клиенты!$A$2:$E$435,5,0)</f>
        <v>44827</v>
      </c>
      <c r="P142">
        <f>Таблица1[[#This Row],[дата создания чека]]-Таблица1[[#This Row],[Дата регистрации клента]]</f>
        <v>545</v>
      </c>
      <c r="Q142" s="26">
        <f t="shared" ca="1" si="5"/>
        <v>46059</v>
      </c>
      <c r="R142" s="51">
        <f ca="1">(TODAY()-Таблица1[[#This Row],[Дата регистрации клента]])/30</f>
        <v>41.06666666666667</v>
      </c>
      <c r="S142" s="63" t="str">
        <f>VLOOKUP(Таблица1[[#This Row],[id клиента]],Таблица8[[id клиента]:[Страна]],7,0)</f>
        <v>Россия</v>
      </c>
      <c r="T142" s="26"/>
    </row>
    <row r="143" spans="1:20" ht="19.5" x14ac:dyDescent="0.4">
      <c r="A143" s="37">
        <v>564</v>
      </c>
      <c r="B143" s="31">
        <v>274</v>
      </c>
      <c r="C143" s="31">
        <v>472</v>
      </c>
      <c r="D143" s="31">
        <v>3</v>
      </c>
      <c r="E143" s="31">
        <v>1416</v>
      </c>
      <c r="F143" s="57">
        <v>45408</v>
      </c>
      <c r="G143" s="31" t="s">
        <v>9</v>
      </c>
      <c r="H143" s="55">
        <v>272</v>
      </c>
      <c r="I143" s="31" t="str">
        <f>VLOOKUP(продажи!$B565,товар!$A$1:$C$433,2)</f>
        <v>Молоко</v>
      </c>
      <c r="J143" s="31" t="str">
        <f>VLOOKUP(B143,товар!$A$1:$C$433,3)</f>
        <v>Простоквашино</v>
      </c>
      <c r="K143" s="39">
        <f>AVERAGEIF(продажи!$I$2:$I$1001,продажи!$I$2:$I$1001,продажи!$C$2:$C$1001)</f>
        <v>294.95238095238096</v>
      </c>
      <c r="L143" s="40">
        <f>продажи!$C565/продажи!$K565-1</f>
        <v>-0.19648046496609628</v>
      </c>
      <c r="M143" s="53">
        <f t="shared" si="4"/>
        <v>3507</v>
      </c>
      <c r="N143" s="24">
        <f>Таблица1[[#This Row],[цена за шт в рублях]]/Таблица1[[#This Row],[средняя стоимость в категории по поставщику.]]-1</f>
        <v>-0.86541203307670367</v>
      </c>
      <c r="O143" s="26">
        <f>VLOOKUP(Таблица1[[#This Row],[id клиента]],клиенты!$A$2:$E$435,5,0)</f>
        <v>44668</v>
      </c>
      <c r="P143">
        <f>Таблица1[[#This Row],[дата создания чека]]-Таблица1[[#This Row],[Дата регистрации клента]]</f>
        <v>740</v>
      </c>
      <c r="Q143" s="26">
        <f t="shared" ca="1" si="5"/>
        <v>46059</v>
      </c>
      <c r="R143" s="51">
        <f ca="1">(TODAY()-Таблица1[[#This Row],[Дата регистрации клента]])/30</f>
        <v>46.366666666666667</v>
      </c>
      <c r="S143" s="63" t="str">
        <f>VLOOKUP(Таблица1[[#This Row],[id клиента]],Таблица8[[id клиента]:[Страна]],7,0)</f>
        <v>Таджикистан</v>
      </c>
      <c r="T143" s="26"/>
    </row>
    <row r="144" spans="1:20" ht="19.5" x14ac:dyDescent="0.4">
      <c r="A144" s="41">
        <v>143</v>
      </c>
      <c r="B144" s="42">
        <v>81</v>
      </c>
      <c r="C144" s="42">
        <v>116</v>
      </c>
      <c r="D144" s="42">
        <v>1</v>
      </c>
      <c r="E144" s="42">
        <v>116</v>
      </c>
      <c r="F144" s="43">
        <v>45356</v>
      </c>
      <c r="G144" s="42" t="s">
        <v>27</v>
      </c>
      <c r="H144" s="42">
        <v>247</v>
      </c>
      <c r="I144" s="42" t="str">
        <f>VLOOKUP(продажи!$B144,товар!$A$1:$C$433,2)</f>
        <v>Чай</v>
      </c>
      <c r="J144" s="42" t="str">
        <f>VLOOKUP(B144,товар!$A$1:$C$433,3)</f>
        <v>Тесс</v>
      </c>
      <c r="K144" s="44">
        <f>AVERAGEIF(продажи!$I$2:$I$1001,продажи!$I$2:$I$1001,продажи!$C$2:$C$1001)</f>
        <v>271.18181818181819</v>
      </c>
      <c r="L144" s="45">
        <f>продажи!$C144/продажи!$K144-1</f>
        <v>-0.57224270868253435</v>
      </c>
      <c r="M144" s="33">
        <f t="shared" si="4"/>
        <v>1127</v>
      </c>
      <c r="N144" s="24">
        <f>Таблица1[[#This Row],[цена за шт в рублях]]/Таблица1[[#This Row],[средняя стоимость в категории по поставщику.]]-1</f>
        <v>-0.89707187222715179</v>
      </c>
      <c r="O144" s="26">
        <f>VLOOKUP(Таблица1[[#This Row],[id клиента]],клиенты!$A$2:$E$435,5,0)</f>
        <v>44762</v>
      </c>
      <c r="P144">
        <f>Таблица1[[#This Row],[дата создания чека]]-Таблица1[[#This Row],[Дата регистрации клента]]</f>
        <v>594</v>
      </c>
      <c r="Q144" s="26">
        <f t="shared" ca="1" si="5"/>
        <v>46059</v>
      </c>
      <c r="R144" s="51">
        <f ca="1">(TODAY()-Таблица1[[#This Row],[Дата регистрации клента]])/30</f>
        <v>43.233333333333334</v>
      </c>
      <c r="S144" s="63" t="str">
        <f>VLOOKUP(Таблица1[[#This Row],[id клиента]],Таблица8[[id клиента]:[Страна]],7,0)</f>
        <v>Узбекистан</v>
      </c>
      <c r="T144" s="26"/>
    </row>
    <row r="145" spans="1:20" ht="19.5" x14ac:dyDescent="0.4">
      <c r="A145" s="37">
        <v>144</v>
      </c>
      <c r="B145" s="31">
        <v>4</v>
      </c>
      <c r="C145" s="31">
        <v>314</v>
      </c>
      <c r="D145" s="31">
        <v>4</v>
      </c>
      <c r="E145" s="31">
        <v>1256</v>
      </c>
      <c r="F145" s="38">
        <v>45336</v>
      </c>
      <c r="G145" s="31" t="s">
        <v>14</v>
      </c>
      <c r="H145" s="31">
        <v>380</v>
      </c>
      <c r="I145" s="31" t="str">
        <f>VLOOKUP(продажи!$B145,товар!$A$1:$C$433,2)</f>
        <v>Рис</v>
      </c>
      <c r="J145" s="31" t="str">
        <f>VLOOKUP(B145,товар!$A$1:$C$433,3)</f>
        <v>Белый Злат</v>
      </c>
      <c r="K145" s="39">
        <f>AVERAGEIF(продажи!$I$2:$I$1001,продажи!$I$2:$I$1001,продажи!$C$2:$C$1001)</f>
        <v>258.375</v>
      </c>
      <c r="L145" s="40">
        <f>продажи!$C145/продажи!$K145-1</f>
        <v>0.21528785679729068</v>
      </c>
      <c r="M145" s="33">
        <f t="shared" si="4"/>
        <v>4585</v>
      </c>
      <c r="N145" s="24">
        <f>Таблица1[[#This Row],[цена за шт в рублях]]/Таблица1[[#This Row],[средняя стоимость в категории по поставщику.]]-1</f>
        <v>-0.931515812431843</v>
      </c>
      <c r="O145" s="26">
        <f>VLOOKUP(Таблица1[[#This Row],[id клиента]],клиенты!$A$2:$E$435,5,0)</f>
        <v>44563</v>
      </c>
      <c r="P145">
        <f>Таблица1[[#This Row],[дата создания чека]]-Таблица1[[#This Row],[Дата регистрации клента]]</f>
        <v>773</v>
      </c>
      <c r="Q145" s="26">
        <f t="shared" ca="1" si="5"/>
        <v>46059</v>
      </c>
      <c r="R145" s="51">
        <f ca="1">(TODAY()-Таблица1[[#This Row],[Дата регистрации клента]])/30</f>
        <v>49.866666666666667</v>
      </c>
      <c r="S145" s="63" t="str">
        <f>VLOOKUP(Таблица1[[#This Row],[id клиента]],Таблица8[[id клиента]:[Страна]],7,0)</f>
        <v>Россия</v>
      </c>
      <c r="T145" s="26"/>
    </row>
    <row r="146" spans="1:20" ht="19.5" x14ac:dyDescent="0.4">
      <c r="A146" s="41">
        <v>145</v>
      </c>
      <c r="B146" s="42">
        <v>209</v>
      </c>
      <c r="C146" s="42">
        <v>284</v>
      </c>
      <c r="D146" s="42">
        <v>5</v>
      </c>
      <c r="E146" s="42">
        <v>1420</v>
      </c>
      <c r="F146" s="43">
        <v>45167</v>
      </c>
      <c r="G146" s="42" t="s">
        <v>12</v>
      </c>
      <c r="H146" s="42">
        <v>75</v>
      </c>
      <c r="I146" s="42" t="str">
        <f>VLOOKUP(продажи!$B146,товар!$A$1:$C$433,2)</f>
        <v>Хлеб</v>
      </c>
      <c r="J146" s="42" t="str">
        <f>VLOOKUP(B146,товар!$A$1:$C$433,3)</f>
        <v>Русский Хлеб</v>
      </c>
      <c r="K146" s="44">
        <f>AVERAGEIF(продажи!$I$2:$I$1001,продажи!$I$2:$I$1001,продажи!$C$2:$C$1001)</f>
        <v>300.31818181818181</v>
      </c>
      <c r="L146" s="45">
        <f>продажи!$C146/продажи!$K146-1</f>
        <v>-5.4336309974269748E-2</v>
      </c>
      <c r="M146" s="33">
        <f t="shared" si="4"/>
        <v>3166</v>
      </c>
      <c r="N146" s="24">
        <f>Таблица1[[#This Row],[цена за шт в рублях]]/Таблица1[[#This Row],[средняя стоимость в категории по поставщику.]]-1</f>
        <v>-0.91029690461149715</v>
      </c>
      <c r="O146" s="26">
        <f>VLOOKUP(Таблица1[[#This Row],[id клиента]],клиенты!$A$2:$E$435,5,0)</f>
        <v>44796</v>
      </c>
      <c r="P146">
        <f>Таблица1[[#This Row],[дата создания чека]]-Таблица1[[#This Row],[Дата регистрации клента]]</f>
        <v>371</v>
      </c>
      <c r="Q146" s="26">
        <f t="shared" ca="1" si="5"/>
        <v>46059</v>
      </c>
      <c r="R146" s="51">
        <f ca="1">(TODAY()-Таблица1[[#This Row],[Дата регистрации клента]])/30</f>
        <v>42.1</v>
      </c>
      <c r="S146" s="63" t="str">
        <f>VLOOKUP(Таблица1[[#This Row],[id клиента]],Таблица8[[id клиента]:[Страна]],7,0)</f>
        <v>Украина</v>
      </c>
      <c r="T146" s="26"/>
    </row>
    <row r="147" spans="1:20" ht="19.5" x14ac:dyDescent="0.4">
      <c r="A147" s="37">
        <v>146</v>
      </c>
      <c r="B147" s="31">
        <v>156</v>
      </c>
      <c r="C147" s="31">
        <v>332</v>
      </c>
      <c r="D147" s="31">
        <v>1</v>
      </c>
      <c r="E147" s="31">
        <v>332</v>
      </c>
      <c r="F147" s="38">
        <v>45069</v>
      </c>
      <c r="G147" s="31" t="s">
        <v>17</v>
      </c>
      <c r="H147" s="31">
        <v>356</v>
      </c>
      <c r="I147" s="31" t="str">
        <f>VLOOKUP(продажи!$B147,товар!$A$1:$C$433,2)</f>
        <v>Фрукты</v>
      </c>
      <c r="J147" s="31" t="str">
        <f>VLOOKUP(B147,товар!$A$1:$C$433,3)</f>
        <v>Фрукты-Ягоды</v>
      </c>
      <c r="K147" s="39">
        <f>AVERAGEIF(продажи!$I$2:$I$1001,продажи!$I$2:$I$1001,продажи!$C$2:$C$1001)</f>
        <v>274.16279069767444</v>
      </c>
      <c r="L147" s="40">
        <f>продажи!$C147/продажи!$K147-1</f>
        <v>0.21095936890321476</v>
      </c>
      <c r="M147" s="33">
        <f t="shared" si="4"/>
        <v>2526</v>
      </c>
      <c r="N147" s="24">
        <f>Таблица1[[#This Row],[цена за шт в рублях]]/Таблица1[[#This Row],[средняя стоимость в категории по поставщику.]]-1</f>
        <v>-0.86856690419635785</v>
      </c>
      <c r="O147" s="26">
        <f>VLOOKUP(Таблица1[[#This Row],[id клиента]],клиенты!$A$2:$E$435,5,0)</f>
        <v>44570</v>
      </c>
      <c r="P147">
        <f>Таблица1[[#This Row],[дата создания чека]]-Таблица1[[#This Row],[Дата регистрации клента]]</f>
        <v>499</v>
      </c>
      <c r="Q147" s="26">
        <f t="shared" ca="1" si="5"/>
        <v>46059</v>
      </c>
      <c r="R147" s="51">
        <f ca="1">(TODAY()-Таблица1[[#This Row],[Дата регистрации клента]])/30</f>
        <v>49.633333333333333</v>
      </c>
      <c r="S147" s="63" t="str">
        <f>VLOOKUP(Таблица1[[#This Row],[id клиента]],Таблица8[[id клиента]:[Страна]],7,0)</f>
        <v>Таджикистан</v>
      </c>
      <c r="T147" s="26"/>
    </row>
    <row r="148" spans="1:20" ht="19.5" x14ac:dyDescent="0.4">
      <c r="A148" s="41">
        <v>147</v>
      </c>
      <c r="B148" s="42">
        <v>441</v>
      </c>
      <c r="C148" s="42">
        <v>239</v>
      </c>
      <c r="D148" s="42">
        <v>2</v>
      </c>
      <c r="E148" s="42">
        <v>478</v>
      </c>
      <c r="F148" s="43">
        <v>45103</v>
      </c>
      <c r="G148" s="42" t="s">
        <v>24</v>
      </c>
      <c r="H148" s="42">
        <v>487</v>
      </c>
      <c r="I148" s="42" t="str">
        <f>VLOOKUP(продажи!$B148,товар!$A$1:$C$433,2)</f>
        <v>Чай</v>
      </c>
      <c r="J148" s="42" t="str">
        <f>VLOOKUP(B148,товар!$A$1:$C$433,3)</f>
        <v>Lipton</v>
      </c>
      <c r="K148" s="44">
        <f>AVERAGEIF(продажи!$I$2:$I$1001,продажи!$I$2:$I$1001,продажи!$C$2:$C$1001)</f>
        <v>271.18181818181819</v>
      </c>
      <c r="L148" s="45">
        <f>продажи!$C148/продажи!$K148-1</f>
        <v>-0.11867247737177344</v>
      </c>
      <c r="M148" s="33">
        <f t="shared" si="4"/>
        <v>4943</v>
      </c>
      <c r="N148" s="24">
        <f>Таблица1[[#This Row],[цена за шт в рублях]]/Таблица1[[#This Row],[средняя стоимость в категории по поставщику.]]-1</f>
        <v>-0.95164879627756427</v>
      </c>
      <c r="O148" s="26">
        <f>VLOOKUP(Таблица1[[#This Row],[id клиента]],клиенты!$A$2:$E$435,5,0)</f>
        <v>44815</v>
      </c>
      <c r="P148">
        <f>Таблица1[[#This Row],[дата создания чека]]-Таблица1[[#This Row],[Дата регистрации клента]]</f>
        <v>288</v>
      </c>
      <c r="Q148" s="26">
        <f t="shared" ca="1" si="5"/>
        <v>46059</v>
      </c>
      <c r="R148" s="51">
        <f ca="1">(TODAY()-Таблица1[[#This Row],[Дата регистрации клента]])/30</f>
        <v>41.466666666666669</v>
      </c>
      <c r="S148" s="63" t="str">
        <f>VLOOKUP(Таблица1[[#This Row],[id клиента]],Таблица8[[id клиента]:[Страна]],7,0)</f>
        <v>Россия</v>
      </c>
      <c r="T148" s="26"/>
    </row>
    <row r="149" spans="1:20" ht="19.5" x14ac:dyDescent="0.4">
      <c r="A149" s="37">
        <v>148</v>
      </c>
      <c r="B149" s="31">
        <v>180</v>
      </c>
      <c r="C149" s="31">
        <v>86</v>
      </c>
      <c r="D149" s="31">
        <v>4</v>
      </c>
      <c r="E149" s="31">
        <v>344</v>
      </c>
      <c r="F149" s="38">
        <v>45326</v>
      </c>
      <c r="G149" s="31" t="s">
        <v>17</v>
      </c>
      <c r="H149" s="31">
        <v>73</v>
      </c>
      <c r="I149" s="31" t="str">
        <f>VLOOKUP(продажи!$B149,товар!$A$1:$C$433,2)</f>
        <v>Чипсы</v>
      </c>
      <c r="J149" s="31" t="str">
        <f>VLOOKUP(B149,товар!$A$1:$C$433,3)</f>
        <v>Русская картошка</v>
      </c>
      <c r="K149" s="39">
        <f>AVERAGEIF(продажи!$I$2:$I$1001,продажи!$I$2:$I$1001,продажи!$C$2:$C$1001)</f>
        <v>273.72549019607845</v>
      </c>
      <c r="L149" s="40">
        <f>продажи!$C149/продажи!$K149-1</f>
        <v>-0.68581661891117474</v>
      </c>
      <c r="M149" s="33">
        <f t="shared" si="4"/>
        <v>2902</v>
      </c>
      <c r="N149" s="24">
        <f>Таблица1[[#This Row],[цена за шт в рублях]]/Таблица1[[#This Row],[средняя стоимость в категории по поставщику.]]-1</f>
        <v>-0.97036526533425227</v>
      </c>
      <c r="O149" s="26">
        <f>VLOOKUP(Таблица1[[#This Row],[id клиента]],клиенты!$A$2:$E$435,5,0)</f>
        <v>44665</v>
      </c>
      <c r="P149">
        <f>Таблица1[[#This Row],[дата создания чека]]-Таблица1[[#This Row],[Дата регистрации клента]]</f>
        <v>661</v>
      </c>
      <c r="Q149" s="26">
        <f t="shared" ca="1" si="5"/>
        <v>46059</v>
      </c>
      <c r="R149" s="51">
        <f ca="1">(TODAY()-Таблица1[[#This Row],[Дата регистрации клента]])/30</f>
        <v>46.466666666666669</v>
      </c>
      <c r="S149" s="63" t="str">
        <f>VLOOKUP(Таблица1[[#This Row],[id клиента]],Таблица8[[id клиента]:[Страна]],7,0)</f>
        <v>Украина</v>
      </c>
      <c r="T149" s="26"/>
    </row>
    <row r="150" spans="1:20" ht="19.5" x14ac:dyDescent="0.4">
      <c r="A150" s="41">
        <v>149</v>
      </c>
      <c r="B150" s="42">
        <v>438</v>
      </c>
      <c r="C150" s="42">
        <v>154</v>
      </c>
      <c r="D150" s="42">
        <v>4</v>
      </c>
      <c r="E150" s="42">
        <v>616</v>
      </c>
      <c r="F150" s="43">
        <v>45264</v>
      </c>
      <c r="G150" s="42" t="s">
        <v>12</v>
      </c>
      <c r="H150" s="42">
        <v>139</v>
      </c>
      <c r="I150" s="42" t="str">
        <f>VLOOKUP(продажи!$B150,товар!$A$1:$C$433,2)</f>
        <v>Кофе</v>
      </c>
      <c r="J150" s="42" t="str">
        <f>VLOOKUP(B150,товар!$A$1:$C$433,3)</f>
        <v>Nescafe</v>
      </c>
      <c r="K150" s="44">
        <f>AVERAGEIF(продажи!$I$2:$I$1001,продажи!$I$2:$I$1001,продажи!$C$2:$C$1001)</f>
        <v>249.02380952380952</v>
      </c>
      <c r="L150" s="45">
        <f>продажи!$C150/продажи!$K150-1</f>
        <v>-0.38158523759441632</v>
      </c>
      <c r="M150" s="33">
        <f t="shared" si="4"/>
        <v>2569</v>
      </c>
      <c r="N150" s="24">
        <f>Таблица1[[#This Row],[цена за шт в рублях]]/Таблица1[[#This Row],[средняя стоимость в категории по поставщику.]]-1</f>
        <v>-0.94005449591280654</v>
      </c>
      <c r="O150" s="26">
        <f>VLOOKUP(Таблица1[[#This Row],[id клиента]],клиенты!$A$2:$E$435,5,0)</f>
        <v>44648</v>
      </c>
      <c r="P150">
        <f>Таблица1[[#This Row],[дата создания чека]]-Таблица1[[#This Row],[Дата регистрации клента]]</f>
        <v>616</v>
      </c>
      <c r="Q150" s="26">
        <f t="shared" ca="1" si="5"/>
        <v>46059</v>
      </c>
      <c r="R150" s="51">
        <f ca="1">(TODAY()-Таблица1[[#This Row],[Дата регистрации клента]])/30</f>
        <v>47.033333333333331</v>
      </c>
      <c r="S150" s="63" t="str">
        <f>VLOOKUP(Таблица1[[#This Row],[id клиента]],Таблица8[[id клиента]:[Страна]],7,0)</f>
        <v>Беларусь</v>
      </c>
      <c r="T150" s="26"/>
    </row>
    <row r="151" spans="1:20" ht="19.5" x14ac:dyDescent="0.4">
      <c r="A151" s="37">
        <v>692</v>
      </c>
      <c r="B151" s="31">
        <v>474</v>
      </c>
      <c r="C151" s="31">
        <v>252</v>
      </c>
      <c r="D151" s="31">
        <v>3</v>
      </c>
      <c r="E151" s="31">
        <v>756</v>
      </c>
      <c r="F151" s="57">
        <v>45425</v>
      </c>
      <c r="G151" s="31" t="s">
        <v>13</v>
      </c>
      <c r="H151" s="55">
        <v>470</v>
      </c>
      <c r="I151" s="31" t="str">
        <f>VLOOKUP(продажи!$B693,товар!$A$1:$C$433,2)</f>
        <v>Молоко</v>
      </c>
      <c r="J151" s="31" t="str">
        <f>VLOOKUP(B151,товар!$A$1:$C$433,3)</f>
        <v>Простоквашино</v>
      </c>
      <c r="K151" s="39">
        <f>AVERAGEIF(продажи!$I$2:$I$1001,продажи!$I$2:$I$1001,продажи!$C$2:$C$1001)</f>
        <v>294.95238095238096</v>
      </c>
      <c r="L151" s="40">
        <f>продажи!$C693/продажи!$K693-1</f>
        <v>-0.75250242169841786</v>
      </c>
      <c r="M151" s="53">
        <f t="shared" si="4"/>
        <v>3507</v>
      </c>
      <c r="N151" s="24">
        <f>Таблица1[[#This Row],[цена за шт в рублях]]/Таблица1[[#This Row],[средняя стоимость в категории по поставщику.]]-1</f>
        <v>-0.92814371257485029</v>
      </c>
      <c r="O151" s="26">
        <f>VLOOKUP(Таблица1[[#This Row],[id клиента]],клиенты!$A$2:$E$435,5,0)</f>
        <v>44690</v>
      </c>
      <c r="P151">
        <f>Таблица1[[#This Row],[дата создания чека]]-Таблица1[[#This Row],[Дата регистрации клента]]</f>
        <v>735</v>
      </c>
      <c r="Q151" s="26">
        <f t="shared" ca="1" si="5"/>
        <v>46059</v>
      </c>
      <c r="R151" s="51">
        <f ca="1">(TODAY()-Таблица1[[#This Row],[Дата регистрации клента]])/30</f>
        <v>45.633333333333333</v>
      </c>
      <c r="S151" s="63" t="str">
        <f>VLOOKUP(Таблица1[[#This Row],[id клиента]],Таблица8[[id клиента]:[Страна]],7,0)</f>
        <v>Таджикистан</v>
      </c>
      <c r="T151" s="26"/>
    </row>
    <row r="152" spans="1:20" ht="19.5" x14ac:dyDescent="0.4">
      <c r="A152" s="41">
        <v>119</v>
      </c>
      <c r="B152" s="42">
        <v>164</v>
      </c>
      <c r="C152" s="42">
        <v>229</v>
      </c>
      <c r="D152" s="42">
        <v>3</v>
      </c>
      <c r="E152" s="42">
        <v>687</v>
      </c>
      <c r="F152" s="58">
        <v>45343</v>
      </c>
      <c r="G152" s="42" t="s">
        <v>22</v>
      </c>
      <c r="H152" s="56">
        <v>16</v>
      </c>
      <c r="I152" s="42" t="str">
        <f>VLOOKUP(продажи!$B120,товар!$A$1:$C$433,2)</f>
        <v>Молоко</v>
      </c>
      <c r="J152" s="42" t="str">
        <f>VLOOKUP(B152,товар!$A$1:$C$433,3)</f>
        <v>Беллакт</v>
      </c>
      <c r="K152" s="44">
        <f>AVERAGEIF(продажи!$I$2:$I$1001,продажи!$I$2:$I$1001,продажи!$C$2:$C$1001)</f>
        <v>294.95238095238096</v>
      </c>
      <c r="L152" s="45">
        <f>продажи!$C120/продажи!$K120-1</f>
        <v>-0.11511139812721993</v>
      </c>
      <c r="M152" s="53">
        <f t="shared" si="4"/>
        <v>3548</v>
      </c>
      <c r="N152" s="24">
        <f>Таблица1[[#This Row],[цена за шт в рублях]]/Таблица1[[#This Row],[средняя стоимость в категории по поставщику.]]-1</f>
        <v>-0.93545659526493796</v>
      </c>
      <c r="O152" s="26">
        <f>VLOOKUP(Таблица1[[#This Row],[id клиента]],клиенты!$A$2:$E$435,5,0)</f>
        <v>44713</v>
      </c>
      <c r="P152">
        <f>Таблица1[[#This Row],[дата создания чека]]-Таблица1[[#This Row],[Дата регистрации клента]]</f>
        <v>630</v>
      </c>
      <c r="Q152" s="26">
        <f t="shared" ca="1" si="5"/>
        <v>46059</v>
      </c>
      <c r="R152" s="51">
        <f ca="1">(TODAY()-Таблица1[[#This Row],[Дата регистрации клента]])/30</f>
        <v>44.866666666666667</v>
      </c>
      <c r="S152" s="63" t="str">
        <f>VLOOKUP(Таблица1[[#This Row],[id клиента]],Таблица8[[id клиента]:[Страна]],7,0)</f>
        <v>Украина</v>
      </c>
      <c r="T152" s="26"/>
    </row>
    <row r="153" spans="1:20" ht="19.5" x14ac:dyDescent="0.4">
      <c r="A153" s="37">
        <v>152</v>
      </c>
      <c r="B153" s="31">
        <v>295</v>
      </c>
      <c r="C153" s="31">
        <v>230</v>
      </c>
      <c r="D153" s="31">
        <v>4</v>
      </c>
      <c r="E153" s="31">
        <v>920</v>
      </c>
      <c r="F153" s="38">
        <v>44990</v>
      </c>
      <c r="G153" s="31" t="s">
        <v>12</v>
      </c>
      <c r="H153" s="31">
        <v>258</v>
      </c>
      <c r="I153" s="31" t="str">
        <f>VLOOKUP(продажи!$B153,товар!$A$1:$C$433,2)</f>
        <v>Печенье</v>
      </c>
      <c r="J153" s="31" t="str">
        <f>VLOOKUP(B153,товар!$A$1:$C$433,3)</f>
        <v>Белогорье</v>
      </c>
      <c r="K153" s="39">
        <f>AVERAGEIF(продажи!$I$2:$I$1001,продажи!$I$2:$I$1001,продажи!$C$2:$C$1001)</f>
        <v>283.468085106383</v>
      </c>
      <c r="L153" s="40">
        <f>продажи!$C153/продажи!$K153-1</f>
        <v>-0.18862118141559714</v>
      </c>
      <c r="M153" s="33">
        <f t="shared" si="4"/>
        <v>3493</v>
      </c>
      <c r="N153" s="24">
        <f>Таблица1[[#This Row],[цена за шт в рублях]]/Таблица1[[#This Row],[средняя стоимость в категории по поставщику.]]-1</f>
        <v>-0.93415402233037503</v>
      </c>
      <c r="O153" s="26">
        <f>VLOOKUP(Таблица1[[#This Row],[id клиента]],клиенты!$A$2:$E$435,5,0)</f>
        <v>44717</v>
      </c>
      <c r="P153">
        <f>Таблица1[[#This Row],[дата создания чека]]-Таблица1[[#This Row],[Дата регистрации клента]]</f>
        <v>273</v>
      </c>
      <c r="Q153" s="26">
        <f t="shared" ca="1" si="5"/>
        <v>46059</v>
      </c>
      <c r="R153" s="51">
        <f ca="1">(TODAY()-Таблица1[[#This Row],[Дата регистрации клента]])/30</f>
        <v>44.733333333333334</v>
      </c>
      <c r="S153" s="63" t="str">
        <f>VLOOKUP(Таблица1[[#This Row],[id клиента]],Таблица8[[id клиента]:[Страна]],7,0)</f>
        <v>Украина</v>
      </c>
      <c r="T153" s="26"/>
    </row>
    <row r="154" spans="1:20" ht="19.5" x14ac:dyDescent="0.4">
      <c r="A154" s="41">
        <v>153</v>
      </c>
      <c r="B154" s="42">
        <v>204</v>
      </c>
      <c r="C154" s="42">
        <v>88</v>
      </c>
      <c r="D154" s="42">
        <v>4</v>
      </c>
      <c r="E154" s="42">
        <v>352</v>
      </c>
      <c r="F154" s="43">
        <v>44990</v>
      </c>
      <c r="G154" s="42" t="s">
        <v>24</v>
      </c>
      <c r="H154" s="42">
        <v>349</v>
      </c>
      <c r="I154" s="42" t="str">
        <f>VLOOKUP(продажи!$B154,товар!$A$1:$C$433,2)</f>
        <v>Печенье</v>
      </c>
      <c r="J154" s="42" t="str">
        <f>VLOOKUP(B154,товар!$A$1:$C$433,3)</f>
        <v>Юбилейное</v>
      </c>
      <c r="K154" s="44">
        <f>AVERAGEIF(продажи!$I$2:$I$1001,продажи!$I$2:$I$1001,продажи!$C$2:$C$1001)</f>
        <v>283.468085106383</v>
      </c>
      <c r="L154" s="45">
        <f>продажи!$C154/продажи!$K154-1</f>
        <v>-0.68955940854161979</v>
      </c>
      <c r="M154" s="33">
        <f t="shared" si="4"/>
        <v>2092</v>
      </c>
      <c r="N154" s="24">
        <f>Таблица1[[#This Row],[цена за шт в рублях]]/Таблица1[[#This Row],[средняя стоимость в категории по поставщику.]]-1</f>
        <v>-0.9579349904397706</v>
      </c>
      <c r="O154" s="26">
        <f>VLOOKUP(Таблица1[[#This Row],[id клиента]],клиенты!$A$2:$E$435,5,0)</f>
        <v>44673</v>
      </c>
      <c r="P154">
        <f>Таблица1[[#This Row],[дата создания чека]]-Таблица1[[#This Row],[Дата регистрации клента]]</f>
        <v>317</v>
      </c>
      <c r="Q154" s="26">
        <f t="shared" ca="1" si="5"/>
        <v>46059</v>
      </c>
      <c r="R154" s="51">
        <f ca="1">(TODAY()-Таблица1[[#This Row],[Дата регистрации клента]])/30</f>
        <v>46.2</v>
      </c>
      <c r="S154" s="63" t="str">
        <f>VLOOKUP(Таблица1[[#This Row],[id клиента]],Таблица8[[id клиента]:[Страна]],7,0)</f>
        <v>Россия</v>
      </c>
      <c r="T154" s="26"/>
    </row>
    <row r="155" spans="1:20" ht="19.5" x14ac:dyDescent="0.4">
      <c r="A155" s="37">
        <v>154</v>
      </c>
      <c r="B155" s="31">
        <v>399</v>
      </c>
      <c r="C155" s="31">
        <v>231</v>
      </c>
      <c r="D155" s="31">
        <v>2</v>
      </c>
      <c r="E155" s="31">
        <v>462</v>
      </c>
      <c r="F155" s="38">
        <v>45290</v>
      </c>
      <c r="G155" s="31" t="s">
        <v>23</v>
      </c>
      <c r="H155" s="31">
        <v>325</v>
      </c>
      <c r="I155" s="31" t="str">
        <f>VLOOKUP(продажи!$B155,товар!$A$1:$C$433,2)</f>
        <v>Хлеб</v>
      </c>
      <c r="J155" s="31" t="str">
        <f>VLOOKUP(B155,товар!$A$1:$C$433,3)</f>
        <v>Хлебный Дом</v>
      </c>
      <c r="K155" s="39">
        <f>AVERAGEIF(продажи!$I$2:$I$1001,продажи!$I$2:$I$1001,продажи!$C$2:$C$1001)</f>
        <v>300.31818181818181</v>
      </c>
      <c r="L155" s="40">
        <f>продажи!$C155/продажи!$K155-1</f>
        <v>-0.2308158014227335</v>
      </c>
      <c r="M155" s="33">
        <f t="shared" si="4"/>
        <v>4226</v>
      </c>
      <c r="N155" s="24">
        <f>Таблица1[[#This Row],[цена за шт в рублях]]/Таблица1[[#This Row],[средняя стоимость в категории по поставщику.]]-1</f>
        <v>-0.94533838144817794</v>
      </c>
      <c r="O155" s="26">
        <f>VLOOKUP(Таблица1[[#This Row],[id клиента]],клиенты!$A$2:$E$435,5,0)</f>
        <v>44875</v>
      </c>
      <c r="P155">
        <f>Таблица1[[#This Row],[дата создания чека]]-Таблица1[[#This Row],[Дата регистрации клента]]</f>
        <v>415</v>
      </c>
      <c r="Q155" s="26">
        <f t="shared" ca="1" si="5"/>
        <v>46059</v>
      </c>
      <c r="R155" s="51">
        <f ca="1">(TODAY()-Таблица1[[#This Row],[Дата регистрации клента]])/30</f>
        <v>39.466666666666669</v>
      </c>
      <c r="S155" s="63" t="str">
        <f>VLOOKUP(Таблица1[[#This Row],[id клиента]],Таблица8[[id клиента]:[Страна]],7,0)</f>
        <v>Таджикистан</v>
      </c>
      <c r="T155" s="26"/>
    </row>
    <row r="156" spans="1:20" ht="19.5" x14ac:dyDescent="0.4">
      <c r="A156" s="41">
        <v>155</v>
      </c>
      <c r="B156" s="42">
        <v>221</v>
      </c>
      <c r="C156" s="42">
        <v>477</v>
      </c>
      <c r="D156" s="42">
        <v>4</v>
      </c>
      <c r="E156" s="42">
        <v>1908</v>
      </c>
      <c r="F156" s="43">
        <v>45185</v>
      </c>
      <c r="G156" s="42" t="s">
        <v>15</v>
      </c>
      <c r="H156" s="42">
        <v>276</v>
      </c>
      <c r="I156" s="42" t="str">
        <f>VLOOKUP(продажи!$B156,товар!$A$1:$C$433,2)</f>
        <v>Чипсы</v>
      </c>
      <c r="J156" s="42" t="str">
        <f>VLOOKUP(B156,товар!$A$1:$C$433,3)</f>
        <v>Pringles</v>
      </c>
      <c r="K156" s="44">
        <f>AVERAGEIF(продажи!$I$2:$I$1001,продажи!$I$2:$I$1001,продажи!$C$2:$C$1001)</f>
        <v>273.72549019607845</v>
      </c>
      <c r="L156" s="45">
        <f>продажи!$C156/продажи!$K156-1</f>
        <v>0.74262177650429795</v>
      </c>
      <c r="M156" s="33">
        <f t="shared" si="4"/>
        <v>5885</v>
      </c>
      <c r="N156" s="24">
        <f>Таблица1[[#This Row],[цена за шт в рублях]]/Таблица1[[#This Row],[средняя стоимость в категории по поставщику.]]-1</f>
        <v>-0.91894647408666097</v>
      </c>
      <c r="O156" s="26">
        <f>VLOOKUP(Таблица1[[#This Row],[id клиента]],клиенты!$A$2:$E$435,5,0)</f>
        <v>44632</v>
      </c>
      <c r="P156">
        <f>Таблица1[[#This Row],[дата создания чека]]-Таблица1[[#This Row],[Дата регистрации клента]]</f>
        <v>553</v>
      </c>
      <c r="Q156" s="26">
        <f t="shared" ca="1" si="5"/>
        <v>46059</v>
      </c>
      <c r="R156" s="51">
        <f ca="1">(TODAY()-Таблица1[[#This Row],[Дата регистрации клента]])/30</f>
        <v>47.56666666666667</v>
      </c>
      <c r="S156" s="63" t="str">
        <f>VLOOKUP(Таблица1[[#This Row],[id клиента]],Таблица8[[id клиента]:[Страна]],7,0)</f>
        <v>Таджикистан</v>
      </c>
      <c r="T156" s="26"/>
    </row>
    <row r="157" spans="1:20" ht="19.5" x14ac:dyDescent="0.4">
      <c r="A157" s="37">
        <v>156</v>
      </c>
      <c r="B157" s="31">
        <v>333</v>
      </c>
      <c r="C157" s="31">
        <v>74</v>
      </c>
      <c r="D157" s="31">
        <v>2</v>
      </c>
      <c r="E157" s="31">
        <v>148</v>
      </c>
      <c r="F157" s="38">
        <v>45153</v>
      </c>
      <c r="G157" s="31" t="s">
        <v>16</v>
      </c>
      <c r="H157" s="31">
        <v>328</v>
      </c>
      <c r="I157" s="31" t="str">
        <f>VLOOKUP(продажи!$B157,товар!$A$1:$C$433,2)</f>
        <v>Рыба</v>
      </c>
      <c r="J157" s="31" t="str">
        <f>VLOOKUP(B157,товар!$A$1:$C$433,3)</f>
        <v>Санта Бремор</v>
      </c>
      <c r="K157" s="39">
        <f>AVERAGEIF(продажи!$I$2:$I$1001,продажи!$I$2:$I$1001,продажи!$C$2:$C$1001)</f>
        <v>258.5128205128205</v>
      </c>
      <c r="L157" s="40">
        <f>продажи!$C157/продажи!$K157-1</f>
        <v>-0.71374727236659385</v>
      </c>
      <c r="M157" s="33">
        <f t="shared" si="4"/>
        <v>2164</v>
      </c>
      <c r="N157" s="24">
        <f>Таблица1[[#This Row],[цена за шт в рублях]]/Таблица1[[#This Row],[средняя стоимость в категории по поставщику.]]-1</f>
        <v>-0.96580406654343809</v>
      </c>
      <c r="O157" s="26">
        <f>VLOOKUP(Таблица1[[#This Row],[id клиента]],клиенты!$A$2:$E$435,5,0)</f>
        <v>44568</v>
      </c>
      <c r="P157">
        <f>Таблица1[[#This Row],[дата создания чека]]-Таблица1[[#This Row],[Дата регистрации клента]]</f>
        <v>585</v>
      </c>
      <c r="Q157" s="26">
        <f t="shared" ca="1" si="5"/>
        <v>46059</v>
      </c>
      <c r="R157" s="51">
        <f ca="1">(TODAY()-Таблица1[[#This Row],[Дата регистрации клента]])/30</f>
        <v>49.7</v>
      </c>
      <c r="S157" s="63" t="str">
        <f>VLOOKUP(Таблица1[[#This Row],[id клиента]],Таблица8[[id клиента]:[Страна]],7,0)</f>
        <v>Россия</v>
      </c>
      <c r="T157" s="26"/>
    </row>
    <row r="158" spans="1:20" ht="19.5" x14ac:dyDescent="0.4">
      <c r="A158" s="37">
        <v>926</v>
      </c>
      <c r="B158" s="31">
        <v>222</v>
      </c>
      <c r="C158" s="31">
        <v>168</v>
      </c>
      <c r="D158" s="31">
        <v>3</v>
      </c>
      <c r="E158" s="31">
        <v>504</v>
      </c>
      <c r="F158" s="57">
        <v>45313</v>
      </c>
      <c r="G158" s="31" t="s">
        <v>21</v>
      </c>
      <c r="H158" s="55">
        <v>79</v>
      </c>
      <c r="I158" s="31" t="str">
        <f>VLOOKUP(продажи!$B927,товар!$A$1:$C$433,2)</f>
        <v>Молоко</v>
      </c>
      <c r="J158" s="31" t="str">
        <f>VLOOKUP(B158,товар!$A$1:$C$433,3)</f>
        <v>Простоквашино</v>
      </c>
      <c r="K158" s="39">
        <f>AVERAGEIF(продажи!$I$2:$I$1001,продажи!$I$2:$I$1001,продажи!$C$2:$C$1001)</f>
        <v>294.95238095238096</v>
      </c>
      <c r="L158" s="40">
        <f>продажи!$C927/продажи!$K927-1</f>
        <v>0.4578624475298676</v>
      </c>
      <c r="M158" s="53">
        <f t="shared" si="4"/>
        <v>3507</v>
      </c>
      <c r="N158" s="24">
        <f>Таблица1[[#This Row],[цена за шт в рублях]]/Таблица1[[#This Row],[средняя стоимость в категории по поставщику.]]-1</f>
        <v>-0.95209580838323349</v>
      </c>
      <c r="O158" s="26">
        <f>VLOOKUP(Таблица1[[#This Row],[id клиента]],клиенты!$A$2:$E$435,5,0)</f>
        <v>44716</v>
      </c>
      <c r="P158">
        <f>Таблица1[[#This Row],[дата создания чека]]-Таблица1[[#This Row],[Дата регистрации клента]]</f>
        <v>597</v>
      </c>
      <c r="Q158" s="26">
        <f t="shared" ca="1" si="5"/>
        <v>46059</v>
      </c>
      <c r="R158" s="51">
        <f ca="1">(TODAY()-Таблица1[[#This Row],[Дата регистрации клента]])/30</f>
        <v>44.766666666666666</v>
      </c>
      <c r="S158" s="63" t="str">
        <f>VLOOKUP(Таблица1[[#This Row],[id клиента]],Таблица8[[id клиента]:[Страна]],7,0)</f>
        <v>Таджикистан</v>
      </c>
      <c r="T158" s="26"/>
    </row>
    <row r="159" spans="1:20" ht="19.5" x14ac:dyDescent="0.4">
      <c r="A159" s="37">
        <v>158</v>
      </c>
      <c r="B159" s="31">
        <v>476</v>
      </c>
      <c r="C159" s="31">
        <v>286</v>
      </c>
      <c r="D159" s="31">
        <v>2</v>
      </c>
      <c r="E159" s="31">
        <v>572</v>
      </c>
      <c r="F159" s="38">
        <v>44973</v>
      </c>
      <c r="G159" s="31" t="s">
        <v>19</v>
      </c>
      <c r="H159" s="31">
        <v>397</v>
      </c>
      <c r="I159" s="31" t="str">
        <f>VLOOKUP(продажи!$B159,товар!$A$1:$C$433,2)</f>
        <v>Рыба</v>
      </c>
      <c r="J159" s="31" t="str">
        <f>VLOOKUP(B159,товар!$A$1:$C$433,3)</f>
        <v>Балтийский берег</v>
      </c>
      <c r="K159" s="39">
        <f>AVERAGEIF(продажи!$I$2:$I$1001,продажи!$I$2:$I$1001,продажи!$C$2:$C$1001)</f>
        <v>258.5128205128205</v>
      </c>
      <c r="L159" s="40">
        <f>продажи!$C159/продажи!$K159-1</f>
        <v>0.10632810950208293</v>
      </c>
      <c r="M159" s="33">
        <f t="shared" si="4"/>
        <v>2609</v>
      </c>
      <c r="N159" s="24">
        <f>Таблица1[[#This Row],[цена за шт в рублях]]/Таблица1[[#This Row],[средняя стоимость в категории по поставщику.]]-1</f>
        <v>-0.89037945573016486</v>
      </c>
      <c r="O159" s="26">
        <f>VLOOKUP(Таблица1[[#This Row],[id клиента]],клиенты!$A$2:$E$435,5,0)</f>
        <v>44728</v>
      </c>
      <c r="P159">
        <f>Таблица1[[#This Row],[дата создания чека]]-Таблица1[[#This Row],[Дата регистрации клента]]</f>
        <v>245</v>
      </c>
      <c r="Q159" s="26">
        <f t="shared" ca="1" si="5"/>
        <v>46059</v>
      </c>
      <c r="R159" s="51">
        <f ca="1">(TODAY()-Таблица1[[#This Row],[Дата регистрации клента]])/30</f>
        <v>44.366666666666667</v>
      </c>
      <c r="S159" s="63" t="str">
        <f>VLOOKUP(Таблица1[[#This Row],[id клиента]],Таблица8[[id клиента]:[Страна]],7,0)</f>
        <v>Беларусь</v>
      </c>
      <c r="T159" s="26"/>
    </row>
    <row r="160" spans="1:20" ht="19.5" x14ac:dyDescent="0.4">
      <c r="A160" s="41">
        <v>159</v>
      </c>
      <c r="B160" s="42">
        <v>126</v>
      </c>
      <c r="C160" s="42">
        <v>273</v>
      </c>
      <c r="D160" s="42">
        <v>3</v>
      </c>
      <c r="E160" s="42">
        <v>819</v>
      </c>
      <c r="F160" s="43">
        <v>45051</v>
      </c>
      <c r="G160" s="42" t="s">
        <v>16</v>
      </c>
      <c r="H160" s="42">
        <v>153</v>
      </c>
      <c r="I160" s="42" t="str">
        <f>VLOOKUP(продажи!$B160,товар!$A$1:$C$433,2)</f>
        <v>Сахар</v>
      </c>
      <c r="J160" s="42" t="str">
        <f>VLOOKUP(B160,товар!$A$1:$C$433,3)</f>
        <v>Русский сахар</v>
      </c>
      <c r="K160" s="44">
        <f>AVERAGEIF(продажи!$I$2:$I$1001,продажи!$I$2:$I$1001,продажи!$C$2:$C$1001)</f>
        <v>254.58333333333334</v>
      </c>
      <c r="L160" s="45">
        <f>продажи!$C160/продажи!$K160-1</f>
        <v>7.2340425531914887E-2</v>
      </c>
      <c r="M160" s="33">
        <f t="shared" si="4"/>
        <v>4988</v>
      </c>
      <c r="N160" s="24">
        <f>Таблица1[[#This Row],[цена за шт в рублях]]/Таблица1[[#This Row],[средняя стоимость в категории по поставщику.]]-1</f>
        <v>-0.94526864474739369</v>
      </c>
      <c r="O160" s="26">
        <f>VLOOKUP(Таблица1[[#This Row],[id клиента]],клиенты!$A$2:$E$435,5,0)</f>
        <v>44802</v>
      </c>
      <c r="P160">
        <f>Таблица1[[#This Row],[дата создания чека]]-Таблица1[[#This Row],[Дата регистрации клента]]</f>
        <v>249</v>
      </c>
      <c r="Q160" s="26">
        <f t="shared" ca="1" si="5"/>
        <v>46059</v>
      </c>
      <c r="R160" s="51">
        <f ca="1">(TODAY()-Таблица1[[#This Row],[Дата регистрации клента]])/30</f>
        <v>41.9</v>
      </c>
      <c r="S160" s="63" t="str">
        <f>VLOOKUP(Таблица1[[#This Row],[id клиента]],Таблица8[[id клиента]:[Страна]],7,0)</f>
        <v>Россия</v>
      </c>
      <c r="T160" s="26"/>
    </row>
    <row r="161" spans="1:20" ht="19.5" x14ac:dyDescent="0.4">
      <c r="A161" s="37">
        <v>160</v>
      </c>
      <c r="B161" s="31">
        <v>255</v>
      </c>
      <c r="C161" s="31">
        <v>279</v>
      </c>
      <c r="D161" s="31">
        <v>3</v>
      </c>
      <c r="E161" s="31">
        <v>837</v>
      </c>
      <c r="F161" s="38">
        <v>45081</v>
      </c>
      <c r="G161" s="31" t="s">
        <v>10</v>
      </c>
      <c r="H161" s="31">
        <v>286</v>
      </c>
      <c r="I161" s="31" t="str">
        <f>VLOOKUP(продажи!$B161,товар!$A$1:$C$433,2)</f>
        <v>Кофе</v>
      </c>
      <c r="J161" s="31" t="str">
        <f>VLOOKUP(B161,товар!$A$1:$C$433,3)</f>
        <v>Nescafe</v>
      </c>
      <c r="K161" s="39">
        <f>AVERAGEIF(продажи!$I$2:$I$1001,продажи!$I$2:$I$1001,продажи!$C$2:$C$1001)</f>
        <v>249.02380952380952</v>
      </c>
      <c r="L161" s="40">
        <f>продажи!$C161/продажи!$K161-1</f>
        <v>0.12037479682570029</v>
      </c>
      <c r="M161" s="33">
        <f t="shared" si="4"/>
        <v>2569</v>
      </c>
      <c r="N161" s="24">
        <f>Таблица1[[#This Row],[цена за шт в рублях]]/Таблица1[[#This Row],[средняя стоимость в категории по поставщику.]]-1</f>
        <v>-0.89139743090696766</v>
      </c>
      <c r="O161" s="26">
        <f>VLOOKUP(Таблица1[[#This Row],[id клиента]],клиенты!$A$2:$E$435,5,0)</f>
        <v>44563</v>
      </c>
      <c r="P161">
        <f>Таблица1[[#This Row],[дата создания чека]]-Таблица1[[#This Row],[Дата регистрации клента]]</f>
        <v>518</v>
      </c>
      <c r="Q161" s="26">
        <f t="shared" ca="1" si="5"/>
        <v>46059</v>
      </c>
      <c r="R161" s="51">
        <f ca="1">(TODAY()-Таблица1[[#This Row],[Дата регистрации клента]])/30</f>
        <v>49.866666666666667</v>
      </c>
      <c r="S161" s="63" t="str">
        <f>VLOOKUP(Таблица1[[#This Row],[id клиента]],Таблица8[[id клиента]:[Страна]],7,0)</f>
        <v>Таджикистан</v>
      </c>
      <c r="T161" s="26"/>
    </row>
    <row r="162" spans="1:20" ht="19.5" x14ac:dyDescent="0.4">
      <c r="A162" s="41">
        <v>161</v>
      </c>
      <c r="B162" s="42">
        <v>138</v>
      </c>
      <c r="C162" s="42">
        <v>210</v>
      </c>
      <c r="D162" s="42">
        <v>2</v>
      </c>
      <c r="E162" s="42">
        <v>420</v>
      </c>
      <c r="F162" s="43">
        <v>45012</v>
      </c>
      <c r="G162" s="42" t="s">
        <v>13</v>
      </c>
      <c r="H162" s="42">
        <v>14</v>
      </c>
      <c r="I162" s="42" t="str">
        <f>VLOOKUP(продажи!$B162,товар!$A$1:$C$433,2)</f>
        <v>Сыр</v>
      </c>
      <c r="J162" s="42" t="str">
        <f>VLOOKUP(B162,товар!$A$1:$C$433,3)</f>
        <v>Сырная долина</v>
      </c>
      <c r="K162" s="44">
        <f>AVERAGEIF(продажи!$I$2:$I$1001,продажи!$I$2:$I$1001,продажи!$C$2:$C$1001)</f>
        <v>261.03225806451616</v>
      </c>
      <c r="L162" s="45">
        <f>продажи!$C162/продажи!$K162-1</f>
        <v>-0.19550173010380634</v>
      </c>
      <c r="M162" s="33">
        <f t="shared" si="4"/>
        <v>8943</v>
      </c>
      <c r="N162" s="24">
        <f>Таблица1[[#This Row],[цена за шт в рублях]]/Таблица1[[#This Row],[средняя стоимость в категории по поставщику.]]-1</f>
        <v>-0.97651794699765182</v>
      </c>
      <c r="O162" s="26">
        <f>VLOOKUP(Таблица1[[#This Row],[id клиента]],клиенты!$A$2:$E$435,5,0)</f>
        <v>44775</v>
      </c>
      <c r="P162">
        <f>Таблица1[[#This Row],[дата создания чека]]-Таблица1[[#This Row],[Дата регистрации клента]]</f>
        <v>237</v>
      </c>
      <c r="Q162" s="26">
        <f t="shared" ca="1" si="5"/>
        <v>46059</v>
      </c>
      <c r="R162" s="51">
        <f ca="1">(TODAY()-Таблица1[[#This Row],[Дата регистрации клента]])/30</f>
        <v>42.8</v>
      </c>
      <c r="S162" s="63" t="str">
        <f>VLOOKUP(Таблица1[[#This Row],[id клиента]],Таблица8[[id клиента]:[Страна]],7,0)</f>
        <v>Таджикистан</v>
      </c>
      <c r="T162" s="26"/>
    </row>
    <row r="163" spans="1:20" ht="19.5" x14ac:dyDescent="0.4">
      <c r="A163" s="37">
        <v>162</v>
      </c>
      <c r="B163" s="31">
        <v>403</v>
      </c>
      <c r="C163" s="31">
        <v>229</v>
      </c>
      <c r="D163" s="31">
        <v>1</v>
      </c>
      <c r="E163" s="31">
        <v>229</v>
      </c>
      <c r="F163" s="38">
        <v>44991</v>
      </c>
      <c r="G163" s="31" t="s">
        <v>17</v>
      </c>
      <c r="H163" s="31">
        <v>32</v>
      </c>
      <c r="I163" s="31" t="str">
        <f>VLOOKUP(продажи!$B163,товар!$A$1:$C$433,2)</f>
        <v>Чай</v>
      </c>
      <c r="J163" s="31" t="str">
        <f>VLOOKUP(B163,товар!$A$1:$C$433,3)</f>
        <v>Ахмад</v>
      </c>
      <c r="K163" s="39">
        <f>AVERAGEIF(продажи!$I$2:$I$1001,продажи!$I$2:$I$1001,продажи!$C$2:$C$1001)</f>
        <v>271.18181818181819</v>
      </c>
      <c r="L163" s="40">
        <f>продажи!$C163/продажи!$K163-1</f>
        <v>-0.15554810593362389</v>
      </c>
      <c r="M163" s="33">
        <f t="shared" si="4"/>
        <v>2433</v>
      </c>
      <c r="N163" s="24">
        <f>Таблица1[[#This Row],[цена за шт в рублях]]/Таблица1[[#This Row],[средняя стоимость в категории по поставщику.]]-1</f>
        <v>-0.90587751746814638</v>
      </c>
      <c r="O163" s="26">
        <f>VLOOKUP(Таблица1[[#This Row],[id клиента]],клиенты!$A$2:$E$435,5,0)</f>
        <v>44922</v>
      </c>
      <c r="P163">
        <f>Таблица1[[#This Row],[дата создания чека]]-Таблица1[[#This Row],[Дата регистрации клента]]</f>
        <v>69</v>
      </c>
      <c r="Q163" s="26">
        <f t="shared" ca="1" si="5"/>
        <v>46059</v>
      </c>
      <c r="R163" s="51">
        <f ca="1">(TODAY()-Таблица1[[#This Row],[Дата регистрации клента]])/30</f>
        <v>37.9</v>
      </c>
      <c r="S163" s="63" t="str">
        <f>VLOOKUP(Таблица1[[#This Row],[id клиента]],Таблица8[[id клиента]:[Страна]],7,0)</f>
        <v>Узбекистан</v>
      </c>
      <c r="T163" s="26"/>
    </row>
    <row r="164" spans="1:20" ht="19.5" x14ac:dyDescent="0.4">
      <c r="A164" s="41">
        <v>163</v>
      </c>
      <c r="B164" s="42">
        <v>280</v>
      </c>
      <c r="C164" s="42">
        <v>192</v>
      </c>
      <c r="D164" s="42">
        <v>2</v>
      </c>
      <c r="E164" s="42">
        <v>384</v>
      </c>
      <c r="F164" s="43">
        <v>45283</v>
      </c>
      <c r="G164" s="42" t="s">
        <v>8</v>
      </c>
      <c r="H164" s="42">
        <v>49</v>
      </c>
      <c r="I164" s="42" t="str">
        <f>VLOOKUP(продажи!$B164,товар!$A$1:$C$433,2)</f>
        <v>Сыр</v>
      </c>
      <c r="J164" s="42" t="str">
        <f>VLOOKUP(B164,товар!$A$1:$C$433,3)</f>
        <v>President</v>
      </c>
      <c r="K164" s="44">
        <f>AVERAGEIF(продажи!$I$2:$I$1001,продажи!$I$2:$I$1001,продажи!$C$2:$C$1001)</f>
        <v>261.03225806451616</v>
      </c>
      <c r="L164" s="45">
        <f>продажи!$C164/продажи!$K164-1</f>
        <v>-0.26445872466633724</v>
      </c>
      <c r="M164" s="33">
        <f t="shared" si="4"/>
        <v>3935</v>
      </c>
      <c r="N164" s="24">
        <f>Таблица1[[#This Row],[цена за шт в рублях]]/Таблица1[[#This Row],[средняя стоимость в категории по поставщику.]]-1</f>
        <v>-0.95120711562897076</v>
      </c>
      <c r="O164" s="26">
        <f>VLOOKUP(Таблица1[[#This Row],[id клиента]],клиенты!$A$2:$E$435,5,0)</f>
        <v>44672</v>
      </c>
      <c r="P164">
        <f>Таблица1[[#This Row],[дата создания чека]]-Таблица1[[#This Row],[Дата регистрации клента]]</f>
        <v>611</v>
      </c>
      <c r="Q164" s="26">
        <f t="shared" ca="1" si="5"/>
        <v>46059</v>
      </c>
      <c r="R164" s="51">
        <f ca="1">(TODAY()-Таблица1[[#This Row],[Дата регистрации клента]])/30</f>
        <v>46.233333333333334</v>
      </c>
      <c r="S164" s="63" t="str">
        <f>VLOOKUP(Таблица1[[#This Row],[id клиента]],Таблица8[[id клиента]:[Страна]],7,0)</f>
        <v>Таджикистан</v>
      </c>
      <c r="T164" s="26"/>
    </row>
    <row r="165" spans="1:20" ht="19.5" x14ac:dyDescent="0.4">
      <c r="A165" s="37">
        <v>164</v>
      </c>
      <c r="B165" s="31">
        <v>356</v>
      </c>
      <c r="C165" s="31">
        <v>373</v>
      </c>
      <c r="D165" s="31">
        <v>1</v>
      </c>
      <c r="E165" s="31">
        <v>373</v>
      </c>
      <c r="F165" s="38">
        <v>45291</v>
      </c>
      <c r="G165" s="31" t="s">
        <v>10</v>
      </c>
      <c r="H165" s="31">
        <v>115</v>
      </c>
      <c r="I165" s="31" t="str">
        <f>VLOOKUP(продажи!$B165,товар!$A$1:$C$433,2)</f>
        <v>Печенье</v>
      </c>
      <c r="J165" s="31" t="str">
        <f>VLOOKUP(B165,товар!$A$1:$C$433,3)</f>
        <v>Посиделкино</v>
      </c>
      <c r="K165" s="39">
        <f>AVERAGEIF(продажи!$I$2:$I$1001,продажи!$I$2:$I$1001,продажи!$C$2:$C$1001)</f>
        <v>283.468085106383</v>
      </c>
      <c r="L165" s="40">
        <f>продажи!$C165/продажи!$K165-1</f>
        <v>0.31584477970427072</v>
      </c>
      <c r="M165" s="33">
        <f t="shared" si="4"/>
        <v>3538</v>
      </c>
      <c r="N165" s="24">
        <f>Таблица1[[#This Row],[цена за шт в рублях]]/Таблица1[[#This Row],[средняя стоимость в категории по поставщику.]]-1</f>
        <v>-0.89457320520067829</v>
      </c>
      <c r="O165" s="26">
        <f>VLOOKUP(Таблица1[[#This Row],[id клиента]],клиенты!$A$2:$E$435,5,0)</f>
        <v>44832</v>
      </c>
      <c r="P165">
        <f>Таблица1[[#This Row],[дата создания чека]]-Таблица1[[#This Row],[Дата регистрации клента]]</f>
        <v>459</v>
      </c>
      <c r="Q165" s="26">
        <f t="shared" ca="1" si="5"/>
        <v>46059</v>
      </c>
      <c r="R165" s="51">
        <f ca="1">(TODAY()-Таблица1[[#This Row],[Дата регистрации клента]])/30</f>
        <v>40.9</v>
      </c>
      <c r="S165" s="63" t="str">
        <f>VLOOKUP(Таблица1[[#This Row],[id клиента]],Таблица8[[id клиента]:[Страна]],7,0)</f>
        <v>Беларусь</v>
      </c>
      <c r="T165" s="26"/>
    </row>
    <row r="166" spans="1:20" ht="19.5" x14ac:dyDescent="0.4">
      <c r="A166" s="41">
        <v>165</v>
      </c>
      <c r="B166" s="42">
        <v>41</v>
      </c>
      <c r="C166" s="42">
        <v>315</v>
      </c>
      <c r="D166" s="42">
        <v>3</v>
      </c>
      <c r="E166" s="42">
        <v>945</v>
      </c>
      <c r="F166" s="43">
        <v>45202</v>
      </c>
      <c r="G166" s="42" t="s">
        <v>21</v>
      </c>
      <c r="H166" s="42">
        <v>420</v>
      </c>
      <c r="I166" s="42" t="str">
        <f>VLOOKUP(продажи!$B166,товар!$A$1:$C$433,2)</f>
        <v>Рис</v>
      </c>
      <c r="J166" s="42" t="str">
        <f>VLOOKUP(B166,товар!$A$1:$C$433,3)</f>
        <v>Агро-Альянс</v>
      </c>
      <c r="K166" s="44">
        <f>AVERAGEIF(продажи!$I$2:$I$1001,продажи!$I$2:$I$1001,продажи!$C$2:$C$1001)</f>
        <v>258.375</v>
      </c>
      <c r="L166" s="45">
        <f>продажи!$C166/продажи!$K166-1</f>
        <v>0.21915820029027566</v>
      </c>
      <c r="M166" s="33">
        <f t="shared" si="4"/>
        <v>2225</v>
      </c>
      <c r="N166" s="24">
        <f>Таблица1[[#This Row],[цена за шт в рублях]]/Таблица1[[#This Row],[средняя стоимость в категории по поставщику.]]-1</f>
        <v>-0.85842696629213489</v>
      </c>
      <c r="O166" s="26">
        <f>VLOOKUP(Таблица1[[#This Row],[id клиента]],клиенты!$A$2:$E$435,5,0)</f>
        <v>44698</v>
      </c>
      <c r="P166">
        <f>Таблица1[[#This Row],[дата создания чека]]-Таблица1[[#This Row],[Дата регистрации клента]]</f>
        <v>504</v>
      </c>
      <c r="Q166" s="26">
        <f t="shared" ca="1" si="5"/>
        <v>46059</v>
      </c>
      <c r="R166" s="51">
        <f ca="1">(TODAY()-Таблица1[[#This Row],[Дата регистрации клента]])/30</f>
        <v>45.366666666666667</v>
      </c>
      <c r="S166" s="63" t="str">
        <f>VLOOKUP(Таблица1[[#This Row],[id клиента]],Таблица8[[id клиента]:[Страна]],7,0)</f>
        <v>Украина</v>
      </c>
      <c r="T166" s="26"/>
    </row>
    <row r="167" spans="1:20" ht="19.5" x14ac:dyDescent="0.4">
      <c r="A167" s="37">
        <v>166</v>
      </c>
      <c r="B167" s="31">
        <v>379</v>
      </c>
      <c r="C167" s="31">
        <v>321</v>
      </c>
      <c r="D167" s="31">
        <v>5</v>
      </c>
      <c r="E167" s="31">
        <v>1605</v>
      </c>
      <c r="F167" s="38">
        <v>45032</v>
      </c>
      <c r="G167" s="31" t="s">
        <v>17</v>
      </c>
      <c r="H167" s="31">
        <v>47</v>
      </c>
      <c r="I167" s="31" t="str">
        <f>VLOOKUP(продажи!$B167,товар!$A$1:$C$433,2)</f>
        <v>Йогурт</v>
      </c>
      <c r="J167" s="31" t="str">
        <f>VLOOKUP(B167,товар!$A$1:$C$433,3)</f>
        <v>Активиа</v>
      </c>
      <c r="K167" s="39">
        <f>AVERAGEIF(продажи!$I$2:$I$1001,продажи!$I$2:$I$1001,продажи!$C$2:$C$1001)</f>
        <v>263.25423728813558</v>
      </c>
      <c r="L167" s="40">
        <f>продажи!$C167/продажи!$K167-1</f>
        <v>0.21935359258305431</v>
      </c>
      <c r="M167" s="33">
        <f t="shared" si="4"/>
        <v>1762</v>
      </c>
      <c r="N167" s="24">
        <f>Таблица1[[#This Row],[цена за шт в рублях]]/Таблица1[[#This Row],[средняя стоимость в категории по поставщику.]]-1</f>
        <v>-0.81782065834279227</v>
      </c>
      <c r="O167" s="26">
        <f>VLOOKUP(Таблица1[[#This Row],[id клиента]],клиенты!$A$2:$E$435,5,0)</f>
        <v>44693</v>
      </c>
      <c r="P167">
        <f>Таблица1[[#This Row],[дата создания чека]]-Таблица1[[#This Row],[Дата регистрации клента]]</f>
        <v>339</v>
      </c>
      <c r="Q167" s="26">
        <f t="shared" ca="1" si="5"/>
        <v>46059</v>
      </c>
      <c r="R167" s="51">
        <f ca="1">(TODAY()-Таблица1[[#This Row],[Дата регистрации клента]])/30</f>
        <v>45.533333333333331</v>
      </c>
      <c r="S167" s="63" t="str">
        <f>VLOOKUP(Таблица1[[#This Row],[id клиента]],Таблица8[[id клиента]:[Страна]],7,0)</f>
        <v>Беларусь</v>
      </c>
      <c r="T167" s="26"/>
    </row>
    <row r="168" spans="1:20" ht="19.5" x14ac:dyDescent="0.4">
      <c r="A168" s="41">
        <v>167</v>
      </c>
      <c r="B168" s="42">
        <v>282</v>
      </c>
      <c r="C168" s="42">
        <v>189</v>
      </c>
      <c r="D168" s="42">
        <v>2</v>
      </c>
      <c r="E168" s="42">
        <v>378</v>
      </c>
      <c r="F168" s="43">
        <v>45158</v>
      </c>
      <c r="G168" s="42" t="s">
        <v>17</v>
      </c>
      <c r="H168" s="42">
        <v>202</v>
      </c>
      <c r="I168" s="42" t="str">
        <f>VLOOKUP(продажи!$B168,товар!$A$1:$C$433,2)</f>
        <v>Рис</v>
      </c>
      <c r="J168" s="42" t="str">
        <f>VLOOKUP(B168,товар!$A$1:$C$433,3)</f>
        <v>Агро-Альянс</v>
      </c>
      <c r="K168" s="44">
        <f>AVERAGEIF(продажи!$I$2:$I$1001,продажи!$I$2:$I$1001,продажи!$C$2:$C$1001)</f>
        <v>258.375</v>
      </c>
      <c r="L168" s="45">
        <f>продажи!$C168/продажи!$K168-1</f>
        <v>-0.26850507982583449</v>
      </c>
      <c r="M168" s="33">
        <f t="shared" si="4"/>
        <v>2225</v>
      </c>
      <c r="N168" s="24">
        <f>Таблица1[[#This Row],[цена за шт в рублях]]/Таблица1[[#This Row],[средняя стоимость в категории по поставщику.]]-1</f>
        <v>-0.91505617977528086</v>
      </c>
      <c r="O168" s="26">
        <f>VLOOKUP(Таблица1[[#This Row],[id клиента]],клиенты!$A$2:$E$435,5,0)</f>
        <v>44766</v>
      </c>
      <c r="P168">
        <f>Таблица1[[#This Row],[дата создания чека]]-Таблица1[[#This Row],[Дата регистрации клента]]</f>
        <v>392</v>
      </c>
      <c r="Q168" s="26">
        <f t="shared" ca="1" si="5"/>
        <v>46059</v>
      </c>
      <c r="R168" s="51">
        <f ca="1">(TODAY()-Таблица1[[#This Row],[Дата регистрации клента]])/30</f>
        <v>43.1</v>
      </c>
      <c r="S168" s="63" t="str">
        <f>VLOOKUP(Таблица1[[#This Row],[id клиента]],Таблица8[[id клиента]:[Страна]],7,0)</f>
        <v>Беларусь</v>
      </c>
      <c r="T168" s="26"/>
    </row>
    <row r="169" spans="1:20" ht="19.5" x14ac:dyDescent="0.4">
      <c r="A169" s="37">
        <v>168</v>
      </c>
      <c r="B169" s="31">
        <v>459</v>
      </c>
      <c r="C169" s="31">
        <v>405</v>
      </c>
      <c r="D169" s="31">
        <v>3</v>
      </c>
      <c r="E169" s="31">
        <v>1215</v>
      </c>
      <c r="F169" s="38">
        <v>44949</v>
      </c>
      <c r="G169" s="31" t="s">
        <v>10</v>
      </c>
      <c r="H169" s="31">
        <v>37</v>
      </c>
      <c r="I169" s="31" t="str">
        <f>VLOOKUP(продажи!$B169,товар!$A$1:$C$433,2)</f>
        <v>Крупа</v>
      </c>
      <c r="J169" s="31" t="str">
        <f>VLOOKUP(B169,товар!$A$1:$C$433,3)</f>
        <v>Националь</v>
      </c>
      <c r="K169" s="39">
        <f>AVERAGEIF(продажи!$I$2:$I$1001,продажи!$I$2:$I$1001,продажи!$C$2:$C$1001)</f>
        <v>255.11627906976744</v>
      </c>
      <c r="L169" s="40">
        <f>продажи!$C169/продажи!$K169-1</f>
        <v>0.58751139471285319</v>
      </c>
      <c r="M169" s="33">
        <f t="shared" si="4"/>
        <v>1920</v>
      </c>
      <c r="N169" s="24">
        <f>Таблица1[[#This Row],[цена за шт в рублях]]/Таблица1[[#This Row],[средняя стоимость в категории по поставщику.]]-1</f>
        <v>-0.7890625</v>
      </c>
      <c r="O169" s="26">
        <f>VLOOKUP(Таблица1[[#This Row],[id клиента]],клиенты!$A$2:$E$435,5,0)</f>
        <v>44728</v>
      </c>
      <c r="P169">
        <f>Таблица1[[#This Row],[дата создания чека]]-Таблица1[[#This Row],[Дата регистрации клента]]</f>
        <v>221</v>
      </c>
      <c r="Q169" s="26">
        <f t="shared" ca="1" si="5"/>
        <v>46059</v>
      </c>
      <c r="R169" s="51">
        <f ca="1">(TODAY()-Таблица1[[#This Row],[Дата регистрации клента]])/30</f>
        <v>44.366666666666667</v>
      </c>
      <c r="S169" s="63" t="str">
        <f>VLOOKUP(Таблица1[[#This Row],[id клиента]],Таблица8[[id клиента]:[Страна]],7,0)</f>
        <v>Украина</v>
      </c>
      <c r="T169" s="26"/>
    </row>
    <row r="170" spans="1:20" ht="19.5" x14ac:dyDescent="0.4">
      <c r="A170" s="41">
        <v>169</v>
      </c>
      <c r="B170" s="42">
        <v>402</v>
      </c>
      <c r="C170" s="42">
        <v>426</v>
      </c>
      <c r="D170" s="42">
        <v>2</v>
      </c>
      <c r="E170" s="42">
        <v>852</v>
      </c>
      <c r="F170" s="43">
        <v>45099</v>
      </c>
      <c r="G170" s="42" t="s">
        <v>25</v>
      </c>
      <c r="H170" s="42">
        <v>366</v>
      </c>
      <c r="I170" s="42" t="str">
        <f>VLOOKUP(продажи!$B170,товар!$A$1:$C$433,2)</f>
        <v>Хлеб</v>
      </c>
      <c r="J170" s="42" t="str">
        <f>VLOOKUP(B170,товар!$A$1:$C$433,3)</f>
        <v>Каравай</v>
      </c>
      <c r="K170" s="44">
        <f>AVERAGEIF(продажи!$I$2:$I$1001,продажи!$I$2:$I$1001,продажи!$C$2:$C$1001)</f>
        <v>300.31818181818181</v>
      </c>
      <c r="L170" s="45">
        <f>продажи!$C170/продажи!$K170-1</f>
        <v>0.41849553503859549</v>
      </c>
      <c r="M170" s="33">
        <f t="shared" si="4"/>
        <v>3974</v>
      </c>
      <c r="N170" s="24">
        <f>Таблица1[[#This Row],[цена за шт в рублях]]/Таблица1[[#This Row],[средняя стоимость в категории по поставщику.]]-1</f>
        <v>-0.89280322093608455</v>
      </c>
      <c r="O170" s="26">
        <f>VLOOKUP(Таблица1[[#This Row],[id клиента]],клиенты!$A$2:$E$435,5,0)</f>
        <v>44827</v>
      </c>
      <c r="P170">
        <f>Таблица1[[#This Row],[дата создания чека]]-Таблица1[[#This Row],[Дата регистрации клента]]</f>
        <v>272</v>
      </c>
      <c r="Q170" s="26">
        <f t="shared" ca="1" si="5"/>
        <v>46059</v>
      </c>
      <c r="R170" s="51">
        <f ca="1">(TODAY()-Таблица1[[#This Row],[Дата регистрации клента]])/30</f>
        <v>41.06666666666667</v>
      </c>
      <c r="S170" s="63" t="str">
        <f>VLOOKUP(Таблица1[[#This Row],[id клиента]],Таблица8[[id клиента]:[Страна]],7,0)</f>
        <v>Узбекистан</v>
      </c>
      <c r="T170" s="26"/>
    </row>
    <row r="171" spans="1:20" ht="19.5" x14ac:dyDescent="0.4">
      <c r="A171" s="37">
        <v>170</v>
      </c>
      <c r="B171" s="31">
        <v>320</v>
      </c>
      <c r="C171" s="31">
        <v>271</v>
      </c>
      <c r="D171" s="31">
        <v>1</v>
      </c>
      <c r="E171" s="31">
        <v>271</v>
      </c>
      <c r="F171" s="38">
        <v>45412</v>
      </c>
      <c r="G171" s="31" t="s">
        <v>27</v>
      </c>
      <c r="H171" s="31">
        <v>434</v>
      </c>
      <c r="I171" s="31" t="str">
        <f>VLOOKUP(продажи!$B171,товар!$A$1:$C$433,2)</f>
        <v>Конфеты</v>
      </c>
      <c r="J171" s="31" t="str">
        <f>VLOOKUP(B171,товар!$A$1:$C$433,3)</f>
        <v>Бабаевский</v>
      </c>
      <c r="K171" s="39">
        <f>AVERAGEIF(продажи!$I$2:$I$1001,продажи!$I$2:$I$1001,продажи!$C$2:$C$1001)</f>
        <v>267.85483870967744</v>
      </c>
      <c r="L171" s="40">
        <f>продажи!$C171/продажи!$K171-1</f>
        <v>1.1742036490636432E-2</v>
      </c>
      <c r="M171" s="33">
        <f t="shared" si="4"/>
        <v>6757</v>
      </c>
      <c r="N171" s="24">
        <f>Таблица1[[#This Row],[цена за шт в рублях]]/Таблица1[[#This Row],[средняя стоимость в категории по поставщику.]]-1</f>
        <v>-0.95989344383602193</v>
      </c>
      <c r="O171" s="26">
        <f>VLOOKUP(Таблица1[[#This Row],[id клиента]],клиенты!$A$2:$E$435,5,0)</f>
        <v>44730</v>
      </c>
      <c r="P171">
        <f>Таблица1[[#This Row],[дата создания чека]]-Таблица1[[#This Row],[Дата регистрации клента]]</f>
        <v>682</v>
      </c>
      <c r="Q171" s="26">
        <f t="shared" ca="1" si="5"/>
        <v>46059</v>
      </c>
      <c r="R171" s="51">
        <f ca="1">(TODAY()-Таблица1[[#This Row],[Дата регистрации клента]])/30</f>
        <v>44.3</v>
      </c>
      <c r="S171" s="63" t="str">
        <f>VLOOKUP(Таблица1[[#This Row],[id клиента]],Таблица8[[id клиента]:[Страна]],7,0)</f>
        <v>Украина</v>
      </c>
      <c r="T171" s="26"/>
    </row>
    <row r="172" spans="1:20" ht="19.5" x14ac:dyDescent="0.4">
      <c r="A172" s="41">
        <v>171</v>
      </c>
      <c r="B172" s="42">
        <v>19</v>
      </c>
      <c r="C172" s="42">
        <v>96</v>
      </c>
      <c r="D172" s="42">
        <v>4</v>
      </c>
      <c r="E172" s="42">
        <v>384</v>
      </c>
      <c r="F172" s="43">
        <v>45041</v>
      </c>
      <c r="G172" s="42" t="s">
        <v>9</v>
      </c>
      <c r="H172" s="42">
        <v>172</v>
      </c>
      <c r="I172" s="42" t="str">
        <f>VLOOKUP(продажи!$B172,товар!$A$1:$C$433,2)</f>
        <v>Мясо</v>
      </c>
      <c r="J172" s="42" t="str">
        <f>VLOOKUP(B172,товар!$A$1:$C$433,3)</f>
        <v>Снежана</v>
      </c>
      <c r="K172" s="44">
        <f>AVERAGEIF(продажи!$I$2:$I$1001,продажи!$I$2:$I$1001,продажи!$C$2:$C$1001)</f>
        <v>271.74545454545455</v>
      </c>
      <c r="L172" s="45">
        <f>продажи!$C172/продажи!$K172-1</f>
        <v>-0.6467282215977519</v>
      </c>
      <c r="M172" s="33">
        <f t="shared" si="4"/>
        <v>4630</v>
      </c>
      <c r="N172" s="24">
        <f>Таблица1[[#This Row],[цена за шт в рублях]]/Таблица1[[#This Row],[средняя стоимость в категории по поставщику.]]-1</f>
        <v>-0.97926565874730021</v>
      </c>
      <c r="O172" s="26">
        <f>VLOOKUP(Таблица1[[#This Row],[id клиента]],клиенты!$A$2:$E$435,5,0)</f>
        <v>44737</v>
      </c>
      <c r="P172">
        <f>Таблица1[[#This Row],[дата создания чека]]-Таблица1[[#This Row],[Дата регистрации клента]]</f>
        <v>304</v>
      </c>
      <c r="Q172" s="26">
        <f t="shared" ca="1" si="5"/>
        <v>46059</v>
      </c>
      <c r="R172" s="51">
        <f ca="1">(TODAY()-Таблица1[[#This Row],[Дата регистрации клента]])/30</f>
        <v>44.06666666666667</v>
      </c>
      <c r="S172" s="63" t="str">
        <f>VLOOKUP(Таблица1[[#This Row],[id клиента]],Таблица8[[id клиента]:[Страна]],7,0)</f>
        <v>Россия</v>
      </c>
      <c r="T172" s="26"/>
    </row>
    <row r="173" spans="1:20" ht="19.5" x14ac:dyDescent="0.4">
      <c r="A173" s="37">
        <v>172</v>
      </c>
      <c r="B173" s="31">
        <v>447</v>
      </c>
      <c r="C173" s="31">
        <v>65</v>
      </c>
      <c r="D173" s="31">
        <v>1</v>
      </c>
      <c r="E173" s="31">
        <v>65</v>
      </c>
      <c r="F173" s="38">
        <v>45341</v>
      </c>
      <c r="G173" s="31" t="s">
        <v>11</v>
      </c>
      <c r="H173" s="31">
        <v>52</v>
      </c>
      <c r="I173" s="31" t="str">
        <f>VLOOKUP(продажи!$B173,товар!$A$1:$C$433,2)</f>
        <v>Йогурт</v>
      </c>
      <c r="J173" s="31" t="str">
        <f>VLOOKUP(B173,товар!$A$1:$C$433,3)</f>
        <v>Эрманн</v>
      </c>
      <c r="K173" s="39">
        <f>AVERAGEIF(продажи!$I$2:$I$1001,продажи!$I$2:$I$1001,продажи!$C$2:$C$1001)</f>
        <v>263.25423728813558</v>
      </c>
      <c r="L173" s="40">
        <f>продажи!$C173/продажи!$K173-1</f>
        <v>-0.75309039402523825</v>
      </c>
      <c r="M173" s="33">
        <f t="shared" si="4"/>
        <v>4970</v>
      </c>
      <c r="N173" s="24">
        <f>Таблица1[[#This Row],[цена за шт в рублях]]/Таблица1[[#This Row],[средняя стоимость в категории по поставщику.]]-1</f>
        <v>-0.98692152917505027</v>
      </c>
      <c r="O173" s="26">
        <f>VLOOKUP(Таблица1[[#This Row],[id клиента]],клиенты!$A$2:$E$435,5,0)</f>
        <v>44917</v>
      </c>
      <c r="P173">
        <f>Таблица1[[#This Row],[дата создания чека]]-Таблица1[[#This Row],[Дата регистрации клента]]</f>
        <v>424</v>
      </c>
      <c r="Q173" s="26">
        <f t="shared" ca="1" si="5"/>
        <v>46059</v>
      </c>
      <c r="R173" s="51">
        <f ca="1">(TODAY()-Таблица1[[#This Row],[Дата регистрации клента]])/30</f>
        <v>38.06666666666667</v>
      </c>
      <c r="S173" s="63" t="str">
        <f>VLOOKUP(Таблица1[[#This Row],[id клиента]],Таблица8[[id клиента]:[Страна]],7,0)</f>
        <v>Россия</v>
      </c>
      <c r="T173" s="26"/>
    </row>
    <row r="174" spans="1:20" ht="19.5" x14ac:dyDescent="0.4">
      <c r="A174" s="41">
        <v>173</v>
      </c>
      <c r="B174" s="42">
        <v>406</v>
      </c>
      <c r="C174" s="42">
        <v>426</v>
      </c>
      <c r="D174" s="42">
        <v>1</v>
      </c>
      <c r="E174" s="42">
        <v>426</v>
      </c>
      <c r="F174" s="43">
        <v>45289</v>
      </c>
      <c r="G174" s="42" t="s">
        <v>12</v>
      </c>
      <c r="H174" s="42">
        <v>395</v>
      </c>
      <c r="I174" s="42" t="str">
        <f>VLOOKUP(продажи!$B174,товар!$A$1:$C$433,2)</f>
        <v>Сок</v>
      </c>
      <c r="J174" s="42" t="str">
        <f>VLOOKUP(B174,товар!$A$1:$C$433,3)</f>
        <v>Фруктовый сад</v>
      </c>
      <c r="K174" s="44">
        <f>AVERAGEIF(продажи!$I$2:$I$1001,продажи!$I$2:$I$1001,продажи!$C$2:$C$1001)</f>
        <v>268.60344827586209</v>
      </c>
      <c r="L174" s="45">
        <f>продажи!$C174/продажи!$K174-1</f>
        <v>0.58598112844213346</v>
      </c>
      <c r="M174" s="33">
        <f t="shared" si="4"/>
        <v>9023</v>
      </c>
      <c r="N174" s="24">
        <f>Таблица1[[#This Row],[цена за шт в рублях]]/Таблица1[[#This Row],[средняя стоимость в категории по поставщику.]]-1</f>
        <v>-0.95278732129003663</v>
      </c>
      <c r="O174" s="26">
        <f>VLOOKUP(Таблица1[[#This Row],[id клиента]],клиенты!$A$2:$E$435,5,0)</f>
        <v>44890</v>
      </c>
      <c r="P174">
        <f>Таблица1[[#This Row],[дата создания чека]]-Таблица1[[#This Row],[Дата регистрации клента]]</f>
        <v>399</v>
      </c>
      <c r="Q174" s="26">
        <f t="shared" ca="1" si="5"/>
        <v>46059</v>
      </c>
      <c r="R174" s="51">
        <f ca="1">(TODAY()-Таблица1[[#This Row],[Дата регистрации клента]])/30</f>
        <v>38.966666666666669</v>
      </c>
      <c r="S174" s="63" t="str">
        <f>VLOOKUP(Таблица1[[#This Row],[id клиента]],Таблица8[[id клиента]:[Страна]],7,0)</f>
        <v>Узбекистан</v>
      </c>
      <c r="T174" s="26"/>
    </row>
    <row r="175" spans="1:20" ht="19.5" x14ac:dyDescent="0.4">
      <c r="A175" s="37">
        <v>174</v>
      </c>
      <c r="B175" s="31">
        <v>391</v>
      </c>
      <c r="C175" s="31">
        <v>356</v>
      </c>
      <c r="D175" s="31">
        <v>2</v>
      </c>
      <c r="E175" s="31">
        <v>712</v>
      </c>
      <c r="F175" s="38">
        <v>45175</v>
      </c>
      <c r="G175" s="31" t="s">
        <v>12</v>
      </c>
      <c r="H175" s="31">
        <v>46</v>
      </c>
      <c r="I175" s="31" t="str">
        <f>VLOOKUP(продажи!$B175,товар!$A$1:$C$433,2)</f>
        <v>Рыба</v>
      </c>
      <c r="J175" s="31" t="str">
        <f>VLOOKUP(B175,товар!$A$1:$C$433,3)</f>
        <v>Балтийский берег</v>
      </c>
      <c r="K175" s="39">
        <f>AVERAGEIF(продажи!$I$2:$I$1001,продажи!$I$2:$I$1001,продажи!$C$2:$C$1001)</f>
        <v>258.5128205128205</v>
      </c>
      <c r="L175" s="40">
        <f>продажи!$C175/продажи!$K175-1</f>
        <v>0.37710771672287247</v>
      </c>
      <c r="M175" s="33">
        <f t="shared" si="4"/>
        <v>2609</v>
      </c>
      <c r="N175" s="24">
        <f>Таблица1[[#This Row],[цена за шт в рублях]]/Таблица1[[#This Row],[средняя стоимость в категории по поставщику.]]-1</f>
        <v>-0.86354925258719817</v>
      </c>
      <c r="O175" s="26">
        <f>VLOOKUP(Таблица1[[#This Row],[id клиента]],клиенты!$A$2:$E$435,5,0)</f>
        <v>44636</v>
      </c>
      <c r="P175">
        <f>Таблица1[[#This Row],[дата создания чека]]-Таблица1[[#This Row],[Дата регистрации клента]]</f>
        <v>539</v>
      </c>
      <c r="Q175" s="26">
        <f t="shared" ca="1" si="5"/>
        <v>46059</v>
      </c>
      <c r="R175" s="51">
        <f ca="1">(TODAY()-Таблица1[[#This Row],[Дата регистрации клента]])/30</f>
        <v>47.43333333333333</v>
      </c>
      <c r="S175" s="63" t="str">
        <f>VLOOKUP(Таблица1[[#This Row],[id клиента]],Таблица8[[id клиента]:[Страна]],7,0)</f>
        <v>Таджикистан</v>
      </c>
      <c r="T175" s="26"/>
    </row>
    <row r="176" spans="1:20" ht="19.5" x14ac:dyDescent="0.4">
      <c r="A176" s="41">
        <v>175</v>
      </c>
      <c r="B176" s="42">
        <v>82</v>
      </c>
      <c r="C176" s="42">
        <v>233</v>
      </c>
      <c r="D176" s="42">
        <v>2</v>
      </c>
      <c r="E176" s="42">
        <v>466</v>
      </c>
      <c r="F176" s="43">
        <v>45369</v>
      </c>
      <c r="G176" s="42" t="s">
        <v>24</v>
      </c>
      <c r="H176" s="42">
        <v>361</v>
      </c>
      <c r="I176" s="42" t="str">
        <f>VLOOKUP(продажи!$B176,товар!$A$1:$C$433,2)</f>
        <v>Сыр</v>
      </c>
      <c r="J176" s="42" t="str">
        <f>VLOOKUP(B176,товар!$A$1:$C$433,3)</f>
        <v>Hochland</v>
      </c>
      <c r="K176" s="44">
        <f>AVERAGEIF(продажи!$I$2:$I$1001,продажи!$I$2:$I$1001,продажи!$C$2:$C$1001)</f>
        <v>261.03225806451616</v>
      </c>
      <c r="L176" s="45">
        <f>продажи!$C176/продажи!$K176-1</f>
        <v>-0.10739001482946131</v>
      </c>
      <c r="M176" s="33">
        <f t="shared" si="4"/>
        <v>504</v>
      </c>
      <c r="N176" s="24">
        <f>Таблица1[[#This Row],[цена за шт в рублях]]/Таблица1[[#This Row],[средняя стоимость в категории по поставщику.]]-1</f>
        <v>-0.53769841269841268</v>
      </c>
      <c r="O176" s="26">
        <f>VLOOKUP(Таблица1[[#This Row],[id клиента]],клиенты!$A$2:$E$435,5,0)</f>
        <v>44831</v>
      </c>
      <c r="P176">
        <f>Таблица1[[#This Row],[дата создания чека]]-Таблица1[[#This Row],[Дата регистрации клента]]</f>
        <v>538</v>
      </c>
      <c r="Q176" s="26">
        <f t="shared" ca="1" si="5"/>
        <v>46059</v>
      </c>
      <c r="R176" s="51">
        <f ca="1">(TODAY()-Таблица1[[#This Row],[Дата регистрации клента]])/30</f>
        <v>40.93333333333333</v>
      </c>
      <c r="S176" s="63" t="str">
        <f>VLOOKUP(Таблица1[[#This Row],[id клиента]],Таблица8[[id клиента]:[Страна]],7,0)</f>
        <v>Узбекистан</v>
      </c>
      <c r="T176" s="26"/>
    </row>
    <row r="177" spans="1:20" ht="19.5" x14ac:dyDescent="0.4">
      <c r="A177" s="37">
        <v>176</v>
      </c>
      <c r="B177" s="31">
        <v>243</v>
      </c>
      <c r="C177" s="31">
        <v>494</v>
      </c>
      <c r="D177" s="31">
        <v>5</v>
      </c>
      <c r="E177" s="31">
        <v>2470</v>
      </c>
      <c r="F177" s="38">
        <v>45353</v>
      </c>
      <c r="G177" s="31" t="s">
        <v>27</v>
      </c>
      <c r="H177" s="31">
        <v>358</v>
      </c>
      <c r="I177" s="31" t="str">
        <f>VLOOKUP(продажи!$B177,товар!$A$1:$C$433,2)</f>
        <v>Рис</v>
      </c>
      <c r="J177" s="31" t="str">
        <f>VLOOKUP(B177,товар!$A$1:$C$433,3)</f>
        <v>Белый Злат</v>
      </c>
      <c r="K177" s="39">
        <f>AVERAGEIF(продажи!$I$2:$I$1001,продажи!$I$2:$I$1001,продажи!$C$2:$C$1001)</f>
        <v>258.375</v>
      </c>
      <c r="L177" s="40">
        <f>продажи!$C177/продажи!$K177-1</f>
        <v>0.91194968553459121</v>
      </c>
      <c r="M177" s="33">
        <f t="shared" si="4"/>
        <v>4585</v>
      </c>
      <c r="N177" s="24">
        <f>Таблица1[[#This Row],[цена за шт в рублях]]/Таблица1[[#This Row],[средняя стоимость в категории по поставщику.]]-1</f>
        <v>-0.89225736095965102</v>
      </c>
      <c r="O177" s="26">
        <f>VLOOKUP(Таблица1[[#This Row],[id клиента]],клиенты!$A$2:$E$435,5,0)</f>
        <v>44771</v>
      </c>
      <c r="P177">
        <f>Таблица1[[#This Row],[дата создания чека]]-Таблица1[[#This Row],[Дата регистрации клента]]</f>
        <v>582</v>
      </c>
      <c r="Q177" s="26">
        <f t="shared" ca="1" si="5"/>
        <v>46059</v>
      </c>
      <c r="R177" s="51">
        <f ca="1">(TODAY()-Таблица1[[#This Row],[Дата регистрации клента]])/30</f>
        <v>42.93333333333333</v>
      </c>
      <c r="S177" s="63" t="str">
        <f>VLOOKUP(Таблица1[[#This Row],[id клиента]],Таблица8[[id клиента]:[Страна]],7,0)</f>
        <v>Украина</v>
      </c>
      <c r="T177" s="26"/>
    </row>
    <row r="178" spans="1:20" ht="19.5" x14ac:dyDescent="0.4">
      <c r="A178" s="41">
        <v>177</v>
      </c>
      <c r="B178" s="42">
        <v>432</v>
      </c>
      <c r="C178" s="42">
        <v>305</v>
      </c>
      <c r="D178" s="42">
        <v>3</v>
      </c>
      <c r="E178" s="42">
        <v>915</v>
      </c>
      <c r="F178" s="43">
        <v>45413</v>
      </c>
      <c r="G178" s="42" t="s">
        <v>22</v>
      </c>
      <c r="H178" s="42">
        <v>44</v>
      </c>
      <c r="I178" s="42" t="str">
        <f>VLOOKUP(продажи!$B178,товар!$A$1:$C$433,2)</f>
        <v>Макароны</v>
      </c>
      <c r="J178" s="42" t="str">
        <f>VLOOKUP(B178,товар!$A$1:$C$433,3)</f>
        <v>Борилла</v>
      </c>
      <c r="K178" s="44">
        <f>AVERAGEIF(продажи!$I$2:$I$1001,продажи!$I$2:$I$1001,продажи!$C$2:$C$1001)</f>
        <v>265.47674418604652</v>
      </c>
      <c r="L178" s="45">
        <f>продажи!$C178/продажи!$K178-1</f>
        <v>0.14887652752836056</v>
      </c>
      <c r="M178" s="33">
        <f t="shared" si="4"/>
        <v>6852</v>
      </c>
      <c r="N178" s="24">
        <f>Таблица1[[#This Row],[цена за шт в рублях]]/Таблица1[[#This Row],[средняя стоимость в категории по поставщику.]]-1</f>
        <v>-0.95548744892002335</v>
      </c>
      <c r="O178" s="26">
        <f>VLOOKUP(Таблица1[[#This Row],[id клиента]],клиенты!$A$2:$E$435,5,0)</f>
        <v>44701</v>
      </c>
      <c r="P178">
        <f>Таблица1[[#This Row],[дата создания чека]]-Таблица1[[#This Row],[Дата регистрации клента]]</f>
        <v>712</v>
      </c>
      <c r="Q178" s="26">
        <f t="shared" ca="1" si="5"/>
        <v>46059</v>
      </c>
      <c r="R178" s="51">
        <f ca="1">(TODAY()-Таблица1[[#This Row],[Дата регистрации клента]])/30</f>
        <v>45.266666666666666</v>
      </c>
      <c r="S178" s="63" t="str">
        <f>VLOOKUP(Таблица1[[#This Row],[id клиента]],Таблица8[[id клиента]:[Страна]],7,0)</f>
        <v>Беларусь</v>
      </c>
      <c r="T178" s="26"/>
    </row>
    <row r="179" spans="1:20" ht="19.5" x14ac:dyDescent="0.4">
      <c r="A179" s="37">
        <v>178</v>
      </c>
      <c r="B179" s="31">
        <v>159</v>
      </c>
      <c r="C179" s="31">
        <v>173</v>
      </c>
      <c r="D179" s="31">
        <v>4</v>
      </c>
      <c r="E179" s="31">
        <v>692</v>
      </c>
      <c r="F179" s="38">
        <v>45175</v>
      </c>
      <c r="G179" s="31" t="s">
        <v>10</v>
      </c>
      <c r="H179" s="31">
        <v>416</v>
      </c>
      <c r="I179" s="31" t="str">
        <f>VLOOKUP(продажи!$B179,товар!$A$1:$C$433,2)</f>
        <v>Крупа</v>
      </c>
      <c r="J179" s="31" t="str">
        <f>VLOOKUP(B179,товар!$A$1:$C$433,3)</f>
        <v>Националь</v>
      </c>
      <c r="K179" s="39">
        <f>AVERAGEIF(продажи!$I$2:$I$1001,продажи!$I$2:$I$1001,продажи!$C$2:$C$1001)</f>
        <v>255.11627906976744</v>
      </c>
      <c r="L179" s="40">
        <f>продажи!$C179/продажи!$K179-1</f>
        <v>-0.32187784867821334</v>
      </c>
      <c r="M179" s="33">
        <f t="shared" si="4"/>
        <v>1920</v>
      </c>
      <c r="N179" s="24">
        <f>Таблица1[[#This Row],[цена за шт в рублях]]/Таблица1[[#This Row],[средняя стоимость в категории по поставщику.]]-1</f>
        <v>-0.90989583333333335</v>
      </c>
      <c r="O179" s="26">
        <f>VLOOKUP(Таблица1[[#This Row],[id клиента]],клиенты!$A$2:$E$435,5,0)</f>
        <v>44703</v>
      </c>
      <c r="P179">
        <f>Таблица1[[#This Row],[дата создания чека]]-Таблица1[[#This Row],[Дата регистрации клента]]</f>
        <v>472</v>
      </c>
      <c r="Q179" s="26">
        <f t="shared" ca="1" si="5"/>
        <v>46059</v>
      </c>
      <c r="R179" s="51">
        <f ca="1">(TODAY()-Таблица1[[#This Row],[Дата регистрации клента]])/30</f>
        <v>45.2</v>
      </c>
      <c r="S179" s="63" t="str">
        <f>VLOOKUP(Таблица1[[#This Row],[id клиента]],Таблица8[[id клиента]:[Страна]],7,0)</f>
        <v>Таджикистан</v>
      </c>
      <c r="T179" s="26"/>
    </row>
    <row r="180" spans="1:20" ht="19.5" x14ac:dyDescent="0.4">
      <c r="A180" s="41">
        <v>179</v>
      </c>
      <c r="B180" s="42">
        <v>197</v>
      </c>
      <c r="C180" s="42">
        <v>177</v>
      </c>
      <c r="D180" s="42">
        <v>2</v>
      </c>
      <c r="E180" s="42">
        <v>354</v>
      </c>
      <c r="F180" s="43">
        <v>45165</v>
      </c>
      <c r="G180" s="42" t="s">
        <v>23</v>
      </c>
      <c r="H180" s="42">
        <v>153</v>
      </c>
      <c r="I180" s="42" t="str">
        <f>VLOOKUP(продажи!$B180,товар!$A$1:$C$433,2)</f>
        <v>Печенье</v>
      </c>
      <c r="J180" s="42" t="str">
        <f>VLOOKUP(B180,товар!$A$1:$C$433,3)</f>
        <v>Юбилейное</v>
      </c>
      <c r="K180" s="44">
        <f>AVERAGEIF(продажи!$I$2:$I$1001,продажи!$I$2:$I$1001,продажи!$C$2:$C$1001)</f>
        <v>283.468085106383</v>
      </c>
      <c r="L180" s="45">
        <f>продажи!$C180/продажи!$K180-1</f>
        <v>-0.37559108308939437</v>
      </c>
      <c r="M180" s="33">
        <f t="shared" si="4"/>
        <v>2092</v>
      </c>
      <c r="N180" s="24">
        <f>Таблица1[[#This Row],[цена за шт в рублях]]/Таблица1[[#This Row],[средняя стоимость в категории по поставщику.]]-1</f>
        <v>-0.91539196940726575</v>
      </c>
      <c r="O180" s="26">
        <f>VLOOKUP(Таблица1[[#This Row],[id клиента]],клиенты!$A$2:$E$435,5,0)</f>
        <v>44802</v>
      </c>
      <c r="P180">
        <f>Таблица1[[#This Row],[дата создания чека]]-Таблица1[[#This Row],[Дата регистрации клента]]</f>
        <v>363</v>
      </c>
      <c r="Q180" s="26">
        <f t="shared" ca="1" si="5"/>
        <v>46059</v>
      </c>
      <c r="R180" s="51">
        <f ca="1">(TODAY()-Таблица1[[#This Row],[Дата регистрации клента]])/30</f>
        <v>41.9</v>
      </c>
      <c r="S180" s="63" t="str">
        <f>VLOOKUP(Таблица1[[#This Row],[id клиента]],Таблица8[[id клиента]:[Страна]],7,0)</f>
        <v>Россия</v>
      </c>
      <c r="T180" s="26"/>
    </row>
    <row r="181" spans="1:20" ht="19.5" x14ac:dyDescent="0.4">
      <c r="A181" s="37">
        <v>180</v>
      </c>
      <c r="B181" s="31">
        <v>110</v>
      </c>
      <c r="C181" s="31">
        <v>261</v>
      </c>
      <c r="D181" s="31">
        <v>1</v>
      </c>
      <c r="E181" s="31">
        <v>261</v>
      </c>
      <c r="F181" s="38">
        <v>45325</v>
      </c>
      <c r="G181" s="31" t="s">
        <v>21</v>
      </c>
      <c r="H181" s="31">
        <v>223</v>
      </c>
      <c r="I181" s="31" t="str">
        <f>VLOOKUP(продажи!$B181,товар!$A$1:$C$433,2)</f>
        <v>Макароны</v>
      </c>
      <c r="J181" s="31" t="str">
        <f>VLOOKUP(B181,товар!$A$1:$C$433,3)</f>
        <v>Паста Зара</v>
      </c>
      <c r="K181" s="39">
        <f>AVERAGEIF(продажи!$I$2:$I$1001,продажи!$I$2:$I$1001,продажи!$C$2:$C$1001)</f>
        <v>265.47674418604652</v>
      </c>
      <c r="L181" s="40">
        <f>продажи!$C181/продажи!$K181-1</f>
        <v>-1.6863037098681644E-2</v>
      </c>
      <c r="M181" s="33">
        <f t="shared" si="4"/>
        <v>10237</v>
      </c>
      <c r="N181" s="24">
        <f>Таблица1[[#This Row],[цена за шт в рублях]]/Таблица1[[#This Row],[средняя стоимость в категории по поставщику.]]-1</f>
        <v>-0.9745042492917847</v>
      </c>
      <c r="O181" s="26">
        <f>VLOOKUP(Таблица1[[#This Row],[id клиента]],клиенты!$A$2:$E$435,5,0)</f>
        <v>44893</v>
      </c>
      <c r="P181">
        <f>Таблица1[[#This Row],[дата создания чека]]-Таблица1[[#This Row],[Дата регистрации клента]]</f>
        <v>432</v>
      </c>
      <c r="Q181" s="26">
        <f t="shared" ca="1" si="5"/>
        <v>46059</v>
      </c>
      <c r="R181" s="51">
        <f ca="1">(TODAY()-Таблица1[[#This Row],[Дата регистрации клента]])/30</f>
        <v>38.866666666666667</v>
      </c>
      <c r="S181" s="63" t="str">
        <f>VLOOKUP(Таблица1[[#This Row],[id клиента]],Таблица8[[id клиента]:[Страна]],7,0)</f>
        <v>Украина</v>
      </c>
      <c r="T181" s="26"/>
    </row>
    <row r="182" spans="1:20" ht="19.5" x14ac:dyDescent="0.4">
      <c r="A182" s="41">
        <v>181</v>
      </c>
      <c r="B182" s="42">
        <v>288</v>
      </c>
      <c r="C182" s="42">
        <v>198</v>
      </c>
      <c r="D182" s="42">
        <v>5</v>
      </c>
      <c r="E182" s="42">
        <v>990</v>
      </c>
      <c r="F182" s="43">
        <v>45212</v>
      </c>
      <c r="G182" s="42" t="s">
        <v>26</v>
      </c>
      <c r="H182" s="42">
        <v>74</v>
      </c>
      <c r="I182" s="42" t="str">
        <f>VLOOKUP(продажи!$B182,товар!$A$1:$C$433,2)</f>
        <v>Сыр</v>
      </c>
      <c r="J182" s="42" t="str">
        <f>VLOOKUP(B182,товар!$A$1:$C$433,3)</f>
        <v>Hochland</v>
      </c>
      <c r="K182" s="44">
        <f>AVERAGEIF(продажи!$I$2:$I$1001,продажи!$I$2:$I$1001,продажи!$C$2:$C$1001)</f>
        <v>261.03225806451616</v>
      </c>
      <c r="L182" s="45">
        <f>продажи!$C182/продажи!$K182-1</f>
        <v>-0.24147305981216027</v>
      </c>
      <c r="M182" s="33">
        <f t="shared" si="4"/>
        <v>504</v>
      </c>
      <c r="N182" s="24">
        <f>Таблица1[[#This Row],[цена за шт в рублях]]/Таблица1[[#This Row],[средняя стоимость в категории по поставщику.]]-1</f>
        <v>-0.60714285714285721</v>
      </c>
      <c r="O182" s="26">
        <f>VLOOKUP(Таблица1[[#This Row],[id клиента]],клиенты!$A$2:$E$435,5,0)</f>
        <v>44857</v>
      </c>
      <c r="P182">
        <f>Таблица1[[#This Row],[дата создания чека]]-Таблица1[[#This Row],[Дата регистрации клента]]</f>
        <v>355</v>
      </c>
      <c r="Q182" s="26">
        <f t="shared" ca="1" si="5"/>
        <v>46059</v>
      </c>
      <c r="R182" s="51">
        <f ca="1">(TODAY()-Таблица1[[#This Row],[Дата регистрации клента]])/30</f>
        <v>40.06666666666667</v>
      </c>
      <c r="S182" s="63" t="str">
        <f>VLOOKUP(Таблица1[[#This Row],[id клиента]],Таблица8[[id клиента]:[Страна]],7,0)</f>
        <v>Россия</v>
      </c>
      <c r="T182" s="26"/>
    </row>
    <row r="183" spans="1:20" ht="19.5" x14ac:dyDescent="0.4">
      <c r="A183" s="37">
        <v>182</v>
      </c>
      <c r="B183" s="31">
        <v>7</v>
      </c>
      <c r="C183" s="31">
        <v>114</v>
      </c>
      <c r="D183" s="31">
        <v>3</v>
      </c>
      <c r="E183" s="31">
        <v>342</v>
      </c>
      <c r="F183" s="38">
        <v>45244</v>
      </c>
      <c r="G183" s="31" t="s">
        <v>22</v>
      </c>
      <c r="H183" s="31">
        <v>180</v>
      </c>
      <c r="I183" s="31" t="str">
        <f>VLOOKUP(продажи!$B183,товар!$A$1:$C$433,2)</f>
        <v>Сыр</v>
      </c>
      <c r="J183" s="31" t="str">
        <f>VLOOKUP(B183,товар!$A$1:$C$433,3)</f>
        <v>President</v>
      </c>
      <c r="K183" s="39">
        <f>AVERAGEIF(продажи!$I$2:$I$1001,продажи!$I$2:$I$1001,продажи!$C$2:$C$1001)</f>
        <v>261.03225806451616</v>
      </c>
      <c r="L183" s="40">
        <f>продажи!$C183/продажи!$K183-1</f>
        <v>-0.56327236777063772</v>
      </c>
      <c r="M183" s="33">
        <f t="shared" si="4"/>
        <v>3935</v>
      </c>
      <c r="N183" s="24">
        <f>Таблица1[[#This Row],[цена за шт в рублях]]/Таблица1[[#This Row],[средняя стоимость в категории по поставщику.]]-1</f>
        <v>-0.97102922490470145</v>
      </c>
      <c r="O183" s="26">
        <f>VLOOKUP(Таблица1[[#This Row],[id клиента]],клиенты!$A$2:$E$435,5,0)</f>
        <v>44616</v>
      </c>
      <c r="P183">
        <f>Таблица1[[#This Row],[дата создания чека]]-Таблица1[[#This Row],[Дата регистрации клента]]</f>
        <v>628</v>
      </c>
      <c r="Q183" s="26">
        <f t="shared" ca="1" si="5"/>
        <v>46059</v>
      </c>
      <c r="R183" s="51">
        <f ca="1">(TODAY()-Таблица1[[#This Row],[Дата регистрации клента]])/30</f>
        <v>48.1</v>
      </c>
      <c r="S183" s="63" t="str">
        <f>VLOOKUP(Таблица1[[#This Row],[id клиента]],Таблица8[[id клиента]:[Страна]],7,0)</f>
        <v>Беларусь</v>
      </c>
      <c r="T183" s="26"/>
    </row>
    <row r="184" spans="1:20" ht="19.5" x14ac:dyDescent="0.4">
      <c r="A184" s="41">
        <v>183</v>
      </c>
      <c r="B184" s="42">
        <v>385</v>
      </c>
      <c r="C184" s="42">
        <v>427</v>
      </c>
      <c r="D184" s="42">
        <v>3</v>
      </c>
      <c r="E184" s="42">
        <v>1281</v>
      </c>
      <c r="F184" s="43">
        <v>44942</v>
      </c>
      <c r="G184" s="42" t="s">
        <v>27</v>
      </c>
      <c r="H184" s="42">
        <v>359</v>
      </c>
      <c r="I184" s="42" t="str">
        <f>VLOOKUP(продажи!$B184,товар!$A$1:$C$433,2)</f>
        <v>Макароны</v>
      </c>
      <c r="J184" s="42" t="str">
        <f>VLOOKUP(B184,товар!$A$1:$C$433,3)</f>
        <v>Макфа</v>
      </c>
      <c r="K184" s="44">
        <f>AVERAGEIF(продажи!$I$2:$I$1001,продажи!$I$2:$I$1001,продажи!$C$2:$C$1001)</f>
        <v>265.47674418604652</v>
      </c>
      <c r="L184" s="45">
        <f>продажи!$C184/продажи!$K184-1</f>
        <v>0.60842713853970465</v>
      </c>
      <c r="M184" s="33">
        <f t="shared" si="4"/>
        <v>3622</v>
      </c>
      <c r="N184" s="24">
        <f>Таблица1[[#This Row],[цена за шт в рублях]]/Таблица1[[#This Row],[средняя стоимость в категории по поставщику.]]-1</f>
        <v>-0.88210933186085039</v>
      </c>
      <c r="O184" s="26">
        <f>VLOOKUP(Таблица1[[#This Row],[id клиента]],клиенты!$A$2:$E$435,5,0)</f>
        <v>44584</v>
      </c>
      <c r="P184">
        <f>Таблица1[[#This Row],[дата создания чека]]-Таблица1[[#This Row],[Дата регистрации клента]]</f>
        <v>358</v>
      </c>
      <c r="Q184" s="26">
        <f t="shared" ca="1" si="5"/>
        <v>46059</v>
      </c>
      <c r="R184" s="51">
        <f ca="1">(TODAY()-Таблица1[[#This Row],[Дата регистрации клента]])/30</f>
        <v>49.166666666666664</v>
      </c>
      <c r="S184" s="63" t="str">
        <f>VLOOKUP(Таблица1[[#This Row],[id клиента]],Таблица8[[id клиента]:[Страна]],7,0)</f>
        <v>Россия</v>
      </c>
      <c r="T184" s="26"/>
    </row>
    <row r="185" spans="1:20" ht="19.5" x14ac:dyDescent="0.4">
      <c r="A185" s="37">
        <v>184</v>
      </c>
      <c r="B185" s="31">
        <v>493</v>
      </c>
      <c r="C185" s="31">
        <v>376</v>
      </c>
      <c r="D185" s="31">
        <v>1</v>
      </c>
      <c r="E185" s="31">
        <v>376</v>
      </c>
      <c r="F185" s="38">
        <v>45253</v>
      </c>
      <c r="G185" s="31" t="s">
        <v>8</v>
      </c>
      <c r="H185" s="31">
        <v>134</v>
      </c>
      <c r="I185" s="31" t="str">
        <f>VLOOKUP(продажи!$B185,товар!$A$1:$C$433,2)</f>
        <v>Овощи</v>
      </c>
      <c r="J185" s="31" t="str">
        <f>VLOOKUP(B185,товар!$A$1:$C$433,3)</f>
        <v>Овощной ряд</v>
      </c>
      <c r="K185" s="39">
        <f>AVERAGEIF(продажи!$I$2:$I$1001,продажи!$I$2:$I$1001,продажи!$C$2:$C$1001)</f>
        <v>250.48780487804879</v>
      </c>
      <c r="L185" s="40">
        <f>продажи!$C185/продажи!$K185-1</f>
        <v>0.50107108081791618</v>
      </c>
      <c r="M185" s="33">
        <f t="shared" si="4"/>
        <v>5165</v>
      </c>
      <c r="N185" s="24">
        <f>Таблица1[[#This Row],[цена за шт в рублях]]/Таблица1[[#This Row],[средняя стоимость в категории по поставщику.]]-1</f>
        <v>-0.92720232333010655</v>
      </c>
      <c r="O185" s="26">
        <f>VLOOKUP(Таблица1[[#This Row],[id клиента]],клиенты!$A$2:$E$435,5,0)</f>
        <v>44753</v>
      </c>
      <c r="P185">
        <f>Таблица1[[#This Row],[дата создания чека]]-Таблица1[[#This Row],[Дата регистрации клента]]</f>
        <v>500</v>
      </c>
      <c r="Q185" s="26">
        <f t="shared" ca="1" si="5"/>
        <v>46059</v>
      </c>
      <c r="R185" s="51">
        <f ca="1">(TODAY()-Таблица1[[#This Row],[Дата регистрации клента]])/30</f>
        <v>43.533333333333331</v>
      </c>
      <c r="S185" s="63" t="str">
        <f>VLOOKUP(Таблица1[[#This Row],[id клиента]],Таблица8[[id клиента]:[Страна]],7,0)</f>
        <v>Россия</v>
      </c>
      <c r="T185" s="26"/>
    </row>
    <row r="186" spans="1:20" ht="19.5" x14ac:dyDescent="0.4">
      <c r="A186" s="41">
        <v>185</v>
      </c>
      <c r="B186" s="42">
        <v>158</v>
      </c>
      <c r="C186" s="42">
        <v>51</v>
      </c>
      <c r="D186" s="42">
        <v>2</v>
      </c>
      <c r="E186" s="42">
        <v>102</v>
      </c>
      <c r="F186" s="43">
        <v>45325</v>
      </c>
      <c r="G186" s="42" t="s">
        <v>11</v>
      </c>
      <c r="H186" s="42">
        <v>159</v>
      </c>
      <c r="I186" s="42" t="str">
        <f>VLOOKUP(продажи!$B186,товар!$A$1:$C$433,2)</f>
        <v>Сахар</v>
      </c>
      <c r="J186" s="42" t="str">
        <f>VLOOKUP(B186,товар!$A$1:$C$433,3)</f>
        <v>Сладов</v>
      </c>
      <c r="K186" s="44">
        <f>AVERAGEIF(продажи!$I$2:$I$1001,продажи!$I$2:$I$1001,продажи!$C$2:$C$1001)</f>
        <v>254.58333333333334</v>
      </c>
      <c r="L186" s="45">
        <f>продажи!$C186/продажи!$K186-1</f>
        <v>-0.79967266775777412</v>
      </c>
      <c r="M186" s="33">
        <f t="shared" si="4"/>
        <v>3604</v>
      </c>
      <c r="N186" s="24">
        <f>Таблица1[[#This Row],[цена за шт в рублях]]/Таблица1[[#This Row],[средняя стоимость в категории по поставщику.]]-1</f>
        <v>-0.98584905660377353</v>
      </c>
      <c r="O186" s="26">
        <f>VLOOKUP(Таблица1[[#This Row],[id клиента]],клиенты!$A$2:$E$435,5,0)</f>
        <v>44686</v>
      </c>
      <c r="P186">
        <f>Таблица1[[#This Row],[дата создания чека]]-Таблица1[[#This Row],[Дата регистрации клента]]</f>
        <v>639</v>
      </c>
      <c r="Q186" s="26">
        <f t="shared" ca="1" si="5"/>
        <v>46059</v>
      </c>
      <c r="R186" s="51">
        <f ca="1">(TODAY()-Таблица1[[#This Row],[Дата регистрации клента]])/30</f>
        <v>45.766666666666666</v>
      </c>
      <c r="S186" s="63" t="str">
        <f>VLOOKUP(Таблица1[[#This Row],[id клиента]],Таблица8[[id клиента]:[Страна]],7,0)</f>
        <v>Узбекистан</v>
      </c>
      <c r="T186" s="26"/>
    </row>
    <row r="187" spans="1:20" ht="19.5" x14ac:dyDescent="0.4">
      <c r="A187" s="37">
        <v>186</v>
      </c>
      <c r="B187" s="31">
        <v>446</v>
      </c>
      <c r="C187" s="31">
        <v>316</v>
      </c>
      <c r="D187" s="31">
        <v>2</v>
      </c>
      <c r="E187" s="31">
        <v>632</v>
      </c>
      <c r="F187" s="38">
        <v>45029</v>
      </c>
      <c r="G187" s="31" t="s">
        <v>16</v>
      </c>
      <c r="H187" s="31">
        <v>328</v>
      </c>
      <c r="I187" s="31" t="str">
        <f>VLOOKUP(продажи!$B187,товар!$A$1:$C$433,2)</f>
        <v>Чипсы</v>
      </c>
      <c r="J187" s="31" t="str">
        <f>VLOOKUP(B187,товар!$A$1:$C$433,3)</f>
        <v>Lay's</v>
      </c>
      <c r="K187" s="39">
        <f>AVERAGEIF(продажи!$I$2:$I$1001,продажи!$I$2:$I$1001,продажи!$C$2:$C$1001)</f>
        <v>273.72549019607845</v>
      </c>
      <c r="L187" s="40">
        <f>продажи!$C187/продажи!$K187-1</f>
        <v>0.15444126074498565</v>
      </c>
      <c r="M187" s="33">
        <f t="shared" si="4"/>
        <v>2244</v>
      </c>
      <c r="N187" s="24">
        <f>Таблица1[[#This Row],[цена за шт в рублях]]/Таблица1[[#This Row],[средняя стоимость в категории по поставщику.]]-1</f>
        <v>-0.85918003565062384</v>
      </c>
      <c r="O187" s="26">
        <f>VLOOKUP(Таблица1[[#This Row],[id клиента]],клиенты!$A$2:$E$435,5,0)</f>
        <v>44568</v>
      </c>
      <c r="P187">
        <f>Таблица1[[#This Row],[дата создания чека]]-Таблица1[[#This Row],[Дата регистрации клента]]</f>
        <v>461</v>
      </c>
      <c r="Q187" s="26">
        <f t="shared" ca="1" si="5"/>
        <v>46059</v>
      </c>
      <c r="R187" s="51">
        <f ca="1">(TODAY()-Таблица1[[#This Row],[Дата регистрации клента]])/30</f>
        <v>49.7</v>
      </c>
      <c r="S187" s="63" t="str">
        <f>VLOOKUP(Таблица1[[#This Row],[id клиента]],Таблица8[[id клиента]:[Страна]],7,0)</f>
        <v>Россия</v>
      </c>
      <c r="T187" s="26"/>
    </row>
    <row r="188" spans="1:20" ht="19.5" x14ac:dyDescent="0.4">
      <c r="A188" s="41">
        <v>187</v>
      </c>
      <c r="B188" s="42">
        <v>428</v>
      </c>
      <c r="C188" s="42">
        <v>156</v>
      </c>
      <c r="D188" s="42">
        <v>1</v>
      </c>
      <c r="E188" s="42">
        <v>156</v>
      </c>
      <c r="F188" s="43">
        <v>45421</v>
      </c>
      <c r="G188" s="42" t="s">
        <v>16</v>
      </c>
      <c r="H188" s="42">
        <v>325</v>
      </c>
      <c r="I188" s="42" t="str">
        <f>VLOOKUP(продажи!$B188,товар!$A$1:$C$433,2)</f>
        <v>Конфеты</v>
      </c>
      <c r="J188" s="42" t="str">
        <f>VLOOKUP(B188,товар!$A$1:$C$433,3)</f>
        <v>Бабаевский</v>
      </c>
      <c r="K188" s="44">
        <f>AVERAGEIF(продажи!$I$2:$I$1001,продажи!$I$2:$I$1001,продажи!$C$2:$C$1001)</f>
        <v>267.85483870967744</v>
      </c>
      <c r="L188" s="45">
        <f>продажи!$C188/продажи!$K188-1</f>
        <v>-0.41759499006443068</v>
      </c>
      <c r="M188" s="33">
        <f t="shared" si="4"/>
        <v>6757</v>
      </c>
      <c r="N188" s="24">
        <f>Таблица1[[#This Row],[цена за шт в рублях]]/Таблица1[[#This Row],[средняя стоимость в категории по поставщику.]]-1</f>
        <v>-0.97691283113807903</v>
      </c>
      <c r="O188" s="26">
        <f>VLOOKUP(Таблица1[[#This Row],[id клиента]],клиенты!$A$2:$E$435,5,0)</f>
        <v>44875</v>
      </c>
      <c r="P188">
        <f>Таблица1[[#This Row],[дата создания чека]]-Таблица1[[#This Row],[Дата регистрации клента]]</f>
        <v>546</v>
      </c>
      <c r="Q188" s="26">
        <f t="shared" ca="1" si="5"/>
        <v>46059</v>
      </c>
      <c r="R188" s="51">
        <f ca="1">(TODAY()-Таблица1[[#This Row],[Дата регистрации клента]])/30</f>
        <v>39.466666666666669</v>
      </c>
      <c r="S188" s="63" t="str">
        <f>VLOOKUP(Таблица1[[#This Row],[id клиента]],Таблица8[[id клиента]:[Страна]],7,0)</f>
        <v>Таджикистан</v>
      </c>
      <c r="T188" s="26"/>
    </row>
    <row r="189" spans="1:20" ht="19.5" x14ac:dyDescent="0.4">
      <c r="A189" s="37">
        <v>188</v>
      </c>
      <c r="B189" s="31">
        <v>192</v>
      </c>
      <c r="C189" s="31">
        <v>215</v>
      </c>
      <c r="D189" s="31">
        <v>1</v>
      </c>
      <c r="E189" s="31">
        <v>215</v>
      </c>
      <c r="F189" s="38">
        <v>45411</v>
      </c>
      <c r="G189" s="31" t="s">
        <v>26</v>
      </c>
      <c r="H189" s="31">
        <v>106</v>
      </c>
      <c r="I189" s="31" t="str">
        <f>VLOOKUP(продажи!$B189,товар!$A$1:$C$433,2)</f>
        <v>Мясо</v>
      </c>
      <c r="J189" s="31" t="str">
        <f>VLOOKUP(B189,товар!$A$1:$C$433,3)</f>
        <v>Снежана</v>
      </c>
      <c r="K189" s="39">
        <f>AVERAGEIF(продажи!$I$2:$I$1001,продажи!$I$2:$I$1001,продажи!$C$2:$C$1001)</f>
        <v>271.74545454545455</v>
      </c>
      <c r="L189" s="40">
        <f>продажи!$C189/продажи!$K189-1</f>
        <v>-0.2088184129532985</v>
      </c>
      <c r="M189" s="33">
        <f t="shared" si="4"/>
        <v>4630</v>
      </c>
      <c r="N189" s="24">
        <f>Таблица1[[#This Row],[цена за шт в рублях]]/Таблица1[[#This Row],[средняя стоимость в категории по поставщику.]]-1</f>
        <v>-0.95356371490280778</v>
      </c>
      <c r="O189" s="26">
        <f>VLOOKUP(Таблица1[[#This Row],[id клиента]],клиенты!$A$2:$E$435,5,0)</f>
        <v>44858</v>
      </c>
      <c r="P189">
        <f>Таблица1[[#This Row],[дата создания чека]]-Таблица1[[#This Row],[Дата регистрации клента]]</f>
        <v>553</v>
      </c>
      <c r="Q189" s="26">
        <f t="shared" ca="1" si="5"/>
        <v>46059</v>
      </c>
      <c r="R189" s="51">
        <f ca="1">(TODAY()-Таблица1[[#This Row],[Дата регистрации клента]])/30</f>
        <v>40.033333333333331</v>
      </c>
      <c r="S189" s="63" t="str">
        <f>VLOOKUP(Таблица1[[#This Row],[id клиента]],Таблица8[[id клиента]:[Страна]],7,0)</f>
        <v>Украина</v>
      </c>
      <c r="T189" s="26"/>
    </row>
    <row r="190" spans="1:20" ht="19.5" x14ac:dyDescent="0.4">
      <c r="A190" s="41">
        <v>189</v>
      </c>
      <c r="B190" s="42">
        <v>41</v>
      </c>
      <c r="C190" s="42">
        <v>59</v>
      </c>
      <c r="D190" s="42">
        <v>1</v>
      </c>
      <c r="E190" s="42">
        <v>59</v>
      </c>
      <c r="F190" s="43">
        <v>45000</v>
      </c>
      <c r="G190" s="42" t="s">
        <v>9</v>
      </c>
      <c r="H190" s="42">
        <v>65</v>
      </c>
      <c r="I190" s="42" t="str">
        <f>VLOOKUP(продажи!$B190,товар!$A$1:$C$433,2)</f>
        <v>Рис</v>
      </c>
      <c r="J190" s="42" t="str">
        <f>VLOOKUP(B190,товар!$A$1:$C$433,3)</f>
        <v>Агро-Альянс</v>
      </c>
      <c r="K190" s="44">
        <f>AVERAGEIF(продажи!$I$2:$I$1001,продажи!$I$2:$I$1001,продажи!$C$2:$C$1001)</f>
        <v>258.375</v>
      </c>
      <c r="L190" s="45">
        <f>продажи!$C190/продажи!$K190-1</f>
        <v>-0.77164973391388481</v>
      </c>
      <c r="M190" s="33">
        <f t="shared" si="4"/>
        <v>2225</v>
      </c>
      <c r="N190" s="24">
        <f>Таблица1[[#This Row],[цена за шт в рублях]]/Таблица1[[#This Row],[средняя стоимость в категории по поставщику.]]-1</f>
        <v>-0.97348314606741571</v>
      </c>
      <c r="O190" s="26">
        <f>VLOOKUP(Таблица1[[#This Row],[id клиента]],клиенты!$A$2:$E$435,5,0)</f>
        <v>44623</v>
      </c>
      <c r="P190">
        <f>Таблица1[[#This Row],[дата создания чека]]-Таблица1[[#This Row],[Дата регистрации клента]]</f>
        <v>377</v>
      </c>
      <c r="Q190" s="26">
        <f t="shared" ca="1" si="5"/>
        <v>46059</v>
      </c>
      <c r="R190" s="51">
        <f ca="1">(TODAY()-Таблица1[[#This Row],[Дата регистрации клента]])/30</f>
        <v>47.866666666666667</v>
      </c>
      <c r="S190" s="63" t="str">
        <f>VLOOKUP(Таблица1[[#This Row],[id клиента]],Таблица8[[id клиента]:[Страна]],7,0)</f>
        <v>Украина</v>
      </c>
      <c r="T190" s="26"/>
    </row>
    <row r="191" spans="1:20" ht="19.5" x14ac:dyDescent="0.4">
      <c r="A191" s="37">
        <v>190</v>
      </c>
      <c r="B191" s="31">
        <v>69</v>
      </c>
      <c r="C191" s="31">
        <v>88</v>
      </c>
      <c r="D191" s="31">
        <v>4</v>
      </c>
      <c r="E191" s="31">
        <v>352</v>
      </c>
      <c r="F191" s="38">
        <v>45309</v>
      </c>
      <c r="G191" s="31" t="s">
        <v>12</v>
      </c>
      <c r="H191" s="31">
        <v>346</v>
      </c>
      <c r="I191" s="31" t="str">
        <f>VLOOKUP(продажи!$B191,товар!$A$1:$C$433,2)</f>
        <v>Чипсы</v>
      </c>
      <c r="J191" s="31" t="str">
        <f>VLOOKUP(B191,товар!$A$1:$C$433,3)</f>
        <v>Estrella</v>
      </c>
      <c r="K191" s="39">
        <f>AVERAGEIF(продажи!$I$2:$I$1001,продажи!$I$2:$I$1001,продажи!$C$2:$C$1001)</f>
        <v>273.72549019607845</v>
      </c>
      <c r="L191" s="40">
        <f>продажи!$C191/продажи!$K191-1</f>
        <v>-0.67851002865329513</v>
      </c>
      <c r="M191" s="33">
        <f t="shared" si="4"/>
        <v>2929</v>
      </c>
      <c r="N191" s="24">
        <f>Таблица1[[#This Row],[цена за шт в рублях]]/Таблица1[[#This Row],[средняя стоимость в категории по поставщику.]]-1</f>
        <v>-0.96995561625128035</v>
      </c>
      <c r="O191" s="26">
        <f>VLOOKUP(Таблица1[[#This Row],[id клиента]],клиенты!$A$2:$E$435,5,0)</f>
        <v>44636</v>
      </c>
      <c r="P191">
        <f>Таблица1[[#This Row],[дата создания чека]]-Таблица1[[#This Row],[Дата регистрации клента]]</f>
        <v>673</v>
      </c>
      <c r="Q191" s="26">
        <f t="shared" ca="1" si="5"/>
        <v>46059</v>
      </c>
      <c r="R191" s="51">
        <f ca="1">(TODAY()-Таблица1[[#This Row],[Дата регистрации клента]])/30</f>
        <v>47.43333333333333</v>
      </c>
      <c r="S191" s="63" t="str">
        <f>VLOOKUP(Таблица1[[#This Row],[id клиента]],Таблица8[[id клиента]:[Страна]],7,0)</f>
        <v>Россия</v>
      </c>
      <c r="T191" s="26"/>
    </row>
    <row r="192" spans="1:20" ht="19.5" x14ac:dyDescent="0.4">
      <c r="A192" s="41">
        <v>191</v>
      </c>
      <c r="B192" s="42">
        <v>270</v>
      </c>
      <c r="C192" s="42">
        <v>484</v>
      </c>
      <c r="D192" s="42">
        <v>4</v>
      </c>
      <c r="E192" s="42">
        <v>1936</v>
      </c>
      <c r="F192" s="43">
        <v>45084</v>
      </c>
      <c r="G192" s="42" t="s">
        <v>8</v>
      </c>
      <c r="H192" s="42">
        <v>457</v>
      </c>
      <c r="I192" s="42" t="str">
        <f>VLOOKUP(продажи!$B192,товар!$A$1:$C$433,2)</f>
        <v>Соль</v>
      </c>
      <c r="J192" s="42" t="str">
        <f>VLOOKUP(B192,товар!$A$1:$C$433,3)</f>
        <v>Славянская</v>
      </c>
      <c r="K192" s="44">
        <f>AVERAGEIF(продажи!$I$2:$I$1001,продажи!$I$2:$I$1001,продажи!$C$2:$C$1001)</f>
        <v>264.8679245283019</v>
      </c>
      <c r="L192" s="45">
        <f>продажи!$C192/продажи!$K192-1</f>
        <v>0.82732582989029768</v>
      </c>
      <c r="M192" s="33">
        <f t="shared" si="4"/>
        <v>2843</v>
      </c>
      <c r="N192" s="24">
        <f>Таблица1[[#This Row],[цена за шт в рублях]]/Таблица1[[#This Row],[средняя стоимость в категории по поставщику.]]-1</f>
        <v>-0.82975729862820957</v>
      </c>
      <c r="O192" s="26">
        <f>VLOOKUP(Таблица1[[#This Row],[id клиента]],клиенты!$A$2:$E$435,5,0)</f>
        <v>44595</v>
      </c>
      <c r="P192">
        <f>Таблица1[[#This Row],[дата создания чека]]-Таблица1[[#This Row],[Дата регистрации клента]]</f>
        <v>489</v>
      </c>
      <c r="Q192" s="26">
        <f t="shared" ca="1" si="5"/>
        <v>46059</v>
      </c>
      <c r="R192" s="51">
        <f ca="1">(TODAY()-Таблица1[[#This Row],[Дата регистрации клента]])/30</f>
        <v>48.8</v>
      </c>
      <c r="S192" s="63" t="str">
        <f>VLOOKUP(Таблица1[[#This Row],[id клиента]],Таблица8[[id клиента]:[Страна]],7,0)</f>
        <v>Таджикистан</v>
      </c>
      <c r="T192" s="26"/>
    </row>
    <row r="193" spans="1:20" ht="19.5" x14ac:dyDescent="0.4">
      <c r="A193" s="37">
        <v>192</v>
      </c>
      <c r="B193" s="31">
        <v>345</v>
      </c>
      <c r="C193" s="31">
        <v>257</v>
      </c>
      <c r="D193" s="31">
        <v>1</v>
      </c>
      <c r="E193" s="31">
        <v>257</v>
      </c>
      <c r="F193" s="38">
        <v>44969</v>
      </c>
      <c r="G193" s="31" t="s">
        <v>9</v>
      </c>
      <c r="H193" s="31">
        <v>255</v>
      </c>
      <c r="I193" s="31" t="str">
        <f>VLOOKUP(продажи!$B193,товар!$A$1:$C$433,2)</f>
        <v>Конфеты</v>
      </c>
      <c r="J193" s="31" t="str">
        <f>VLOOKUP(B193,товар!$A$1:$C$433,3)</f>
        <v>Рот Фронт</v>
      </c>
      <c r="K193" s="39">
        <f>AVERAGEIF(продажи!$I$2:$I$1001,продажи!$I$2:$I$1001,продажи!$C$2:$C$1001)</f>
        <v>267.85483870967744</v>
      </c>
      <c r="L193" s="40">
        <f>продажи!$C193/продажи!$K193-1</f>
        <v>-4.0525079785632578E-2</v>
      </c>
      <c r="M193" s="33">
        <f t="shared" si="4"/>
        <v>6053</v>
      </c>
      <c r="N193" s="24">
        <f>Таблица1[[#This Row],[цена за шт в рублях]]/Таблица1[[#This Row],[средняя стоимость в категории по поставщику.]]-1</f>
        <v>-0.95754171485213946</v>
      </c>
      <c r="O193" s="26">
        <f>VLOOKUP(Таблица1[[#This Row],[id клиента]],клиенты!$A$2:$E$435,5,0)</f>
        <v>44793</v>
      </c>
      <c r="P193">
        <f>Таблица1[[#This Row],[дата создания чека]]-Таблица1[[#This Row],[Дата регистрации клента]]</f>
        <v>176</v>
      </c>
      <c r="Q193" s="26">
        <f t="shared" ca="1" si="5"/>
        <v>46059</v>
      </c>
      <c r="R193" s="51">
        <f ca="1">(TODAY()-Таблица1[[#This Row],[Дата регистрации клента]])/30</f>
        <v>42.2</v>
      </c>
      <c r="S193" s="63" t="str">
        <f>VLOOKUP(Таблица1[[#This Row],[id клиента]],Таблица8[[id клиента]:[Страна]],7,0)</f>
        <v>Украина</v>
      </c>
      <c r="T193" s="26"/>
    </row>
    <row r="194" spans="1:20" ht="19.5" x14ac:dyDescent="0.4">
      <c r="A194" s="41">
        <v>193</v>
      </c>
      <c r="B194" s="42">
        <v>348</v>
      </c>
      <c r="C194" s="42">
        <v>497</v>
      </c>
      <c r="D194" s="42">
        <v>3</v>
      </c>
      <c r="E194" s="42">
        <v>1491</v>
      </c>
      <c r="F194" s="43">
        <v>45276</v>
      </c>
      <c r="G194" s="42" t="s">
        <v>8</v>
      </c>
      <c r="H194" s="42">
        <v>42</v>
      </c>
      <c r="I194" s="42" t="str">
        <f>VLOOKUP(продажи!$B194,товар!$A$1:$C$433,2)</f>
        <v>Чипсы</v>
      </c>
      <c r="J194" s="42" t="str">
        <f>VLOOKUP(B194,товар!$A$1:$C$433,3)</f>
        <v>Estrella</v>
      </c>
      <c r="K194" s="44">
        <f>AVERAGEIF(продажи!$I$2:$I$1001,продажи!$I$2:$I$1001,продажи!$C$2:$C$1001)</f>
        <v>273.72549019607845</v>
      </c>
      <c r="L194" s="45">
        <f>продажи!$C194/продажи!$K194-1</f>
        <v>0.81568767908309447</v>
      </c>
      <c r="M194" s="33">
        <f t="shared" ref="M194:M257" si="6">SUMIFS($C$2:$C$1001,$I$2:$I$1001,I194,$J$2:$J$1001,J194)</f>
        <v>2929</v>
      </c>
      <c r="N194" s="24">
        <f>Таблица1[[#This Row],[цена за шт в рублях]]/Таблица1[[#This Row],[средняя стоимость в категории по поставщику.]]-1</f>
        <v>-0.83031751451007163</v>
      </c>
      <c r="O194" s="26">
        <f>VLOOKUP(Таблица1[[#This Row],[id клиента]],клиенты!$A$2:$E$435,5,0)</f>
        <v>44783</v>
      </c>
      <c r="P194">
        <f>Таблица1[[#This Row],[дата создания чека]]-Таблица1[[#This Row],[Дата регистрации клента]]</f>
        <v>493</v>
      </c>
      <c r="Q194" s="26">
        <f t="shared" ref="Q194:Q257" ca="1" si="7">TODAY()</f>
        <v>46059</v>
      </c>
      <c r="R194" s="51">
        <f ca="1">(TODAY()-Таблица1[[#This Row],[Дата регистрации клента]])/30</f>
        <v>42.533333333333331</v>
      </c>
      <c r="S194" s="63" t="str">
        <f>VLOOKUP(Таблица1[[#This Row],[id клиента]],Таблица8[[id клиента]:[Страна]],7,0)</f>
        <v>Таджикистан</v>
      </c>
      <c r="T194" s="26"/>
    </row>
    <row r="195" spans="1:20" ht="19.5" x14ac:dyDescent="0.4">
      <c r="A195" s="37">
        <v>194</v>
      </c>
      <c r="B195" s="31">
        <v>102</v>
      </c>
      <c r="C195" s="31">
        <v>115</v>
      </c>
      <c r="D195" s="31">
        <v>2</v>
      </c>
      <c r="E195" s="31">
        <v>230</v>
      </c>
      <c r="F195" s="38">
        <v>45380</v>
      </c>
      <c r="G195" s="31" t="s">
        <v>16</v>
      </c>
      <c r="H195" s="31">
        <v>385</v>
      </c>
      <c r="I195" s="31" t="str">
        <f>VLOOKUP(продажи!$B195,товар!$A$1:$C$433,2)</f>
        <v>Печенье</v>
      </c>
      <c r="J195" s="31" t="str">
        <f>VLOOKUP(B195,товар!$A$1:$C$433,3)</f>
        <v>Белогорье</v>
      </c>
      <c r="K195" s="39">
        <f>AVERAGEIF(продажи!$I$2:$I$1001,продажи!$I$2:$I$1001,продажи!$C$2:$C$1001)</f>
        <v>283.468085106383</v>
      </c>
      <c r="L195" s="40">
        <f>продажи!$C195/продажи!$K195-1</f>
        <v>-0.59431059070779857</v>
      </c>
      <c r="M195" s="33">
        <f t="shared" si="6"/>
        <v>3493</v>
      </c>
      <c r="N195" s="24">
        <f>Таблица1[[#This Row],[цена за шт в рублях]]/Таблица1[[#This Row],[средняя стоимость в категории по поставщику.]]-1</f>
        <v>-0.96707701116518752</v>
      </c>
      <c r="O195" s="26">
        <f>VLOOKUP(Таблица1[[#This Row],[id клиента]],клиенты!$A$2:$E$435,5,0)</f>
        <v>44753</v>
      </c>
      <c r="P195">
        <f>Таблица1[[#This Row],[дата создания чека]]-Таблица1[[#This Row],[Дата регистрации клента]]</f>
        <v>627</v>
      </c>
      <c r="Q195" s="26">
        <f t="shared" ca="1" si="7"/>
        <v>46059</v>
      </c>
      <c r="R195" s="51">
        <f ca="1">(TODAY()-Таблица1[[#This Row],[Дата регистрации клента]])/30</f>
        <v>43.533333333333331</v>
      </c>
      <c r="S195" s="63" t="str">
        <f>VLOOKUP(Таблица1[[#This Row],[id клиента]],Таблица8[[id клиента]:[Страна]],7,0)</f>
        <v>Украина</v>
      </c>
      <c r="T195" s="26"/>
    </row>
    <row r="196" spans="1:20" ht="19.5" x14ac:dyDescent="0.4">
      <c r="A196" s="41">
        <v>195</v>
      </c>
      <c r="B196" s="42">
        <v>321</v>
      </c>
      <c r="C196" s="42">
        <v>368</v>
      </c>
      <c r="D196" s="42">
        <v>1</v>
      </c>
      <c r="E196" s="42">
        <v>368</v>
      </c>
      <c r="F196" s="43">
        <v>45193</v>
      </c>
      <c r="G196" s="42" t="s">
        <v>25</v>
      </c>
      <c r="H196" s="42">
        <v>436</v>
      </c>
      <c r="I196" s="42" t="str">
        <f>VLOOKUP(продажи!$B196,товар!$A$1:$C$433,2)</f>
        <v>Мясо</v>
      </c>
      <c r="J196" s="42" t="str">
        <f>VLOOKUP(B196,товар!$A$1:$C$433,3)</f>
        <v>Сава</v>
      </c>
      <c r="K196" s="44">
        <f>AVERAGEIF(продажи!$I$2:$I$1001,продажи!$I$2:$I$1001,продажи!$C$2:$C$1001)</f>
        <v>271.74545454545455</v>
      </c>
      <c r="L196" s="45">
        <f>продажи!$C196/продажи!$K196-1</f>
        <v>0.35420848387528436</v>
      </c>
      <c r="M196" s="33">
        <f t="shared" si="6"/>
        <v>3405</v>
      </c>
      <c r="N196" s="24">
        <f>Таблица1[[#This Row],[цена за шт в рублях]]/Таблица1[[#This Row],[средняя стоимость в категории по поставщику.]]-1</f>
        <v>-0.89192364170337735</v>
      </c>
      <c r="O196" s="26">
        <f>VLOOKUP(Таблица1[[#This Row],[id клиента]],клиенты!$A$2:$E$435,5,0)</f>
        <v>44683</v>
      </c>
      <c r="P196">
        <f>Таблица1[[#This Row],[дата создания чека]]-Таблица1[[#This Row],[Дата регистрации клента]]</f>
        <v>510</v>
      </c>
      <c r="Q196" s="26">
        <f t="shared" ca="1" si="7"/>
        <v>46059</v>
      </c>
      <c r="R196" s="51">
        <f ca="1">(TODAY()-Таблица1[[#This Row],[Дата регистрации клента]])/30</f>
        <v>45.866666666666667</v>
      </c>
      <c r="S196" s="63" t="str">
        <f>VLOOKUP(Таблица1[[#This Row],[id клиента]],Таблица8[[id клиента]:[Страна]],7,0)</f>
        <v>Россия</v>
      </c>
      <c r="T196" s="26"/>
    </row>
    <row r="197" spans="1:20" ht="19.5" x14ac:dyDescent="0.4">
      <c r="A197" s="37">
        <v>196</v>
      </c>
      <c r="B197" s="31">
        <v>176</v>
      </c>
      <c r="C197" s="31">
        <v>113</v>
      </c>
      <c r="D197" s="31">
        <v>4</v>
      </c>
      <c r="E197" s="31">
        <v>452</v>
      </c>
      <c r="F197" s="38">
        <v>45335</v>
      </c>
      <c r="G197" s="31" t="s">
        <v>22</v>
      </c>
      <c r="H197" s="31">
        <v>175</v>
      </c>
      <c r="I197" s="31" t="str">
        <f>VLOOKUP(продажи!$B197,товар!$A$1:$C$433,2)</f>
        <v>Сахар</v>
      </c>
      <c r="J197" s="31" t="str">
        <f>VLOOKUP(B197,товар!$A$1:$C$433,3)</f>
        <v>Продимекс</v>
      </c>
      <c r="K197" s="39">
        <f>AVERAGEIF(продажи!$I$2:$I$1001,продажи!$I$2:$I$1001,продажи!$C$2:$C$1001)</f>
        <v>254.58333333333334</v>
      </c>
      <c r="L197" s="40">
        <f>продажи!$C197/продажи!$K197-1</f>
        <v>-0.55613747954173487</v>
      </c>
      <c r="M197" s="33">
        <f t="shared" si="6"/>
        <v>5172</v>
      </c>
      <c r="N197" s="24">
        <f>Таблица1[[#This Row],[цена за шт в рублях]]/Таблица1[[#This Row],[средняя стоимость в категории по поставщику.]]-1</f>
        <v>-0.97815158546017011</v>
      </c>
      <c r="O197" s="26">
        <f>VLOOKUP(Таблица1[[#This Row],[id клиента]],клиенты!$A$2:$E$435,5,0)</f>
        <v>44565</v>
      </c>
      <c r="P197">
        <f>Таблица1[[#This Row],[дата создания чека]]-Таблица1[[#This Row],[Дата регистрации клента]]</f>
        <v>770</v>
      </c>
      <c r="Q197" s="26">
        <f t="shared" ca="1" si="7"/>
        <v>46059</v>
      </c>
      <c r="R197" s="51">
        <f ca="1">(TODAY()-Таблица1[[#This Row],[Дата регистрации клента]])/30</f>
        <v>49.8</v>
      </c>
      <c r="S197" s="63" t="str">
        <f>VLOOKUP(Таблица1[[#This Row],[id клиента]],Таблица8[[id клиента]:[Страна]],7,0)</f>
        <v>Россия</v>
      </c>
      <c r="T197" s="26"/>
    </row>
    <row r="198" spans="1:20" ht="19.5" x14ac:dyDescent="0.4">
      <c r="A198" s="41">
        <v>197</v>
      </c>
      <c r="B198" s="42">
        <v>341</v>
      </c>
      <c r="C198" s="42">
        <v>194</v>
      </c>
      <c r="D198" s="42">
        <v>3</v>
      </c>
      <c r="E198" s="42">
        <v>582</v>
      </c>
      <c r="F198" s="43">
        <v>45255</v>
      </c>
      <c r="G198" s="42" t="s">
        <v>15</v>
      </c>
      <c r="H198" s="42">
        <v>274</v>
      </c>
      <c r="I198" s="42" t="str">
        <f>VLOOKUP(продажи!$B198,товар!$A$1:$C$433,2)</f>
        <v>Макароны</v>
      </c>
      <c r="J198" s="42" t="str">
        <f>VLOOKUP(B198,товар!$A$1:$C$433,3)</f>
        <v>Макфа</v>
      </c>
      <c r="K198" s="44">
        <f>AVERAGEIF(продажи!$I$2:$I$1001,продажи!$I$2:$I$1001,продажи!$C$2:$C$1001)</f>
        <v>265.47674418604652</v>
      </c>
      <c r="L198" s="45">
        <f>продажи!$C198/продажи!$K198-1</f>
        <v>-0.26923919232622318</v>
      </c>
      <c r="M198" s="33">
        <f t="shared" si="6"/>
        <v>3622</v>
      </c>
      <c r="N198" s="24">
        <f>Таблица1[[#This Row],[цена за шт в рублях]]/Таблица1[[#This Row],[средняя стоимость в категории по поставщику.]]-1</f>
        <v>-0.94643843180563225</v>
      </c>
      <c r="O198" s="26">
        <f>VLOOKUP(Таблица1[[#This Row],[id клиента]],клиенты!$A$2:$E$435,5,0)</f>
        <v>44607</v>
      </c>
      <c r="P198">
        <f>Таблица1[[#This Row],[дата создания чека]]-Таблица1[[#This Row],[Дата регистрации клента]]</f>
        <v>648</v>
      </c>
      <c r="Q198" s="26">
        <f t="shared" ca="1" si="7"/>
        <v>46059</v>
      </c>
      <c r="R198" s="51">
        <f ca="1">(TODAY()-Таблица1[[#This Row],[Дата регистрации клента]])/30</f>
        <v>48.4</v>
      </c>
      <c r="S198" s="63" t="str">
        <f>VLOOKUP(Таблица1[[#This Row],[id клиента]],Таблица8[[id клиента]:[Страна]],7,0)</f>
        <v>Россия</v>
      </c>
      <c r="T198" s="26"/>
    </row>
    <row r="199" spans="1:20" ht="19.5" x14ac:dyDescent="0.4">
      <c r="A199" s="37">
        <v>198</v>
      </c>
      <c r="B199" s="31">
        <v>473</v>
      </c>
      <c r="C199" s="31">
        <v>171</v>
      </c>
      <c r="D199" s="31">
        <v>4</v>
      </c>
      <c r="E199" s="31">
        <v>684</v>
      </c>
      <c r="F199" s="38">
        <v>45058</v>
      </c>
      <c r="G199" s="31" t="s">
        <v>27</v>
      </c>
      <c r="H199" s="31">
        <v>266</v>
      </c>
      <c r="I199" s="31" t="str">
        <f>VLOOKUP(продажи!$B199,товар!$A$1:$C$433,2)</f>
        <v>Хлеб</v>
      </c>
      <c r="J199" s="31" t="str">
        <f>VLOOKUP(B199,товар!$A$1:$C$433,3)</f>
        <v>Хлебный Дом</v>
      </c>
      <c r="K199" s="39">
        <f>AVERAGEIF(продажи!$I$2:$I$1001,продажи!$I$2:$I$1001,продажи!$C$2:$C$1001)</f>
        <v>300.31818181818181</v>
      </c>
      <c r="L199" s="40">
        <f>продажи!$C199/продажи!$K199-1</f>
        <v>-0.43060390494929623</v>
      </c>
      <c r="M199" s="33">
        <f t="shared" si="6"/>
        <v>4226</v>
      </c>
      <c r="N199" s="24">
        <f>Таблица1[[#This Row],[цена за шт в рублях]]/Таблица1[[#This Row],[средняя стоимость в категории по поставщику.]]-1</f>
        <v>-0.95953620444865118</v>
      </c>
      <c r="O199" s="26">
        <f>VLOOKUP(Таблица1[[#This Row],[id клиента]],клиенты!$A$2:$E$435,5,0)</f>
        <v>44795</v>
      </c>
      <c r="P199">
        <f>Таблица1[[#This Row],[дата создания чека]]-Таблица1[[#This Row],[Дата регистрации клента]]</f>
        <v>263</v>
      </c>
      <c r="Q199" s="26">
        <f t="shared" ca="1" si="7"/>
        <v>46059</v>
      </c>
      <c r="R199" s="51">
        <f ca="1">(TODAY()-Таблица1[[#This Row],[Дата регистрации клента]])/30</f>
        <v>42.133333333333333</v>
      </c>
      <c r="S199" s="63" t="str">
        <f>VLOOKUP(Таблица1[[#This Row],[id клиента]],Таблица8[[id клиента]:[Страна]],7,0)</f>
        <v>Россия</v>
      </c>
      <c r="T199" s="26"/>
    </row>
    <row r="200" spans="1:20" ht="19.5" x14ac:dyDescent="0.4">
      <c r="A200" s="41">
        <v>199</v>
      </c>
      <c r="B200" s="42">
        <v>482</v>
      </c>
      <c r="C200" s="42">
        <v>321</v>
      </c>
      <c r="D200" s="42">
        <v>2</v>
      </c>
      <c r="E200" s="42">
        <v>642</v>
      </c>
      <c r="F200" s="43">
        <v>44942</v>
      </c>
      <c r="G200" s="42" t="s">
        <v>10</v>
      </c>
      <c r="H200" s="42">
        <v>481</v>
      </c>
      <c r="I200" s="42" t="str">
        <f>VLOOKUP(продажи!$B200,товар!$A$1:$C$433,2)</f>
        <v>Крупа</v>
      </c>
      <c r="J200" s="42" t="str">
        <f>VLOOKUP(B200,товар!$A$1:$C$433,3)</f>
        <v>Мистраль</v>
      </c>
      <c r="K200" s="44">
        <f>AVERAGEIF(продажи!$I$2:$I$1001,продажи!$I$2:$I$1001,продажи!$C$2:$C$1001)</f>
        <v>255.11627906976744</v>
      </c>
      <c r="L200" s="45">
        <f>продажи!$C200/продажи!$K200-1</f>
        <v>0.25824977210574285</v>
      </c>
      <c r="M200" s="33">
        <f t="shared" si="6"/>
        <v>3254</v>
      </c>
      <c r="N200" s="24">
        <f>Таблица1[[#This Row],[цена за шт в рублях]]/Таблица1[[#This Row],[средняя стоимость в категории по поставщику.]]-1</f>
        <v>-0.90135218192993238</v>
      </c>
      <c r="O200" s="26">
        <f>VLOOKUP(Таблица1[[#This Row],[id клиента]],клиенты!$A$2:$E$435,5,0)</f>
        <v>44756</v>
      </c>
      <c r="P200">
        <f>Таблица1[[#This Row],[дата создания чека]]-Таблица1[[#This Row],[Дата регистрации клента]]</f>
        <v>186</v>
      </c>
      <c r="Q200" s="26">
        <f t="shared" ca="1" si="7"/>
        <v>46059</v>
      </c>
      <c r="R200" s="51">
        <f ca="1">(TODAY()-Таблица1[[#This Row],[Дата регистрации клента]])/30</f>
        <v>43.43333333333333</v>
      </c>
      <c r="S200" s="63" t="str">
        <f>VLOOKUP(Таблица1[[#This Row],[id клиента]],Таблица8[[id клиента]:[Страна]],7,0)</f>
        <v>Беларусь</v>
      </c>
      <c r="T200" s="26"/>
    </row>
    <row r="201" spans="1:20" ht="19.5" x14ac:dyDescent="0.4">
      <c r="A201" s="37">
        <v>200</v>
      </c>
      <c r="B201" s="31">
        <v>169</v>
      </c>
      <c r="C201" s="31">
        <v>386</v>
      </c>
      <c r="D201" s="31">
        <v>5</v>
      </c>
      <c r="E201" s="31">
        <v>1930</v>
      </c>
      <c r="F201" s="38">
        <v>44967</v>
      </c>
      <c r="G201" s="31" t="s">
        <v>18</v>
      </c>
      <c r="H201" s="31">
        <v>59</v>
      </c>
      <c r="I201" s="31" t="str">
        <f>VLOOKUP(продажи!$B201,товар!$A$1:$C$433,2)</f>
        <v>Фрукты</v>
      </c>
      <c r="J201" s="31" t="str">
        <f>VLOOKUP(B201,товар!$A$1:$C$433,3)</f>
        <v>Фруктовый Рай</v>
      </c>
      <c r="K201" s="39">
        <f>AVERAGEIF(продажи!$I$2:$I$1001,продажи!$I$2:$I$1001,продажи!$C$2:$C$1001)</f>
        <v>274.16279069767444</v>
      </c>
      <c r="L201" s="40">
        <f>продажи!$C201/продажи!$K201-1</f>
        <v>0.4079226397489184</v>
      </c>
      <c r="M201" s="33">
        <f t="shared" si="6"/>
        <v>3358</v>
      </c>
      <c r="N201" s="24">
        <f>Таблица1[[#This Row],[цена за шт в рублях]]/Таблица1[[#This Row],[средняя стоимость в категории по поставщику.]]-1</f>
        <v>-0.88505062537224544</v>
      </c>
      <c r="O201" s="26">
        <f>VLOOKUP(Таблица1[[#This Row],[id клиента]],клиенты!$A$2:$E$435,5,0)</f>
        <v>44770</v>
      </c>
      <c r="P201">
        <f>Таблица1[[#This Row],[дата создания чека]]-Таблица1[[#This Row],[Дата регистрации клента]]</f>
        <v>197</v>
      </c>
      <c r="Q201" s="26">
        <f t="shared" ca="1" si="7"/>
        <v>46059</v>
      </c>
      <c r="R201" s="51">
        <f ca="1">(TODAY()-Таблица1[[#This Row],[Дата регистрации клента]])/30</f>
        <v>42.966666666666669</v>
      </c>
      <c r="S201" s="63" t="str">
        <f>VLOOKUP(Таблица1[[#This Row],[id клиента]],Таблица8[[id клиента]:[Страна]],7,0)</f>
        <v>Россия</v>
      </c>
      <c r="T201" s="26"/>
    </row>
    <row r="202" spans="1:20" ht="19.5" x14ac:dyDescent="0.4">
      <c r="A202" s="41">
        <v>201</v>
      </c>
      <c r="B202" s="42">
        <v>397</v>
      </c>
      <c r="C202" s="42">
        <v>148</v>
      </c>
      <c r="D202" s="42">
        <v>1</v>
      </c>
      <c r="E202" s="42">
        <v>148</v>
      </c>
      <c r="F202" s="43">
        <v>45010</v>
      </c>
      <c r="G202" s="42" t="s">
        <v>21</v>
      </c>
      <c r="H202" s="42">
        <v>47</v>
      </c>
      <c r="I202" s="42" t="str">
        <f>VLOOKUP(продажи!$B202,товар!$A$1:$C$433,2)</f>
        <v>Йогурт</v>
      </c>
      <c r="J202" s="42" t="str">
        <f>VLOOKUP(B202,товар!$A$1:$C$433,3)</f>
        <v>Ростагроэкспорт</v>
      </c>
      <c r="K202" s="44">
        <f>AVERAGEIF(продажи!$I$2:$I$1001,продажи!$I$2:$I$1001,продажи!$C$2:$C$1001)</f>
        <v>263.25423728813558</v>
      </c>
      <c r="L202" s="45">
        <f>продажи!$C202/продажи!$K202-1</f>
        <v>-0.43780582024208081</v>
      </c>
      <c r="M202" s="33">
        <f t="shared" si="6"/>
        <v>5929</v>
      </c>
      <c r="N202" s="24">
        <f>Таблица1[[#This Row],[цена за шт в рублях]]/Таблица1[[#This Row],[средняя стоимость в категории по поставщику.]]-1</f>
        <v>-0.97503794906392305</v>
      </c>
      <c r="O202" s="26">
        <f>VLOOKUP(Таблица1[[#This Row],[id клиента]],клиенты!$A$2:$E$435,5,0)</f>
        <v>44693</v>
      </c>
      <c r="P202">
        <f>Таблица1[[#This Row],[дата создания чека]]-Таблица1[[#This Row],[Дата регистрации клента]]</f>
        <v>317</v>
      </c>
      <c r="Q202" s="26">
        <f t="shared" ca="1" si="7"/>
        <v>46059</v>
      </c>
      <c r="R202" s="51">
        <f ca="1">(TODAY()-Таблица1[[#This Row],[Дата регистрации клента]])/30</f>
        <v>45.533333333333331</v>
      </c>
      <c r="S202" s="63" t="str">
        <f>VLOOKUP(Таблица1[[#This Row],[id клиента]],Таблица8[[id клиента]:[Страна]],7,0)</f>
        <v>Беларусь</v>
      </c>
      <c r="T202" s="26"/>
    </row>
    <row r="203" spans="1:20" ht="19.5" x14ac:dyDescent="0.4">
      <c r="A203" s="37">
        <v>202</v>
      </c>
      <c r="B203" s="31">
        <v>436</v>
      </c>
      <c r="C203" s="31">
        <v>291</v>
      </c>
      <c r="D203" s="31">
        <v>2</v>
      </c>
      <c r="E203" s="31">
        <v>582</v>
      </c>
      <c r="F203" s="38">
        <v>45095</v>
      </c>
      <c r="G203" s="31" t="s">
        <v>21</v>
      </c>
      <c r="H203" s="31">
        <v>385</v>
      </c>
      <c r="I203" s="31" t="str">
        <f>VLOOKUP(продажи!$B203,товар!$A$1:$C$433,2)</f>
        <v>Овощи</v>
      </c>
      <c r="J203" s="31" t="str">
        <f>VLOOKUP(B203,товар!$A$1:$C$433,3)</f>
        <v>Гавриш</v>
      </c>
      <c r="K203" s="39">
        <f>AVERAGEIF(продажи!$I$2:$I$1001,продажи!$I$2:$I$1001,продажи!$C$2:$C$1001)</f>
        <v>250.48780487804879</v>
      </c>
      <c r="L203" s="40">
        <f>продажи!$C203/продажи!$K203-1</f>
        <v>0.16173320350535536</v>
      </c>
      <c r="M203" s="33">
        <f t="shared" si="6"/>
        <v>2229</v>
      </c>
      <c r="N203" s="24">
        <f>Таблица1[[#This Row],[цена за шт в рублях]]/Таблица1[[#This Row],[средняя стоимость в категории по поставщику.]]-1</f>
        <v>-0.86944818304172278</v>
      </c>
      <c r="O203" s="26">
        <f>VLOOKUP(Таблица1[[#This Row],[id клиента]],клиенты!$A$2:$E$435,5,0)</f>
        <v>44753</v>
      </c>
      <c r="P203">
        <f>Таблица1[[#This Row],[дата создания чека]]-Таблица1[[#This Row],[Дата регистрации клента]]</f>
        <v>342</v>
      </c>
      <c r="Q203" s="26">
        <f t="shared" ca="1" si="7"/>
        <v>46059</v>
      </c>
      <c r="R203" s="51">
        <f ca="1">(TODAY()-Таблица1[[#This Row],[Дата регистрации клента]])/30</f>
        <v>43.533333333333331</v>
      </c>
      <c r="S203" s="63" t="str">
        <f>VLOOKUP(Таблица1[[#This Row],[id клиента]],Таблица8[[id клиента]:[Страна]],7,0)</f>
        <v>Украина</v>
      </c>
      <c r="T203" s="26"/>
    </row>
    <row r="204" spans="1:20" ht="19.5" x14ac:dyDescent="0.4">
      <c r="A204" s="41">
        <v>847</v>
      </c>
      <c r="B204" s="42">
        <v>206</v>
      </c>
      <c r="C204" s="42">
        <v>93</v>
      </c>
      <c r="D204" s="42">
        <v>2</v>
      </c>
      <c r="E204" s="42">
        <v>186</v>
      </c>
      <c r="F204" s="58">
        <v>45154</v>
      </c>
      <c r="G204" s="42" t="s">
        <v>17</v>
      </c>
      <c r="H204" s="56">
        <v>155</v>
      </c>
      <c r="I204" s="42" t="str">
        <f>VLOOKUP(продажи!$B848,товар!$A$1:$C$433,2)</f>
        <v>Молоко</v>
      </c>
      <c r="J204" s="42" t="str">
        <f>VLOOKUP(B204,товар!$A$1:$C$433,3)</f>
        <v>Домик в деревне</v>
      </c>
      <c r="K204" s="44">
        <f>AVERAGEIF(продажи!$I$2:$I$1001,продажи!$I$2:$I$1001,продажи!$C$2:$C$1001)</f>
        <v>294.95238095238096</v>
      </c>
      <c r="L204" s="45">
        <f>продажи!$C848/продажи!$K848-1</f>
        <v>-0.31514368743945753</v>
      </c>
      <c r="M204" s="53">
        <f t="shared" si="6"/>
        <v>4946</v>
      </c>
      <c r="N204" s="24">
        <f>Таблица1[[#This Row],[цена за шт в рублях]]/Таблица1[[#This Row],[средняя стоимость в категории по поставщику.]]-1</f>
        <v>-0.98119692680954307</v>
      </c>
      <c r="O204" s="26">
        <f>VLOOKUP(Таблица1[[#This Row],[id клиента]],клиенты!$A$2:$E$435,5,0)</f>
        <v>44564</v>
      </c>
      <c r="P204">
        <f>Таблица1[[#This Row],[дата создания чека]]-Таблица1[[#This Row],[Дата регистрации клента]]</f>
        <v>590</v>
      </c>
      <c r="Q204" s="26">
        <f t="shared" ca="1" si="7"/>
        <v>46059</v>
      </c>
      <c r="R204" s="51">
        <f ca="1">(TODAY()-Таблица1[[#This Row],[Дата регистрации клента]])/30</f>
        <v>49.833333333333336</v>
      </c>
      <c r="S204" s="63" t="str">
        <f>VLOOKUP(Таблица1[[#This Row],[id клиента]],Таблица8[[id клиента]:[Страна]],7,0)</f>
        <v>Украина</v>
      </c>
      <c r="T204" s="26"/>
    </row>
    <row r="205" spans="1:20" ht="19.5" x14ac:dyDescent="0.4">
      <c r="A205" s="37">
        <v>204</v>
      </c>
      <c r="B205" s="31">
        <v>361</v>
      </c>
      <c r="C205" s="31">
        <v>245</v>
      </c>
      <c r="D205" s="31">
        <v>1</v>
      </c>
      <c r="E205" s="31">
        <v>245</v>
      </c>
      <c r="F205" s="38">
        <v>45178</v>
      </c>
      <c r="G205" s="31" t="s">
        <v>24</v>
      </c>
      <c r="H205" s="31">
        <v>259</v>
      </c>
      <c r="I205" s="31" t="str">
        <f>VLOOKUP(продажи!$B205,товар!$A$1:$C$433,2)</f>
        <v>Мясо</v>
      </c>
      <c r="J205" s="31" t="str">
        <f>VLOOKUP(B205,товар!$A$1:$C$433,3)</f>
        <v>Сава</v>
      </c>
      <c r="K205" s="39">
        <f>AVERAGEIF(продажи!$I$2:$I$1001,продажи!$I$2:$I$1001,продажи!$C$2:$C$1001)</f>
        <v>271.74545454545455</v>
      </c>
      <c r="L205" s="40">
        <f>продажи!$C205/продажи!$K205-1</f>
        <v>-9.8420982202595986E-2</v>
      </c>
      <c r="M205" s="33">
        <f t="shared" si="6"/>
        <v>3405</v>
      </c>
      <c r="N205" s="24">
        <f>Таблица1[[#This Row],[цена за шт в рублях]]/Таблица1[[#This Row],[средняя стоимость в категории по поставщику.]]-1</f>
        <v>-0.92804698972099853</v>
      </c>
      <c r="O205" s="26">
        <f>VLOOKUP(Таблица1[[#This Row],[id клиента]],клиенты!$A$2:$E$435,5,0)</f>
        <v>44707</v>
      </c>
      <c r="P205">
        <f>Таблица1[[#This Row],[дата создания чека]]-Таблица1[[#This Row],[Дата регистрации клента]]</f>
        <v>471</v>
      </c>
      <c r="Q205" s="26">
        <f t="shared" ca="1" si="7"/>
        <v>46059</v>
      </c>
      <c r="R205" s="51">
        <f ca="1">(TODAY()-Таблица1[[#This Row],[Дата регистрации клента]])/30</f>
        <v>45.06666666666667</v>
      </c>
      <c r="S205" s="63" t="str">
        <f>VLOOKUP(Таблица1[[#This Row],[id клиента]],Таблица8[[id клиента]:[Страна]],7,0)</f>
        <v>Беларусь</v>
      </c>
      <c r="T205" s="26"/>
    </row>
    <row r="206" spans="1:20" ht="19.5" x14ac:dyDescent="0.4">
      <c r="A206" s="41">
        <v>205</v>
      </c>
      <c r="B206" s="42">
        <v>226</v>
      </c>
      <c r="C206" s="42">
        <v>339</v>
      </c>
      <c r="D206" s="42">
        <v>4</v>
      </c>
      <c r="E206" s="42">
        <v>1356</v>
      </c>
      <c r="F206" s="43">
        <v>45251</v>
      </c>
      <c r="G206" s="42" t="s">
        <v>15</v>
      </c>
      <c r="H206" s="42">
        <v>337</v>
      </c>
      <c r="I206" s="42" t="str">
        <f>VLOOKUP(продажи!$B206,товар!$A$1:$C$433,2)</f>
        <v>Сыр</v>
      </c>
      <c r="J206" s="42" t="str">
        <f>VLOOKUP(B206,товар!$A$1:$C$433,3)</f>
        <v>Карат</v>
      </c>
      <c r="K206" s="44">
        <f>AVERAGEIF(продажи!$I$2:$I$1001,продажи!$I$2:$I$1001,продажи!$C$2:$C$1001)</f>
        <v>261.03225806451616</v>
      </c>
      <c r="L206" s="45">
        <f>продажи!$C206/продажи!$K206-1</f>
        <v>0.29869006426099842</v>
      </c>
      <c r="M206" s="33">
        <f t="shared" si="6"/>
        <v>2802</v>
      </c>
      <c r="N206" s="24">
        <f>Таблица1[[#This Row],[цена за шт в рублях]]/Таблица1[[#This Row],[средняя стоимость в категории по поставщику.]]-1</f>
        <v>-0.87901498929336186</v>
      </c>
      <c r="O206" s="26">
        <f>VLOOKUP(Таблица1[[#This Row],[id клиента]],клиенты!$A$2:$E$435,5,0)</f>
        <v>44875</v>
      </c>
      <c r="P206">
        <f>Таблица1[[#This Row],[дата создания чека]]-Таблица1[[#This Row],[Дата регистрации клента]]</f>
        <v>376</v>
      </c>
      <c r="Q206" s="26">
        <f t="shared" ca="1" si="7"/>
        <v>46059</v>
      </c>
      <c r="R206" s="51">
        <f ca="1">(TODAY()-Таблица1[[#This Row],[Дата регистрации клента]])/30</f>
        <v>39.466666666666669</v>
      </c>
      <c r="S206" s="63" t="str">
        <f>VLOOKUP(Таблица1[[#This Row],[id клиента]],Таблица8[[id клиента]:[Страна]],7,0)</f>
        <v>Россия</v>
      </c>
      <c r="T206" s="26"/>
    </row>
    <row r="207" spans="1:20" ht="19.5" x14ac:dyDescent="0.4">
      <c r="A207" s="37">
        <v>206</v>
      </c>
      <c r="B207" s="31">
        <v>87</v>
      </c>
      <c r="C207" s="31">
        <v>487</v>
      </c>
      <c r="D207" s="31">
        <v>1</v>
      </c>
      <c r="E207" s="31">
        <v>487</v>
      </c>
      <c r="F207" s="38">
        <v>45019</v>
      </c>
      <c r="G207" s="31" t="s">
        <v>17</v>
      </c>
      <c r="H207" s="31">
        <v>172</v>
      </c>
      <c r="I207" s="31" t="str">
        <f>VLOOKUP(продажи!$B207,товар!$A$1:$C$433,2)</f>
        <v>Кофе</v>
      </c>
      <c r="J207" s="31" t="str">
        <f>VLOOKUP(B207,товар!$A$1:$C$433,3)</f>
        <v>Jacobs</v>
      </c>
      <c r="K207" s="39">
        <f>AVERAGEIF(продажи!$I$2:$I$1001,продажи!$I$2:$I$1001,продажи!$C$2:$C$1001)</f>
        <v>249.02380952380952</v>
      </c>
      <c r="L207" s="40">
        <f>продажи!$C207/продажи!$K207-1</f>
        <v>0.95563629410077455</v>
      </c>
      <c r="M207" s="33">
        <f t="shared" si="6"/>
        <v>5248</v>
      </c>
      <c r="N207" s="24">
        <f>Таблица1[[#This Row],[цена за шт в рублях]]/Таблица1[[#This Row],[средняя стоимость в категории по поставщику.]]-1</f>
        <v>-0.90720274390243905</v>
      </c>
      <c r="O207" s="26">
        <f>VLOOKUP(Таблица1[[#This Row],[id клиента]],клиенты!$A$2:$E$435,5,0)</f>
        <v>44737</v>
      </c>
      <c r="P207">
        <f>Таблица1[[#This Row],[дата создания чека]]-Таблица1[[#This Row],[Дата регистрации клента]]</f>
        <v>282</v>
      </c>
      <c r="Q207" s="26">
        <f t="shared" ca="1" si="7"/>
        <v>46059</v>
      </c>
      <c r="R207" s="51">
        <f ca="1">(TODAY()-Таблица1[[#This Row],[Дата регистрации клента]])/30</f>
        <v>44.06666666666667</v>
      </c>
      <c r="S207" s="63" t="str">
        <f>VLOOKUP(Таблица1[[#This Row],[id клиента]],Таблица8[[id клиента]:[Страна]],7,0)</f>
        <v>Россия</v>
      </c>
      <c r="T207" s="26"/>
    </row>
    <row r="208" spans="1:20" ht="19.5" x14ac:dyDescent="0.4">
      <c r="A208" s="41">
        <v>207</v>
      </c>
      <c r="B208" s="42">
        <v>376</v>
      </c>
      <c r="C208" s="42">
        <v>335</v>
      </c>
      <c r="D208" s="42">
        <v>5</v>
      </c>
      <c r="E208" s="42">
        <v>1675</v>
      </c>
      <c r="F208" s="43">
        <v>44983</v>
      </c>
      <c r="G208" s="42" t="s">
        <v>17</v>
      </c>
      <c r="H208" s="42">
        <v>130</v>
      </c>
      <c r="I208" s="42" t="str">
        <f>VLOOKUP(продажи!$B208,товар!$A$1:$C$433,2)</f>
        <v>Конфеты</v>
      </c>
      <c r="J208" s="42" t="str">
        <f>VLOOKUP(B208,товар!$A$1:$C$433,3)</f>
        <v>Красный Октябрь</v>
      </c>
      <c r="K208" s="44">
        <f>AVERAGEIF(продажи!$I$2:$I$1001,продажи!$I$2:$I$1001,продажи!$C$2:$C$1001)</f>
        <v>267.85483870967744</v>
      </c>
      <c r="L208" s="45">
        <f>продажи!$C208/продажи!$K208-1</f>
        <v>0.25067742518215197</v>
      </c>
      <c r="M208" s="33">
        <f t="shared" si="6"/>
        <v>2189</v>
      </c>
      <c r="N208" s="24">
        <f>Таблица1[[#This Row],[цена за шт в рублях]]/Таблица1[[#This Row],[средняя стоимость в категории по поставщику.]]-1</f>
        <v>-0.8469620831429876</v>
      </c>
      <c r="O208" s="26">
        <f>VLOOKUP(Таблица1[[#This Row],[id клиента]],клиенты!$A$2:$E$435,5,0)</f>
        <v>44863</v>
      </c>
      <c r="P208">
        <f>Таблица1[[#This Row],[дата создания чека]]-Таблица1[[#This Row],[Дата регистрации клента]]</f>
        <v>120</v>
      </c>
      <c r="Q208" s="26">
        <f t="shared" ca="1" si="7"/>
        <v>46059</v>
      </c>
      <c r="R208" s="51">
        <f ca="1">(TODAY()-Таблица1[[#This Row],[Дата регистрации клента]])/30</f>
        <v>39.866666666666667</v>
      </c>
      <c r="S208" s="63" t="str">
        <f>VLOOKUP(Таблица1[[#This Row],[id клиента]],Таблица8[[id клиента]:[Страна]],7,0)</f>
        <v>Таджикистан</v>
      </c>
      <c r="T208" s="26"/>
    </row>
    <row r="209" spans="1:20" ht="19.5" x14ac:dyDescent="0.4">
      <c r="A209" s="37">
        <v>208</v>
      </c>
      <c r="B209" s="31">
        <v>255</v>
      </c>
      <c r="C209" s="31">
        <v>214</v>
      </c>
      <c r="D209" s="31">
        <v>2</v>
      </c>
      <c r="E209" s="31">
        <v>428</v>
      </c>
      <c r="F209" s="38">
        <v>45031</v>
      </c>
      <c r="G209" s="31" t="s">
        <v>12</v>
      </c>
      <c r="H209" s="31">
        <v>354</v>
      </c>
      <c r="I209" s="31" t="str">
        <f>VLOOKUP(продажи!$B209,товар!$A$1:$C$433,2)</f>
        <v>Кофе</v>
      </c>
      <c r="J209" s="31" t="str">
        <f>VLOOKUP(B209,товар!$A$1:$C$433,3)</f>
        <v>Nescafe</v>
      </c>
      <c r="K209" s="39">
        <f>AVERAGEIF(продажи!$I$2:$I$1001,продажи!$I$2:$I$1001,продажи!$C$2:$C$1001)</f>
        <v>249.02380952380952</v>
      </c>
      <c r="L209" s="40">
        <f>продажи!$C209/продажи!$K209-1</f>
        <v>-0.14064442107276032</v>
      </c>
      <c r="M209" s="33">
        <f t="shared" si="6"/>
        <v>2569</v>
      </c>
      <c r="N209" s="24">
        <f>Таблица1[[#This Row],[цена за шт в рублях]]/Таблица1[[#This Row],[средняя стоимость в категории по поставщику.]]-1</f>
        <v>-0.91669910471000393</v>
      </c>
      <c r="O209" s="26">
        <f>VLOOKUP(Таблица1[[#This Row],[id клиента]],клиенты!$A$2:$E$435,5,0)</f>
        <v>44811</v>
      </c>
      <c r="P209">
        <f>Таблица1[[#This Row],[дата создания чека]]-Таблица1[[#This Row],[Дата регистрации клента]]</f>
        <v>220</v>
      </c>
      <c r="Q209" s="26">
        <f t="shared" ca="1" si="7"/>
        <v>46059</v>
      </c>
      <c r="R209" s="51">
        <f ca="1">(TODAY()-Таблица1[[#This Row],[Дата регистрации клента]])/30</f>
        <v>41.6</v>
      </c>
      <c r="S209" s="63" t="str">
        <f>VLOOKUP(Таблица1[[#This Row],[id клиента]],Таблица8[[id клиента]:[Страна]],7,0)</f>
        <v>Узбекистан</v>
      </c>
      <c r="T209" s="26"/>
    </row>
    <row r="210" spans="1:20" ht="19.5" x14ac:dyDescent="0.4">
      <c r="A210" s="41">
        <v>209</v>
      </c>
      <c r="B210" s="42">
        <v>111</v>
      </c>
      <c r="C210" s="42">
        <v>452</v>
      </c>
      <c r="D210" s="42">
        <v>4</v>
      </c>
      <c r="E210" s="42">
        <v>1808</v>
      </c>
      <c r="F210" s="43">
        <v>44927</v>
      </c>
      <c r="G210" s="42" t="s">
        <v>15</v>
      </c>
      <c r="H210" s="42">
        <v>329</v>
      </c>
      <c r="I210" s="42" t="str">
        <f>VLOOKUP(продажи!$B210,товар!$A$1:$C$433,2)</f>
        <v>Сахар</v>
      </c>
      <c r="J210" s="42" t="str">
        <f>VLOOKUP(B210,товар!$A$1:$C$433,3)</f>
        <v>Сладов</v>
      </c>
      <c r="K210" s="44">
        <f>AVERAGEIF(продажи!$I$2:$I$1001,продажи!$I$2:$I$1001,продажи!$C$2:$C$1001)</f>
        <v>254.58333333333334</v>
      </c>
      <c r="L210" s="45">
        <f>продажи!$C210/продажи!$K210-1</f>
        <v>0.77545008183306052</v>
      </c>
      <c r="M210" s="33">
        <f t="shared" si="6"/>
        <v>3604</v>
      </c>
      <c r="N210" s="24">
        <f>Таблица1[[#This Row],[цена за шт в рублях]]/Таблица1[[#This Row],[средняя стоимость в категории по поставщику.]]-1</f>
        <v>-0.87458379578246392</v>
      </c>
      <c r="O210" s="26">
        <f>VLOOKUP(Таблица1[[#This Row],[id клиента]],клиенты!$A$2:$E$435,5,0)</f>
        <v>44653</v>
      </c>
      <c r="P210">
        <f>Таблица1[[#This Row],[дата создания чека]]-Таблица1[[#This Row],[Дата регистрации клента]]</f>
        <v>274</v>
      </c>
      <c r="Q210" s="26">
        <f t="shared" ca="1" si="7"/>
        <v>46059</v>
      </c>
      <c r="R210" s="51">
        <f ca="1">(TODAY()-Таблица1[[#This Row],[Дата регистрации клента]])/30</f>
        <v>46.866666666666667</v>
      </c>
      <c r="S210" s="63" t="str">
        <f>VLOOKUP(Таблица1[[#This Row],[id клиента]],Таблица8[[id клиента]:[Страна]],7,0)</f>
        <v>Беларусь</v>
      </c>
      <c r="T210" s="26"/>
    </row>
    <row r="211" spans="1:20" ht="19.5" x14ac:dyDescent="0.4">
      <c r="A211" s="37">
        <v>210</v>
      </c>
      <c r="B211" s="31">
        <v>344</v>
      </c>
      <c r="C211" s="31">
        <v>172</v>
      </c>
      <c r="D211" s="31">
        <v>5</v>
      </c>
      <c r="E211" s="31">
        <v>860</v>
      </c>
      <c r="F211" s="38">
        <v>45092</v>
      </c>
      <c r="G211" s="31" t="s">
        <v>18</v>
      </c>
      <c r="H211" s="31">
        <v>186</v>
      </c>
      <c r="I211" s="31" t="str">
        <f>VLOOKUP(продажи!$B211,товар!$A$1:$C$433,2)</f>
        <v>Сок</v>
      </c>
      <c r="J211" s="31" t="str">
        <f>VLOOKUP(B211,товар!$A$1:$C$433,3)</f>
        <v>Сады Придонья</v>
      </c>
      <c r="K211" s="39">
        <f>AVERAGEIF(продажи!$I$2:$I$1001,продажи!$I$2:$I$1001,продажи!$C$2:$C$1001)</f>
        <v>268.60344827586209</v>
      </c>
      <c r="L211" s="40">
        <f>продажи!$C211/продажи!$K211-1</f>
        <v>-0.35965081199050009</v>
      </c>
      <c r="M211" s="33">
        <f t="shared" si="6"/>
        <v>2796</v>
      </c>
      <c r="N211" s="24">
        <f>Таблица1[[#This Row],[цена за шт в рублях]]/Таблица1[[#This Row],[средняя стоимость в категории по поставщику.]]-1</f>
        <v>-0.93848354792560795</v>
      </c>
      <c r="O211" s="26">
        <f>VLOOKUP(Таблица1[[#This Row],[id клиента]],клиенты!$A$2:$E$435,5,0)</f>
        <v>44914</v>
      </c>
      <c r="P211">
        <f>Таблица1[[#This Row],[дата создания чека]]-Таблица1[[#This Row],[Дата регистрации клента]]</f>
        <v>178</v>
      </c>
      <c r="Q211" s="26">
        <f t="shared" ca="1" si="7"/>
        <v>46059</v>
      </c>
      <c r="R211" s="51">
        <f ca="1">(TODAY()-Таблица1[[#This Row],[Дата регистрации клента]])/30</f>
        <v>38.166666666666664</v>
      </c>
      <c r="S211" s="63" t="str">
        <f>VLOOKUP(Таблица1[[#This Row],[id клиента]],Таблица8[[id клиента]:[Страна]],7,0)</f>
        <v>Беларусь</v>
      </c>
      <c r="T211" s="26"/>
    </row>
    <row r="212" spans="1:20" ht="19.5" x14ac:dyDescent="0.4">
      <c r="A212" s="41">
        <v>211</v>
      </c>
      <c r="B212" s="42">
        <v>462</v>
      </c>
      <c r="C212" s="42">
        <v>104</v>
      </c>
      <c r="D212" s="42">
        <v>4</v>
      </c>
      <c r="E212" s="42">
        <v>416</v>
      </c>
      <c r="F212" s="43">
        <v>45105</v>
      </c>
      <c r="G212" s="42" t="s">
        <v>20</v>
      </c>
      <c r="H212" s="42">
        <v>448</v>
      </c>
      <c r="I212" s="42" t="str">
        <f>VLOOKUP(продажи!$B212,товар!$A$1:$C$433,2)</f>
        <v>Рис</v>
      </c>
      <c r="J212" s="42" t="str">
        <f>VLOOKUP(B212,товар!$A$1:$C$433,3)</f>
        <v>Белый Злат</v>
      </c>
      <c r="K212" s="44">
        <f>AVERAGEIF(продажи!$I$2:$I$1001,продажи!$I$2:$I$1001,продажи!$C$2:$C$1001)</f>
        <v>258.375</v>
      </c>
      <c r="L212" s="45">
        <f>продажи!$C212/продажи!$K212-1</f>
        <v>-0.59748427672955973</v>
      </c>
      <c r="M212" s="33">
        <f t="shared" si="6"/>
        <v>4585</v>
      </c>
      <c r="N212" s="24">
        <f>Таблица1[[#This Row],[цена за шт в рублях]]/Таблица1[[#This Row],[средняя стоимость в категории по поставщику.]]-1</f>
        <v>-0.97731733914940022</v>
      </c>
      <c r="O212" s="26">
        <f>VLOOKUP(Таблица1[[#This Row],[id клиента]],клиенты!$A$2:$E$435,5,0)</f>
        <v>44770</v>
      </c>
      <c r="P212">
        <f>Таблица1[[#This Row],[дата создания чека]]-Таблица1[[#This Row],[Дата регистрации клента]]</f>
        <v>335</v>
      </c>
      <c r="Q212" s="26">
        <f t="shared" ca="1" si="7"/>
        <v>46059</v>
      </c>
      <c r="R212" s="51">
        <f ca="1">(TODAY()-Таблица1[[#This Row],[Дата регистрации клента]])/30</f>
        <v>42.966666666666669</v>
      </c>
      <c r="S212" s="63" t="str">
        <f>VLOOKUP(Таблица1[[#This Row],[id клиента]],Таблица8[[id клиента]:[Страна]],7,0)</f>
        <v>Россия</v>
      </c>
      <c r="T212" s="26"/>
    </row>
    <row r="213" spans="1:20" ht="19.5" x14ac:dyDescent="0.4">
      <c r="A213" s="37">
        <v>212</v>
      </c>
      <c r="B213" s="31">
        <v>279</v>
      </c>
      <c r="C213" s="31">
        <v>433</v>
      </c>
      <c r="D213" s="31">
        <v>4</v>
      </c>
      <c r="E213" s="31">
        <v>1732</v>
      </c>
      <c r="F213" s="38">
        <v>45265</v>
      </c>
      <c r="G213" s="31" t="s">
        <v>25</v>
      </c>
      <c r="H213" s="31">
        <v>377</v>
      </c>
      <c r="I213" s="31" t="str">
        <f>VLOOKUP(продажи!$B213,товар!$A$1:$C$433,2)</f>
        <v>Крупа</v>
      </c>
      <c r="J213" s="31" t="str">
        <f>VLOOKUP(B213,товар!$A$1:$C$433,3)</f>
        <v>Увелка</v>
      </c>
      <c r="K213" s="39">
        <f>AVERAGEIF(продажи!$I$2:$I$1001,продажи!$I$2:$I$1001,продажи!$C$2:$C$1001)</f>
        <v>255.11627906976744</v>
      </c>
      <c r="L213" s="40">
        <f>продажи!$C213/продажи!$K213-1</f>
        <v>0.69726526891522322</v>
      </c>
      <c r="M213" s="33">
        <f t="shared" si="6"/>
        <v>3023</v>
      </c>
      <c r="N213" s="24">
        <f>Таблица1[[#This Row],[цена за шт в рублях]]/Таблица1[[#This Row],[средняя стоимость в категории по поставщику.]]-1</f>
        <v>-0.85676480317565329</v>
      </c>
      <c r="O213" s="26">
        <f>VLOOKUP(Таблица1[[#This Row],[id клиента]],клиенты!$A$2:$E$435,5,0)</f>
        <v>44794</v>
      </c>
      <c r="P213">
        <f>Таблица1[[#This Row],[дата создания чека]]-Таблица1[[#This Row],[Дата регистрации клента]]</f>
        <v>471</v>
      </c>
      <c r="Q213" s="26">
        <f t="shared" ca="1" si="7"/>
        <v>46059</v>
      </c>
      <c r="R213" s="51">
        <f ca="1">(TODAY()-Таблица1[[#This Row],[Дата регистрации клента]])/30</f>
        <v>42.166666666666664</v>
      </c>
      <c r="S213" s="63" t="str">
        <f>VLOOKUP(Таблица1[[#This Row],[id клиента]],Таблица8[[id клиента]:[Страна]],7,0)</f>
        <v>Узбекистан</v>
      </c>
      <c r="T213" s="26"/>
    </row>
    <row r="214" spans="1:20" ht="19.5" x14ac:dyDescent="0.4">
      <c r="A214" s="41">
        <v>213</v>
      </c>
      <c r="B214" s="42">
        <v>322</v>
      </c>
      <c r="C214" s="42">
        <v>79</v>
      </c>
      <c r="D214" s="42">
        <v>5</v>
      </c>
      <c r="E214" s="42">
        <v>395</v>
      </c>
      <c r="F214" s="43">
        <v>45108</v>
      </c>
      <c r="G214" s="42" t="s">
        <v>13</v>
      </c>
      <c r="H214" s="42">
        <v>316</v>
      </c>
      <c r="I214" s="42" t="str">
        <f>VLOOKUP(продажи!$B214,товар!$A$1:$C$433,2)</f>
        <v>Крупа</v>
      </c>
      <c r="J214" s="42" t="str">
        <f>VLOOKUP(B214,товар!$A$1:$C$433,3)</f>
        <v>Увелка</v>
      </c>
      <c r="K214" s="44">
        <f>AVERAGEIF(продажи!$I$2:$I$1001,продажи!$I$2:$I$1001,продажи!$C$2:$C$1001)</f>
        <v>255.11627906976744</v>
      </c>
      <c r="L214" s="45">
        <f>продажи!$C214/продажи!$K214-1</f>
        <v>-0.69033728350045576</v>
      </c>
      <c r="M214" s="33">
        <f t="shared" si="6"/>
        <v>3023</v>
      </c>
      <c r="N214" s="24">
        <f>Таблица1[[#This Row],[цена за шт в рублях]]/Таблица1[[#This Row],[средняя стоимость в категории по поставщику.]]-1</f>
        <v>-0.97386701951703603</v>
      </c>
      <c r="O214" s="26">
        <f>VLOOKUP(Таблица1[[#This Row],[id клиента]],клиенты!$A$2:$E$435,5,0)</f>
        <v>44787</v>
      </c>
      <c r="P214">
        <f>Таблица1[[#This Row],[дата создания чека]]-Таблица1[[#This Row],[Дата регистрации клента]]</f>
        <v>321</v>
      </c>
      <c r="Q214" s="26">
        <f t="shared" ca="1" si="7"/>
        <v>46059</v>
      </c>
      <c r="R214" s="51">
        <f ca="1">(TODAY()-Таблица1[[#This Row],[Дата регистрации клента]])/30</f>
        <v>42.4</v>
      </c>
      <c r="S214" s="63" t="str">
        <f>VLOOKUP(Таблица1[[#This Row],[id клиента]],Таблица8[[id клиента]:[Страна]],7,0)</f>
        <v>Таджикистан</v>
      </c>
      <c r="T214" s="26"/>
    </row>
    <row r="215" spans="1:20" ht="19.5" x14ac:dyDescent="0.4">
      <c r="A215" s="37">
        <v>214</v>
      </c>
      <c r="B215" s="31">
        <v>494</v>
      </c>
      <c r="C215" s="31">
        <v>181</v>
      </c>
      <c r="D215" s="31">
        <v>1</v>
      </c>
      <c r="E215" s="31">
        <v>181</v>
      </c>
      <c r="F215" s="38">
        <v>45251</v>
      </c>
      <c r="G215" s="31" t="s">
        <v>24</v>
      </c>
      <c r="H215" s="31">
        <v>356</v>
      </c>
      <c r="I215" s="31" t="str">
        <f>VLOOKUP(продажи!$B215,товар!$A$1:$C$433,2)</f>
        <v>Сыр</v>
      </c>
      <c r="J215" s="31" t="str">
        <f>VLOOKUP(B215,товар!$A$1:$C$433,3)</f>
        <v>Сырная долина</v>
      </c>
      <c r="K215" s="39">
        <f>AVERAGEIF(продажи!$I$2:$I$1001,продажи!$I$2:$I$1001,продажи!$C$2:$C$1001)</f>
        <v>261.03225806451616</v>
      </c>
      <c r="L215" s="40">
        <f>продажи!$C215/продажи!$K215-1</f>
        <v>-0.30659911023232833</v>
      </c>
      <c r="M215" s="33">
        <f t="shared" si="6"/>
        <v>8943</v>
      </c>
      <c r="N215" s="24">
        <f>Таблица1[[#This Row],[цена за шт в рублях]]/Таблица1[[#This Row],[средняя стоимость в категории по поставщику.]]-1</f>
        <v>-0.9797607066979761</v>
      </c>
      <c r="O215" s="26">
        <f>VLOOKUP(Таблица1[[#This Row],[id клиента]],клиенты!$A$2:$E$435,5,0)</f>
        <v>44570</v>
      </c>
      <c r="P215">
        <f>Таблица1[[#This Row],[дата создания чека]]-Таблица1[[#This Row],[Дата регистрации клента]]</f>
        <v>681</v>
      </c>
      <c r="Q215" s="26">
        <f t="shared" ca="1" si="7"/>
        <v>46059</v>
      </c>
      <c r="R215" s="51">
        <f ca="1">(TODAY()-Таблица1[[#This Row],[Дата регистрации клента]])/30</f>
        <v>49.633333333333333</v>
      </c>
      <c r="S215" s="63" t="str">
        <f>VLOOKUP(Таблица1[[#This Row],[id клиента]],Таблица8[[id клиента]:[Страна]],7,0)</f>
        <v>Таджикистан</v>
      </c>
      <c r="T215" s="26"/>
    </row>
    <row r="216" spans="1:20" ht="19.5" x14ac:dyDescent="0.4">
      <c r="A216" s="41">
        <v>215</v>
      </c>
      <c r="B216" s="42">
        <v>317</v>
      </c>
      <c r="C216" s="42">
        <v>196</v>
      </c>
      <c r="D216" s="42">
        <v>3</v>
      </c>
      <c r="E216" s="42">
        <v>588</v>
      </c>
      <c r="F216" s="43">
        <v>45371</v>
      </c>
      <c r="G216" s="42" t="s">
        <v>16</v>
      </c>
      <c r="H216" s="42">
        <v>159</v>
      </c>
      <c r="I216" s="42" t="str">
        <f>VLOOKUP(продажи!$B216,товар!$A$1:$C$433,2)</f>
        <v>Сок</v>
      </c>
      <c r="J216" s="42" t="str">
        <f>VLOOKUP(B216,товар!$A$1:$C$433,3)</f>
        <v>Фруктовый сад</v>
      </c>
      <c r="K216" s="44">
        <f>AVERAGEIF(продажи!$I$2:$I$1001,продажи!$I$2:$I$1001,продажи!$C$2:$C$1001)</f>
        <v>268.60344827586209</v>
      </c>
      <c r="L216" s="45">
        <f>продажи!$C216/продажи!$K216-1</f>
        <v>-0.27029976250080245</v>
      </c>
      <c r="M216" s="33">
        <f t="shared" si="6"/>
        <v>9023</v>
      </c>
      <c r="N216" s="24">
        <f>Таблица1[[#This Row],[цена за шт в рублях]]/Таблица1[[#This Row],[средняя стоимость в категории по поставщику.]]-1</f>
        <v>-0.97827773467804502</v>
      </c>
      <c r="O216" s="26">
        <f>VLOOKUP(Таблица1[[#This Row],[id клиента]],клиенты!$A$2:$E$435,5,0)</f>
        <v>44686</v>
      </c>
      <c r="P216">
        <f>Таблица1[[#This Row],[дата создания чека]]-Таблица1[[#This Row],[Дата регистрации клента]]</f>
        <v>685</v>
      </c>
      <c r="Q216" s="26">
        <f t="shared" ca="1" si="7"/>
        <v>46059</v>
      </c>
      <c r="R216" s="51">
        <f ca="1">(TODAY()-Таблица1[[#This Row],[Дата регистрации клента]])/30</f>
        <v>45.766666666666666</v>
      </c>
      <c r="S216" s="63" t="str">
        <f>VLOOKUP(Таблица1[[#This Row],[id клиента]],Таблица8[[id клиента]:[Страна]],7,0)</f>
        <v>Узбекистан</v>
      </c>
      <c r="T216" s="26"/>
    </row>
    <row r="217" spans="1:20" ht="19.5" x14ac:dyDescent="0.4">
      <c r="A217" s="37">
        <v>216</v>
      </c>
      <c r="B217" s="31">
        <v>223</v>
      </c>
      <c r="C217" s="31">
        <v>174</v>
      </c>
      <c r="D217" s="31">
        <v>1</v>
      </c>
      <c r="E217" s="31">
        <v>174</v>
      </c>
      <c r="F217" s="38">
        <v>45022</v>
      </c>
      <c r="G217" s="31" t="s">
        <v>10</v>
      </c>
      <c r="H217" s="31">
        <v>287</v>
      </c>
      <c r="I217" s="31" t="str">
        <f>VLOOKUP(продажи!$B217,товар!$A$1:$C$433,2)</f>
        <v>Чай</v>
      </c>
      <c r="J217" s="31" t="str">
        <f>VLOOKUP(B217,товар!$A$1:$C$433,3)</f>
        <v>Greenfield</v>
      </c>
      <c r="K217" s="39">
        <f>AVERAGEIF(продажи!$I$2:$I$1001,продажи!$I$2:$I$1001,продажи!$C$2:$C$1001)</f>
        <v>271.18181818181819</v>
      </c>
      <c r="L217" s="40">
        <f>продажи!$C217/продажи!$K217-1</f>
        <v>-0.35836406302380153</v>
      </c>
      <c r="M217" s="33">
        <f t="shared" si="6"/>
        <v>6412</v>
      </c>
      <c r="N217" s="24">
        <f>Таблица1[[#This Row],[цена за шт в рублях]]/Таблица1[[#This Row],[средняя стоимость в категории по поставщику.]]-1</f>
        <v>-0.97286338116032445</v>
      </c>
      <c r="O217" s="26">
        <f>VLOOKUP(Таблица1[[#This Row],[id клиента]],клиенты!$A$2:$E$435,5,0)</f>
        <v>44608</v>
      </c>
      <c r="P217">
        <f>Таблица1[[#This Row],[дата создания чека]]-Таблица1[[#This Row],[Дата регистрации клента]]</f>
        <v>414</v>
      </c>
      <c r="Q217" s="26">
        <f t="shared" ca="1" si="7"/>
        <v>46059</v>
      </c>
      <c r="R217" s="51">
        <f ca="1">(TODAY()-Таблица1[[#This Row],[Дата регистрации клента]])/30</f>
        <v>48.366666666666667</v>
      </c>
      <c r="S217" s="63" t="str">
        <f>VLOOKUP(Таблица1[[#This Row],[id клиента]],Таблица8[[id клиента]:[Страна]],7,0)</f>
        <v>Россия</v>
      </c>
      <c r="T217" s="26"/>
    </row>
    <row r="218" spans="1:20" ht="19.5" x14ac:dyDescent="0.4">
      <c r="A218" s="41">
        <v>217</v>
      </c>
      <c r="B218" s="42">
        <v>25</v>
      </c>
      <c r="C218" s="42">
        <v>356</v>
      </c>
      <c r="D218" s="42">
        <v>3</v>
      </c>
      <c r="E218" s="42">
        <v>1068</v>
      </c>
      <c r="F218" s="43">
        <v>45018</v>
      </c>
      <c r="G218" s="42" t="s">
        <v>15</v>
      </c>
      <c r="H218" s="42">
        <v>322</v>
      </c>
      <c r="I218" s="42" t="str">
        <f>VLOOKUP(продажи!$B218,товар!$A$1:$C$433,2)</f>
        <v>Чипсы</v>
      </c>
      <c r="J218" s="42" t="str">
        <f>VLOOKUP(B218,товар!$A$1:$C$433,3)</f>
        <v>Русская картошка</v>
      </c>
      <c r="K218" s="44">
        <f>AVERAGEIF(продажи!$I$2:$I$1001,продажи!$I$2:$I$1001,продажи!$C$2:$C$1001)</f>
        <v>273.72549019607845</v>
      </c>
      <c r="L218" s="45">
        <f>продажи!$C218/продажи!$K218-1</f>
        <v>0.30057306590257871</v>
      </c>
      <c r="M218" s="33">
        <f t="shared" si="6"/>
        <v>2902</v>
      </c>
      <c r="N218" s="24">
        <f>Таблица1[[#This Row],[цена за шт в рублях]]/Таблица1[[#This Row],[средняя стоимость в категории по поставщику.]]-1</f>
        <v>-0.87732598208132329</v>
      </c>
      <c r="O218" s="26">
        <f>VLOOKUP(Таблица1[[#This Row],[id клиента]],клиенты!$A$2:$E$435,5,0)</f>
        <v>44886</v>
      </c>
      <c r="P218">
        <f>Таблица1[[#This Row],[дата создания чека]]-Таблица1[[#This Row],[Дата регистрации клента]]</f>
        <v>132</v>
      </c>
      <c r="Q218" s="26">
        <f t="shared" ca="1" si="7"/>
        <v>46059</v>
      </c>
      <c r="R218" s="51">
        <f ca="1">(TODAY()-Таблица1[[#This Row],[Дата регистрации клента]])/30</f>
        <v>39.1</v>
      </c>
      <c r="S218" s="63" t="str">
        <f>VLOOKUP(Таблица1[[#This Row],[id клиента]],Таблица8[[id клиента]:[Страна]],7,0)</f>
        <v>Украина</v>
      </c>
      <c r="T218" s="26"/>
    </row>
    <row r="219" spans="1:20" ht="19.5" x14ac:dyDescent="0.4">
      <c r="A219" s="37">
        <v>218</v>
      </c>
      <c r="B219" s="31">
        <v>392</v>
      </c>
      <c r="C219" s="31">
        <v>125</v>
      </c>
      <c r="D219" s="31">
        <v>5</v>
      </c>
      <c r="E219" s="31">
        <v>625</v>
      </c>
      <c r="F219" s="38">
        <v>45282</v>
      </c>
      <c r="G219" s="31" t="s">
        <v>9</v>
      </c>
      <c r="H219" s="31">
        <v>62</v>
      </c>
      <c r="I219" s="31" t="str">
        <f>VLOOKUP(продажи!$B219,товар!$A$1:$C$433,2)</f>
        <v>Кофе</v>
      </c>
      <c r="J219" s="31" t="str">
        <f>VLOOKUP(B219,товар!$A$1:$C$433,3)</f>
        <v>Черная Карта</v>
      </c>
      <c r="K219" s="39">
        <f>AVERAGEIF(продажи!$I$2:$I$1001,продажи!$I$2:$I$1001,продажи!$C$2:$C$1001)</f>
        <v>249.02380952380952</v>
      </c>
      <c r="L219" s="40">
        <f>продажи!$C219/продажи!$K219-1</f>
        <v>-0.49803996557988339</v>
      </c>
      <c r="M219" s="33">
        <f t="shared" si="6"/>
        <v>2222</v>
      </c>
      <c r="N219" s="24">
        <f>Таблица1[[#This Row],[цена за шт в рублях]]/Таблица1[[#This Row],[средняя стоимость в категории по поставщику.]]-1</f>
        <v>-0.94374437443744374</v>
      </c>
      <c r="O219" s="26">
        <f>VLOOKUP(Таблица1[[#This Row],[id клиента]],клиенты!$A$2:$E$435,5,0)</f>
        <v>44671</v>
      </c>
      <c r="P219">
        <f>Таблица1[[#This Row],[дата создания чека]]-Таблица1[[#This Row],[Дата регистрации клента]]</f>
        <v>611</v>
      </c>
      <c r="Q219" s="26">
        <f t="shared" ca="1" si="7"/>
        <v>46059</v>
      </c>
      <c r="R219" s="51">
        <f ca="1">(TODAY()-Таблица1[[#This Row],[Дата регистрации клента]])/30</f>
        <v>46.266666666666666</v>
      </c>
      <c r="S219" s="63" t="str">
        <f>VLOOKUP(Таблица1[[#This Row],[id клиента]],Таблица8[[id клиента]:[Страна]],7,0)</f>
        <v>Россия</v>
      </c>
      <c r="T219" s="26"/>
    </row>
    <row r="220" spans="1:20" ht="19.5" x14ac:dyDescent="0.4">
      <c r="A220" s="41">
        <v>219</v>
      </c>
      <c r="B220" s="42">
        <v>410</v>
      </c>
      <c r="C220" s="42">
        <v>228</v>
      </c>
      <c r="D220" s="42">
        <v>2</v>
      </c>
      <c r="E220" s="42">
        <v>456</v>
      </c>
      <c r="F220" s="43">
        <v>45224</v>
      </c>
      <c r="G220" s="42" t="s">
        <v>22</v>
      </c>
      <c r="H220" s="42">
        <v>295</v>
      </c>
      <c r="I220" s="42" t="str">
        <f>VLOOKUP(продажи!$B220,товар!$A$1:$C$433,2)</f>
        <v>Чипсы</v>
      </c>
      <c r="J220" s="42" t="str">
        <f>VLOOKUP(B220,товар!$A$1:$C$433,3)</f>
        <v>Lay's</v>
      </c>
      <c r="K220" s="44">
        <f>AVERAGEIF(продажи!$I$2:$I$1001,продажи!$I$2:$I$1001,продажи!$C$2:$C$1001)</f>
        <v>273.72549019607845</v>
      </c>
      <c r="L220" s="45">
        <f>продажи!$C220/продажи!$K220-1</f>
        <v>-0.16704871060171922</v>
      </c>
      <c r="M220" s="33">
        <f t="shared" si="6"/>
        <v>2244</v>
      </c>
      <c r="N220" s="24">
        <f>Таблица1[[#This Row],[цена за шт в рублях]]/Таблица1[[#This Row],[средняя стоимость в категории по поставщику.]]-1</f>
        <v>-0.89839572192513373</v>
      </c>
      <c r="O220" s="26">
        <f>VLOOKUP(Таблица1[[#This Row],[id клиента]],клиенты!$A$2:$E$435,5,0)</f>
        <v>44588</v>
      </c>
      <c r="P220">
        <f>Таблица1[[#This Row],[дата создания чека]]-Таблица1[[#This Row],[Дата регистрации клента]]</f>
        <v>636</v>
      </c>
      <c r="Q220" s="26">
        <f t="shared" ca="1" si="7"/>
        <v>46059</v>
      </c>
      <c r="R220" s="51">
        <f ca="1">(TODAY()-Таблица1[[#This Row],[Дата регистрации клента]])/30</f>
        <v>49.033333333333331</v>
      </c>
      <c r="S220" s="63" t="str">
        <f>VLOOKUP(Таблица1[[#This Row],[id клиента]],Таблица8[[id клиента]:[Страна]],7,0)</f>
        <v>Россия</v>
      </c>
      <c r="T220" s="26"/>
    </row>
    <row r="221" spans="1:20" ht="19.5" x14ac:dyDescent="0.4">
      <c r="A221" s="37">
        <v>936</v>
      </c>
      <c r="B221" s="31">
        <v>302</v>
      </c>
      <c r="C221" s="31">
        <v>229</v>
      </c>
      <c r="D221" s="31">
        <v>5</v>
      </c>
      <c r="E221" s="31">
        <v>1145</v>
      </c>
      <c r="F221" s="57">
        <v>45372</v>
      </c>
      <c r="G221" s="31" t="s">
        <v>12</v>
      </c>
      <c r="H221" s="55">
        <v>42</v>
      </c>
      <c r="I221" s="31" t="str">
        <f>VLOOKUP(продажи!$B937,товар!$A$1:$C$433,2)</f>
        <v>Молоко</v>
      </c>
      <c r="J221" s="31" t="str">
        <f>VLOOKUP(B221,товар!$A$1:$C$433,3)</f>
        <v>Домик в деревне</v>
      </c>
      <c r="K221" s="39">
        <f>AVERAGEIF(продажи!$I$2:$I$1001,продажи!$I$2:$I$1001,продажи!$C$2:$C$1001)</f>
        <v>294.95238095238096</v>
      </c>
      <c r="L221" s="40">
        <f>продажи!$C937/продажи!$K937-1</f>
        <v>-0.76267355505327739</v>
      </c>
      <c r="M221" s="53">
        <f t="shared" si="6"/>
        <v>4946</v>
      </c>
      <c r="N221" s="24">
        <f>Таблица1[[#This Row],[цена за шт в рублях]]/Таблица1[[#This Row],[средняя стоимость в категории по поставщику.]]-1</f>
        <v>-0.95369995956328346</v>
      </c>
      <c r="O221" s="26">
        <f>VLOOKUP(Таблица1[[#This Row],[id клиента]],клиенты!$A$2:$E$435,5,0)</f>
        <v>44783</v>
      </c>
      <c r="P221">
        <f>Таблица1[[#This Row],[дата создания чека]]-Таблица1[[#This Row],[Дата регистрации клента]]</f>
        <v>589</v>
      </c>
      <c r="Q221" s="26">
        <f t="shared" ca="1" si="7"/>
        <v>46059</v>
      </c>
      <c r="R221" s="51">
        <f ca="1">(TODAY()-Таблица1[[#This Row],[Дата регистрации клента]])/30</f>
        <v>42.533333333333331</v>
      </c>
      <c r="S221" s="63" t="str">
        <f>VLOOKUP(Таблица1[[#This Row],[id клиента]],Таблица8[[id клиента]:[Страна]],7,0)</f>
        <v>Таджикистан</v>
      </c>
      <c r="T221" s="26"/>
    </row>
    <row r="222" spans="1:20" ht="19.5" x14ac:dyDescent="0.4">
      <c r="A222" s="41">
        <v>221</v>
      </c>
      <c r="B222" s="42">
        <v>304</v>
      </c>
      <c r="C222" s="42">
        <v>163</v>
      </c>
      <c r="D222" s="42">
        <v>3</v>
      </c>
      <c r="E222" s="42">
        <v>489</v>
      </c>
      <c r="F222" s="43">
        <v>45139</v>
      </c>
      <c r="G222" s="42" t="s">
        <v>14</v>
      </c>
      <c r="H222" s="42">
        <v>392</v>
      </c>
      <c r="I222" s="42" t="str">
        <f>VLOOKUP(продажи!$B222,товар!$A$1:$C$433,2)</f>
        <v>Конфеты</v>
      </c>
      <c r="J222" s="42" t="str">
        <f>VLOOKUP(B222,товар!$A$1:$C$433,3)</f>
        <v>Рот Фронт</v>
      </c>
      <c r="K222" s="44">
        <f>AVERAGEIF(продажи!$I$2:$I$1001,продажи!$I$2:$I$1001,продажи!$C$2:$C$1001)</f>
        <v>267.85483870967744</v>
      </c>
      <c r="L222" s="45">
        <f>продажи!$C222/продажи!$K222-1</f>
        <v>-0.39146143192629623</v>
      </c>
      <c r="M222" s="33">
        <f t="shared" si="6"/>
        <v>6053</v>
      </c>
      <c r="N222" s="24">
        <f>Таблица1[[#This Row],[цена за шт в рублях]]/Таблица1[[#This Row],[средняя стоимость в категории по поставщику.]]-1</f>
        <v>-0.97307120436147365</v>
      </c>
      <c r="O222" s="26">
        <f>VLOOKUP(Таблица1[[#This Row],[id клиента]],клиенты!$A$2:$E$435,5,0)</f>
        <v>44919</v>
      </c>
      <c r="P222">
        <f>Таблица1[[#This Row],[дата создания чека]]-Таблица1[[#This Row],[Дата регистрации клента]]</f>
        <v>220</v>
      </c>
      <c r="Q222" s="26">
        <f t="shared" ca="1" si="7"/>
        <v>46059</v>
      </c>
      <c r="R222" s="51">
        <f ca="1">(TODAY()-Таблица1[[#This Row],[Дата регистрации клента]])/30</f>
        <v>38</v>
      </c>
      <c r="S222" s="63" t="str">
        <f>VLOOKUP(Таблица1[[#This Row],[id клиента]],Таблица8[[id клиента]:[Страна]],7,0)</f>
        <v>Россия</v>
      </c>
      <c r="T222" s="26"/>
    </row>
    <row r="223" spans="1:20" ht="19.5" x14ac:dyDescent="0.4">
      <c r="A223" s="37">
        <v>222</v>
      </c>
      <c r="B223" s="31">
        <v>333</v>
      </c>
      <c r="C223" s="31">
        <v>70</v>
      </c>
      <c r="D223" s="31">
        <v>1</v>
      </c>
      <c r="E223" s="31">
        <v>70</v>
      </c>
      <c r="F223" s="38">
        <v>45076</v>
      </c>
      <c r="G223" s="31" t="s">
        <v>16</v>
      </c>
      <c r="H223" s="31">
        <v>229</v>
      </c>
      <c r="I223" s="31" t="str">
        <f>VLOOKUP(продажи!$B223,товар!$A$1:$C$433,2)</f>
        <v>Рыба</v>
      </c>
      <c r="J223" s="31" t="str">
        <f>VLOOKUP(B223,товар!$A$1:$C$433,3)</f>
        <v>Санта Бремор</v>
      </c>
      <c r="K223" s="39">
        <f>AVERAGEIF(продажи!$I$2:$I$1001,продажи!$I$2:$I$1001,продажи!$C$2:$C$1001)</f>
        <v>258.5128205128205</v>
      </c>
      <c r="L223" s="40">
        <f>продажи!$C223/продажи!$K223-1</f>
        <v>-0.72922039277921047</v>
      </c>
      <c r="M223" s="33">
        <f t="shared" si="6"/>
        <v>2164</v>
      </c>
      <c r="N223" s="24">
        <f>Таблица1[[#This Row],[цена за шт в рублях]]/Таблица1[[#This Row],[средняя стоимость в категории по поставщику.]]-1</f>
        <v>-0.96765249537892795</v>
      </c>
      <c r="O223" s="26">
        <f>VLOOKUP(Таблица1[[#This Row],[id клиента]],клиенты!$A$2:$E$435,5,0)</f>
        <v>44766</v>
      </c>
      <c r="P223">
        <f>Таблица1[[#This Row],[дата создания чека]]-Таблица1[[#This Row],[Дата регистрации клента]]</f>
        <v>310</v>
      </c>
      <c r="Q223" s="26">
        <f t="shared" ca="1" si="7"/>
        <v>46059</v>
      </c>
      <c r="R223" s="51">
        <f ca="1">(TODAY()-Таблица1[[#This Row],[Дата регистрации клента]])/30</f>
        <v>43.1</v>
      </c>
      <c r="S223" s="63" t="str">
        <f>VLOOKUP(Таблица1[[#This Row],[id клиента]],Таблица8[[id клиента]:[Страна]],7,0)</f>
        <v>Беларусь</v>
      </c>
      <c r="T223" s="26"/>
    </row>
    <row r="224" spans="1:20" ht="19.5" x14ac:dyDescent="0.4">
      <c r="A224" s="41">
        <v>223</v>
      </c>
      <c r="B224" s="42">
        <v>207</v>
      </c>
      <c r="C224" s="42">
        <v>208</v>
      </c>
      <c r="D224" s="42">
        <v>5</v>
      </c>
      <c r="E224" s="42">
        <v>1040</v>
      </c>
      <c r="F224" s="43">
        <v>44960</v>
      </c>
      <c r="G224" s="42" t="s">
        <v>8</v>
      </c>
      <c r="H224" s="42">
        <v>253</v>
      </c>
      <c r="I224" s="42" t="str">
        <f>VLOOKUP(продажи!$B224,товар!$A$1:$C$433,2)</f>
        <v>Сахар</v>
      </c>
      <c r="J224" s="42" t="str">
        <f>VLOOKUP(B224,товар!$A$1:$C$433,3)</f>
        <v>Агросахар</v>
      </c>
      <c r="K224" s="44">
        <f>AVERAGEIF(продажи!$I$2:$I$1001,продажи!$I$2:$I$1001,продажи!$C$2:$C$1001)</f>
        <v>254.58333333333334</v>
      </c>
      <c r="L224" s="45">
        <f>продажи!$C224/продажи!$K224-1</f>
        <v>-0.18297872340425536</v>
      </c>
      <c r="M224" s="33">
        <f t="shared" si="6"/>
        <v>1511</v>
      </c>
      <c r="N224" s="24">
        <f>Таблица1[[#This Row],[цена за шт в рублях]]/Таблица1[[#This Row],[средняя стоимость в категории по поставщику.]]-1</f>
        <v>-0.86234281932495038</v>
      </c>
      <c r="O224" s="26">
        <f>VLOOKUP(Таблица1[[#This Row],[id клиента]],клиенты!$A$2:$E$435,5,0)</f>
        <v>44750</v>
      </c>
      <c r="P224">
        <f>Таблица1[[#This Row],[дата создания чека]]-Таблица1[[#This Row],[Дата регистрации клента]]</f>
        <v>210</v>
      </c>
      <c r="Q224" s="26">
        <f t="shared" ca="1" si="7"/>
        <v>46059</v>
      </c>
      <c r="R224" s="51">
        <f ca="1">(TODAY()-Таблица1[[#This Row],[Дата регистрации клента]])/30</f>
        <v>43.633333333333333</v>
      </c>
      <c r="S224" s="63" t="str">
        <f>VLOOKUP(Таблица1[[#This Row],[id клиента]],Таблица8[[id клиента]:[Страна]],7,0)</f>
        <v>Беларусь</v>
      </c>
      <c r="T224" s="26"/>
    </row>
    <row r="225" spans="1:20" ht="19.5" x14ac:dyDescent="0.4">
      <c r="A225" s="37">
        <v>224</v>
      </c>
      <c r="B225" s="31">
        <v>348</v>
      </c>
      <c r="C225" s="31">
        <v>417</v>
      </c>
      <c r="D225" s="31">
        <v>4</v>
      </c>
      <c r="E225" s="31">
        <v>1668</v>
      </c>
      <c r="F225" s="38">
        <v>45005</v>
      </c>
      <c r="G225" s="31" t="s">
        <v>18</v>
      </c>
      <c r="H225" s="31">
        <v>235</v>
      </c>
      <c r="I225" s="31" t="str">
        <f>VLOOKUP(продажи!$B225,товар!$A$1:$C$433,2)</f>
        <v>Чипсы</v>
      </c>
      <c r="J225" s="31" t="str">
        <f>VLOOKUP(B225,товар!$A$1:$C$433,3)</f>
        <v>Estrella</v>
      </c>
      <c r="K225" s="39">
        <f>AVERAGEIF(продажи!$I$2:$I$1001,продажи!$I$2:$I$1001,продажи!$C$2:$C$1001)</f>
        <v>273.72549019607845</v>
      </c>
      <c r="L225" s="40">
        <f>продажи!$C225/продажи!$K225-1</f>
        <v>0.52342406876790815</v>
      </c>
      <c r="M225" s="33">
        <f t="shared" si="6"/>
        <v>2929</v>
      </c>
      <c r="N225" s="24">
        <f>Таблица1[[#This Row],[цена за шт в рублях]]/Таблица1[[#This Row],[средняя стоимость в категории по поставщику.]]-1</f>
        <v>-0.85763059064527147</v>
      </c>
      <c r="O225" s="26">
        <f>VLOOKUP(Таблица1[[#This Row],[id клиента]],клиенты!$A$2:$E$435,5,0)</f>
        <v>44635</v>
      </c>
      <c r="P225">
        <f>Таблица1[[#This Row],[дата создания чека]]-Таблица1[[#This Row],[Дата регистрации клента]]</f>
        <v>370</v>
      </c>
      <c r="Q225" s="26">
        <f t="shared" ca="1" si="7"/>
        <v>46059</v>
      </c>
      <c r="R225" s="51">
        <f ca="1">(TODAY()-Таблица1[[#This Row],[Дата регистрации клента]])/30</f>
        <v>47.466666666666669</v>
      </c>
      <c r="S225" s="63" t="str">
        <f>VLOOKUP(Таблица1[[#This Row],[id клиента]],Таблица8[[id клиента]:[Страна]],7,0)</f>
        <v>Узбекистан</v>
      </c>
      <c r="T225" s="26"/>
    </row>
    <row r="226" spans="1:20" ht="19.5" x14ac:dyDescent="0.4">
      <c r="A226" s="41">
        <v>225</v>
      </c>
      <c r="B226" s="42">
        <v>4</v>
      </c>
      <c r="C226" s="42">
        <v>198</v>
      </c>
      <c r="D226" s="42">
        <v>5</v>
      </c>
      <c r="E226" s="42">
        <v>990</v>
      </c>
      <c r="F226" s="43">
        <v>45351</v>
      </c>
      <c r="G226" s="42" t="s">
        <v>8</v>
      </c>
      <c r="H226" s="42">
        <v>156</v>
      </c>
      <c r="I226" s="42" t="str">
        <f>VLOOKUP(продажи!$B226,товар!$A$1:$C$433,2)</f>
        <v>Рис</v>
      </c>
      <c r="J226" s="42" t="str">
        <f>VLOOKUP(B226,товар!$A$1:$C$433,3)</f>
        <v>Белый Злат</v>
      </c>
      <c r="K226" s="44">
        <f>AVERAGEIF(продажи!$I$2:$I$1001,продажи!$I$2:$I$1001,продажи!$C$2:$C$1001)</f>
        <v>258.375</v>
      </c>
      <c r="L226" s="45">
        <f>продажи!$C226/продажи!$K226-1</f>
        <v>-0.23367198838896952</v>
      </c>
      <c r="M226" s="33">
        <f t="shared" si="6"/>
        <v>4585</v>
      </c>
      <c r="N226" s="24">
        <f>Таблица1[[#This Row],[цена за шт в рублях]]/Таблица1[[#This Row],[средняя стоимость в категории по поставщику.]]-1</f>
        <v>-0.95681570338058886</v>
      </c>
      <c r="O226" s="26">
        <f>VLOOKUP(Таблица1[[#This Row],[id клиента]],клиенты!$A$2:$E$435,5,0)</f>
        <v>44905</v>
      </c>
      <c r="P226">
        <f>Таблица1[[#This Row],[дата создания чека]]-Таблица1[[#This Row],[Дата регистрации клента]]</f>
        <v>446</v>
      </c>
      <c r="Q226" s="26">
        <f t="shared" ca="1" si="7"/>
        <v>46059</v>
      </c>
      <c r="R226" s="51">
        <f ca="1">(TODAY()-Таблица1[[#This Row],[Дата регистрации клента]])/30</f>
        <v>38.466666666666669</v>
      </c>
      <c r="S226" s="63" t="str">
        <f>VLOOKUP(Таблица1[[#This Row],[id клиента]],Таблица8[[id клиента]:[Страна]],7,0)</f>
        <v>Украина</v>
      </c>
      <c r="T226" s="26"/>
    </row>
    <row r="227" spans="1:20" ht="19.5" x14ac:dyDescent="0.4">
      <c r="A227" s="37">
        <v>226</v>
      </c>
      <c r="B227" s="31">
        <v>317</v>
      </c>
      <c r="C227" s="31">
        <v>196</v>
      </c>
      <c r="D227" s="31">
        <v>2</v>
      </c>
      <c r="E227" s="31">
        <v>392</v>
      </c>
      <c r="F227" s="38">
        <v>45430</v>
      </c>
      <c r="G227" s="31" t="s">
        <v>22</v>
      </c>
      <c r="H227" s="31">
        <v>327</v>
      </c>
      <c r="I227" s="31" t="str">
        <f>VLOOKUP(продажи!$B227,товар!$A$1:$C$433,2)</f>
        <v>Сок</v>
      </c>
      <c r="J227" s="31" t="str">
        <f>VLOOKUP(B227,товар!$A$1:$C$433,3)</f>
        <v>Фруктовый сад</v>
      </c>
      <c r="K227" s="39">
        <f>AVERAGEIF(продажи!$I$2:$I$1001,продажи!$I$2:$I$1001,продажи!$C$2:$C$1001)</f>
        <v>268.60344827586209</v>
      </c>
      <c r="L227" s="40">
        <f>продажи!$C227/продажи!$K227-1</f>
        <v>-0.27029976250080245</v>
      </c>
      <c r="M227" s="33">
        <f t="shared" si="6"/>
        <v>9023</v>
      </c>
      <c r="N227" s="24">
        <f>Таблица1[[#This Row],[цена за шт в рублях]]/Таблица1[[#This Row],[средняя стоимость в категории по поставщику.]]-1</f>
        <v>-0.97827773467804502</v>
      </c>
      <c r="O227" s="26">
        <f>VLOOKUP(Таблица1[[#This Row],[id клиента]],клиенты!$A$2:$E$435,5,0)</f>
        <v>44565</v>
      </c>
      <c r="P227">
        <f>Таблица1[[#This Row],[дата создания чека]]-Таблица1[[#This Row],[Дата регистрации клента]]</f>
        <v>865</v>
      </c>
      <c r="Q227" s="26">
        <f t="shared" ca="1" si="7"/>
        <v>46059</v>
      </c>
      <c r="R227" s="51">
        <f ca="1">(TODAY()-Таблица1[[#This Row],[Дата регистрации клента]])/30</f>
        <v>49.8</v>
      </c>
      <c r="S227" s="63" t="str">
        <f>VLOOKUP(Таблица1[[#This Row],[id клиента]],Таблица8[[id клиента]:[Страна]],7,0)</f>
        <v>Таджикистан</v>
      </c>
      <c r="T227" s="26"/>
    </row>
    <row r="228" spans="1:20" ht="19.5" x14ac:dyDescent="0.4">
      <c r="A228" s="41">
        <v>227</v>
      </c>
      <c r="B228" s="42">
        <v>131</v>
      </c>
      <c r="C228" s="42">
        <v>376</v>
      </c>
      <c r="D228" s="42">
        <v>1</v>
      </c>
      <c r="E228" s="42">
        <v>376</v>
      </c>
      <c r="F228" s="43">
        <v>45427</v>
      </c>
      <c r="G228" s="42" t="s">
        <v>17</v>
      </c>
      <c r="H228" s="42">
        <v>275</v>
      </c>
      <c r="I228" s="42" t="str">
        <f>VLOOKUP(продажи!$B228,товар!$A$1:$C$433,2)</f>
        <v>Сок</v>
      </c>
      <c r="J228" s="42" t="str">
        <f>VLOOKUP(B228,товар!$A$1:$C$433,3)</f>
        <v>Сады Придонья</v>
      </c>
      <c r="K228" s="44">
        <f>AVERAGEIF(продажи!$I$2:$I$1001,продажи!$I$2:$I$1001,продажи!$C$2:$C$1001)</f>
        <v>268.60344827586209</v>
      </c>
      <c r="L228" s="45">
        <f>продажи!$C228/продажи!$K228-1</f>
        <v>0.39983310867193</v>
      </c>
      <c r="M228" s="33">
        <f t="shared" si="6"/>
        <v>2796</v>
      </c>
      <c r="N228" s="24">
        <f>Таблица1[[#This Row],[цена за шт в рублях]]/Таблица1[[#This Row],[средняя стоимость в категории по поставщику.]]-1</f>
        <v>-0.86552217453505009</v>
      </c>
      <c r="O228" s="26">
        <f>VLOOKUP(Таблица1[[#This Row],[id клиента]],клиенты!$A$2:$E$435,5,0)</f>
        <v>44651</v>
      </c>
      <c r="P228">
        <f>Таблица1[[#This Row],[дата создания чека]]-Таблица1[[#This Row],[Дата регистрации клента]]</f>
        <v>776</v>
      </c>
      <c r="Q228" s="26">
        <f t="shared" ca="1" si="7"/>
        <v>46059</v>
      </c>
      <c r="R228" s="51">
        <f ca="1">(TODAY()-Таблица1[[#This Row],[Дата регистрации клента]])/30</f>
        <v>46.93333333333333</v>
      </c>
      <c r="S228" s="63" t="str">
        <f>VLOOKUP(Таблица1[[#This Row],[id клиента]],Таблица8[[id клиента]:[Страна]],7,0)</f>
        <v>Таджикистан</v>
      </c>
      <c r="T228" s="26"/>
    </row>
    <row r="229" spans="1:20" ht="19.5" x14ac:dyDescent="0.4">
      <c r="A229" s="37">
        <v>228</v>
      </c>
      <c r="B229" s="31">
        <v>96</v>
      </c>
      <c r="C229" s="31">
        <v>362</v>
      </c>
      <c r="D229" s="31">
        <v>4</v>
      </c>
      <c r="E229" s="31">
        <v>1448</v>
      </c>
      <c r="F229" s="38">
        <v>45398</v>
      </c>
      <c r="G229" s="31" t="s">
        <v>9</v>
      </c>
      <c r="H229" s="31">
        <v>330</v>
      </c>
      <c r="I229" s="31" t="str">
        <f>VLOOKUP(продажи!$B229,товар!$A$1:$C$433,2)</f>
        <v>Соль</v>
      </c>
      <c r="J229" s="31" t="str">
        <f>VLOOKUP(B229,товар!$A$1:$C$433,3)</f>
        <v>Салта</v>
      </c>
      <c r="K229" s="39">
        <f>AVERAGEIF(продажи!$I$2:$I$1001,продажи!$I$2:$I$1001,продажи!$C$2:$C$1001)</f>
        <v>264.8679245283019</v>
      </c>
      <c r="L229" s="40">
        <f>продажи!$C229/продажи!$K229-1</f>
        <v>0.36671890582704081</v>
      </c>
      <c r="M229" s="33">
        <f t="shared" si="6"/>
        <v>2737</v>
      </c>
      <c r="N229" s="24">
        <f>Таблица1[[#This Row],[цена за шт в рублях]]/Таблица1[[#This Row],[средняя стоимость в категории по поставщику.]]-1</f>
        <v>-0.86773839970770916</v>
      </c>
      <c r="O229" s="26">
        <f>VLOOKUP(Таблица1[[#This Row],[id клиента]],клиенты!$A$2:$E$435,5,0)</f>
        <v>44815</v>
      </c>
      <c r="P229">
        <f>Таблица1[[#This Row],[дата создания чека]]-Таблица1[[#This Row],[Дата регистрации клента]]</f>
        <v>583</v>
      </c>
      <c r="Q229" s="26">
        <f t="shared" ca="1" si="7"/>
        <v>46059</v>
      </c>
      <c r="R229" s="51">
        <f ca="1">(TODAY()-Таблица1[[#This Row],[Дата регистрации клента]])/30</f>
        <v>41.466666666666669</v>
      </c>
      <c r="S229" s="63" t="str">
        <f>VLOOKUP(Таблица1[[#This Row],[id клиента]],Таблица8[[id клиента]:[Страна]],7,0)</f>
        <v>Узбекистан</v>
      </c>
      <c r="T229" s="26"/>
    </row>
    <row r="230" spans="1:20" ht="19.5" x14ac:dyDescent="0.4">
      <c r="A230" s="41">
        <v>229</v>
      </c>
      <c r="B230" s="42">
        <v>311</v>
      </c>
      <c r="C230" s="42">
        <v>345</v>
      </c>
      <c r="D230" s="42">
        <v>5</v>
      </c>
      <c r="E230" s="42">
        <v>1725</v>
      </c>
      <c r="F230" s="43">
        <v>45421</v>
      </c>
      <c r="G230" s="42" t="s">
        <v>23</v>
      </c>
      <c r="H230" s="42">
        <v>177</v>
      </c>
      <c r="I230" s="42" t="str">
        <f>VLOOKUP(продажи!$B230,товар!$A$1:$C$433,2)</f>
        <v>Макароны</v>
      </c>
      <c r="J230" s="42" t="str">
        <f>VLOOKUP(B230,товар!$A$1:$C$433,3)</f>
        <v>Паста Зара</v>
      </c>
      <c r="K230" s="44">
        <f>AVERAGEIF(продажи!$I$2:$I$1001,продажи!$I$2:$I$1001,продажи!$C$2:$C$1001)</f>
        <v>265.47674418604652</v>
      </c>
      <c r="L230" s="45">
        <f>продажи!$C230/продажи!$K230-1</f>
        <v>0.29954885900748973</v>
      </c>
      <c r="M230" s="33">
        <f t="shared" si="6"/>
        <v>10237</v>
      </c>
      <c r="N230" s="24">
        <f>Таблица1[[#This Row],[цена за шт в рублях]]/Таблица1[[#This Row],[средняя стоимость в категории по поставщику.]]-1</f>
        <v>-0.96629872032822117</v>
      </c>
      <c r="O230" s="26">
        <f>VLOOKUP(Таблица1[[#This Row],[id клиента]],клиенты!$A$2:$E$435,5,0)</f>
        <v>44857</v>
      </c>
      <c r="P230">
        <f>Таблица1[[#This Row],[дата создания чека]]-Таблица1[[#This Row],[Дата регистрации клента]]</f>
        <v>564</v>
      </c>
      <c r="Q230" s="26">
        <f t="shared" ca="1" si="7"/>
        <v>46059</v>
      </c>
      <c r="R230" s="51">
        <f ca="1">(TODAY()-Таблица1[[#This Row],[Дата регистрации клента]])/30</f>
        <v>40.06666666666667</v>
      </c>
      <c r="S230" s="63" t="str">
        <f>VLOOKUP(Таблица1[[#This Row],[id клиента]],Таблица8[[id клиента]:[Страна]],7,0)</f>
        <v>Таджикистан</v>
      </c>
      <c r="T230" s="26"/>
    </row>
    <row r="231" spans="1:20" ht="19.5" x14ac:dyDescent="0.4">
      <c r="A231" s="37">
        <v>230</v>
      </c>
      <c r="B231" s="31">
        <v>268</v>
      </c>
      <c r="C231" s="31">
        <v>81</v>
      </c>
      <c r="D231" s="31">
        <v>3</v>
      </c>
      <c r="E231" s="31">
        <v>243</v>
      </c>
      <c r="F231" s="38">
        <v>45106</v>
      </c>
      <c r="G231" s="31" t="s">
        <v>25</v>
      </c>
      <c r="H231" s="31">
        <v>407</v>
      </c>
      <c r="I231" s="31" t="str">
        <f>VLOOKUP(продажи!$B231,товар!$A$1:$C$433,2)</f>
        <v>Рис</v>
      </c>
      <c r="J231" s="31" t="str">
        <f>VLOOKUP(B231,товар!$A$1:$C$433,3)</f>
        <v>Мистраль</v>
      </c>
      <c r="K231" s="39">
        <f>AVERAGEIF(продажи!$I$2:$I$1001,продажи!$I$2:$I$1001,продажи!$C$2:$C$1001)</f>
        <v>258.375</v>
      </c>
      <c r="L231" s="40">
        <f>продажи!$C231/продажи!$K231-1</f>
        <v>-0.68650217706821481</v>
      </c>
      <c r="M231" s="33">
        <f t="shared" si="6"/>
        <v>1271</v>
      </c>
      <c r="N231" s="24">
        <f>Таблица1[[#This Row],[цена за шт в рублях]]/Таблица1[[#This Row],[средняя стоимость в категории по поставщику.]]-1</f>
        <v>-0.93627065302911094</v>
      </c>
      <c r="O231" s="26">
        <f>VLOOKUP(Таблица1[[#This Row],[id клиента]],клиенты!$A$2:$E$435,5,0)</f>
        <v>44621</v>
      </c>
      <c r="P231">
        <f>Таблица1[[#This Row],[дата создания чека]]-Таблица1[[#This Row],[Дата регистрации клента]]</f>
        <v>485</v>
      </c>
      <c r="Q231" s="26">
        <f t="shared" ca="1" si="7"/>
        <v>46059</v>
      </c>
      <c r="R231" s="51">
        <f ca="1">(TODAY()-Таблица1[[#This Row],[Дата регистрации клента]])/30</f>
        <v>47.93333333333333</v>
      </c>
      <c r="S231" s="63" t="str">
        <f>VLOOKUP(Таблица1[[#This Row],[id клиента]],Таблица8[[id клиента]:[Страна]],7,0)</f>
        <v>Беларусь</v>
      </c>
      <c r="T231" s="26"/>
    </row>
    <row r="232" spans="1:20" ht="19.5" x14ac:dyDescent="0.4">
      <c r="A232" s="41">
        <v>231</v>
      </c>
      <c r="B232" s="42">
        <v>495</v>
      </c>
      <c r="C232" s="42">
        <v>97</v>
      </c>
      <c r="D232" s="42">
        <v>4</v>
      </c>
      <c r="E232" s="42">
        <v>388</v>
      </c>
      <c r="F232" s="43">
        <v>45409</v>
      </c>
      <c r="G232" s="42" t="s">
        <v>12</v>
      </c>
      <c r="H232" s="42">
        <v>181</v>
      </c>
      <c r="I232" s="42" t="str">
        <f>VLOOKUP(продажи!$B232,товар!$A$1:$C$433,2)</f>
        <v>Чай</v>
      </c>
      <c r="J232" s="42" t="str">
        <f>VLOOKUP(B232,товар!$A$1:$C$433,3)</f>
        <v>Greenfield</v>
      </c>
      <c r="K232" s="44">
        <f>AVERAGEIF(продажи!$I$2:$I$1001,продажи!$I$2:$I$1001,продажи!$C$2:$C$1001)</f>
        <v>271.18181818181819</v>
      </c>
      <c r="L232" s="45">
        <f>продажи!$C232/продажи!$K232-1</f>
        <v>-0.64230640295005026</v>
      </c>
      <c r="M232" s="33">
        <f t="shared" si="6"/>
        <v>6412</v>
      </c>
      <c r="N232" s="24">
        <f>Таблица1[[#This Row],[цена за шт в рублях]]/Таблица1[[#This Row],[средняя стоимость в категории по поставщику.]]-1</f>
        <v>-0.98487211478477854</v>
      </c>
      <c r="O232" s="26">
        <f>VLOOKUP(Таблица1[[#This Row],[id клиента]],клиенты!$A$2:$E$435,5,0)</f>
        <v>44568</v>
      </c>
      <c r="P232">
        <f>Таблица1[[#This Row],[дата создания чека]]-Таблица1[[#This Row],[Дата регистрации клента]]</f>
        <v>841</v>
      </c>
      <c r="Q232" s="26">
        <f t="shared" ca="1" si="7"/>
        <v>46059</v>
      </c>
      <c r="R232" s="51">
        <f ca="1">(TODAY()-Таблица1[[#This Row],[Дата регистрации клента]])/30</f>
        <v>49.7</v>
      </c>
      <c r="S232" s="63" t="str">
        <f>VLOOKUP(Таблица1[[#This Row],[id клиента]],Таблица8[[id клиента]:[Страна]],7,0)</f>
        <v>Украина</v>
      </c>
      <c r="T232" s="26"/>
    </row>
    <row r="233" spans="1:20" ht="19.5" x14ac:dyDescent="0.4">
      <c r="A233" s="37">
        <v>232</v>
      </c>
      <c r="B233" s="31">
        <v>436</v>
      </c>
      <c r="C233" s="31">
        <v>184</v>
      </c>
      <c r="D233" s="31">
        <v>4</v>
      </c>
      <c r="E233" s="31">
        <v>736</v>
      </c>
      <c r="F233" s="38">
        <v>45147</v>
      </c>
      <c r="G233" s="31" t="s">
        <v>10</v>
      </c>
      <c r="H233" s="31">
        <v>166</v>
      </c>
      <c r="I233" s="31" t="str">
        <f>VLOOKUP(продажи!$B233,товар!$A$1:$C$433,2)</f>
        <v>Овощи</v>
      </c>
      <c r="J233" s="31" t="str">
        <f>VLOOKUP(B233,товар!$A$1:$C$433,3)</f>
        <v>Гавриш</v>
      </c>
      <c r="K233" s="39">
        <f>AVERAGEIF(продажи!$I$2:$I$1001,продажи!$I$2:$I$1001,продажи!$C$2:$C$1001)</f>
        <v>250.48780487804879</v>
      </c>
      <c r="L233" s="40">
        <f>продажи!$C233/продажи!$K233-1</f>
        <v>-0.26543330087633887</v>
      </c>
      <c r="M233" s="33">
        <f t="shared" si="6"/>
        <v>2229</v>
      </c>
      <c r="N233" s="24">
        <f>Таблица1[[#This Row],[цена за шт в рублях]]/Таблица1[[#This Row],[средняя стоимость в категории по поставщику.]]-1</f>
        <v>-0.91745177209510986</v>
      </c>
      <c r="O233" s="26">
        <f>VLOOKUP(Таблица1[[#This Row],[id клиента]],клиенты!$A$2:$E$435,5,0)</f>
        <v>44796</v>
      </c>
      <c r="P233">
        <f>Таблица1[[#This Row],[дата создания чека]]-Таблица1[[#This Row],[Дата регистрации клента]]</f>
        <v>351</v>
      </c>
      <c r="Q233" s="26">
        <f t="shared" ca="1" si="7"/>
        <v>46059</v>
      </c>
      <c r="R233" s="51">
        <f ca="1">(TODAY()-Таблица1[[#This Row],[Дата регистрации клента]])/30</f>
        <v>42.1</v>
      </c>
      <c r="S233" s="63" t="str">
        <f>VLOOKUP(Таблица1[[#This Row],[id клиента]],Таблица8[[id клиента]:[Страна]],7,0)</f>
        <v>Узбекистан</v>
      </c>
      <c r="T233" s="26"/>
    </row>
    <row r="234" spans="1:20" ht="19.5" x14ac:dyDescent="0.4">
      <c r="A234" s="41">
        <v>233</v>
      </c>
      <c r="B234" s="42">
        <v>358</v>
      </c>
      <c r="C234" s="42">
        <v>172</v>
      </c>
      <c r="D234" s="42">
        <v>1</v>
      </c>
      <c r="E234" s="42">
        <v>172</v>
      </c>
      <c r="F234" s="43">
        <v>45379</v>
      </c>
      <c r="G234" s="42" t="s">
        <v>23</v>
      </c>
      <c r="H234" s="42">
        <v>478</v>
      </c>
      <c r="I234" s="42" t="str">
        <f>VLOOKUP(продажи!$B234,товар!$A$1:$C$433,2)</f>
        <v>Конфеты</v>
      </c>
      <c r="J234" s="42" t="str">
        <f>VLOOKUP(B234,товар!$A$1:$C$433,3)</f>
        <v>Славянка</v>
      </c>
      <c r="K234" s="44">
        <f>AVERAGEIF(продажи!$I$2:$I$1001,продажи!$I$2:$I$1001,продажи!$C$2:$C$1001)</f>
        <v>267.85483870967744</v>
      </c>
      <c r="L234" s="45">
        <f>продажи!$C234/продажи!$K234-1</f>
        <v>-0.3578611428915518</v>
      </c>
      <c r="M234" s="33">
        <f t="shared" si="6"/>
        <v>1608</v>
      </c>
      <c r="N234" s="24">
        <f>Таблица1[[#This Row],[цена за шт в рублях]]/Таблица1[[#This Row],[средняя стоимость в категории по поставщику.]]-1</f>
        <v>-0.89303482587064675</v>
      </c>
      <c r="O234" s="26">
        <f>VLOOKUP(Таблица1[[#This Row],[id клиента]],клиенты!$A$2:$E$435,5,0)</f>
        <v>44726</v>
      </c>
      <c r="P234">
        <f>Таблица1[[#This Row],[дата создания чека]]-Таблица1[[#This Row],[Дата регистрации клента]]</f>
        <v>653</v>
      </c>
      <c r="Q234" s="26">
        <f t="shared" ca="1" si="7"/>
        <v>46059</v>
      </c>
      <c r="R234" s="51">
        <f ca="1">(TODAY()-Таблица1[[#This Row],[Дата регистрации клента]])/30</f>
        <v>44.43333333333333</v>
      </c>
      <c r="S234" s="63" t="str">
        <f>VLOOKUP(Таблица1[[#This Row],[id клиента]],Таблица8[[id клиента]:[Страна]],7,0)</f>
        <v>Украина</v>
      </c>
      <c r="T234" s="26"/>
    </row>
    <row r="235" spans="1:20" ht="19.5" x14ac:dyDescent="0.4">
      <c r="A235" s="37">
        <v>234</v>
      </c>
      <c r="B235" s="31">
        <v>160</v>
      </c>
      <c r="C235" s="31">
        <v>288</v>
      </c>
      <c r="D235" s="31">
        <v>2</v>
      </c>
      <c r="E235" s="31">
        <v>576</v>
      </c>
      <c r="F235" s="38">
        <v>44996</v>
      </c>
      <c r="G235" s="31" t="s">
        <v>18</v>
      </c>
      <c r="H235" s="31">
        <v>429</v>
      </c>
      <c r="I235" s="31" t="str">
        <f>VLOOKUP(продажи!$B235,товар!$A$1:$C$433,2)</f>
        <v>Крупа</v>
      </c>
      <c r="J235" s="31" t="str">
        <f>VLOOKUP(B235,товар!$A$1:$C$433,3)</f>
        <v>Мистраль</v>
      </c>
      <c r="K235" s="39">
        <f>AVERAGEIF(продажи!$I$2:$I$1001,продажи!$I$2:$I$1001,продажи!$C$2:$C$1001)</f>
        <v>255.11627906976744</v>
      </c>
      <c r="L235" s="40">
        <f>продажи!$C235/продажи!$K235-1</f>
        <v>0.12889699179580671</v>
      </c>
      <c r="M235" s="33">
        <f t="shared" si="6"/>
        <v>3254</v>
      </c>
      <c r="N235" s="24">
        <f>Таблица1[[#This Row],[цена за шт в рублях]]/Таблица1[[#This Row],[средняя стоимость в категории по поставщику.]]-1</f>
        <v>-0.91149354640442537</v>
      </c>
      <c r="O235" s="26">
        <f>VLOOKUP(Таблица1[[#This Row],[id клиента]],клиенты!$A$2:$E$435,5,0)</f>
        <v>44625</v>
      </c>
      <c r="P235">
        <f>Таблица1[[#This Row],[дата создания чека]]-Таблица1[[#This Row],[Дата регистрации клента]]</f>
        <v>371</v>
      </c>
      <c r="Q235" s="26">
        <f t="shared" ca="1" si="7"/>
        <v>46059</v>
      </c>
      <c r="R235" s="51">
        <f ca="1">(TODAY()-Таблица1[[#This Row],[Дата регистрации клента]])/30</f>
        <v>47.8</v>
      </c>
      <c r="S235" s="63" t="str">
        <f>VLOOKUP(Таблица1[[#This Row],[id клиента]],Таблица8[[id клиента]:[Страна]],7,0)</f>
        <v>Таджикистан</v>
      </c>
      <c r="T235" s="26"/>
    </row>
    <row r="236" spans="1:20" ht="19.5" x14ac:dyDescent="0.4">
      <c r="A236" s="41">
        <v>235</v>
      </c>
      <c r="B236" s="42">
        <v>23</v>
      </c>
      <c r="C236" s="42">
        <v>174</v>
      </c>
      <c r="D236" s="42">
        <v>3</v>
      </c>
      <c r="E236" s="42">
        <v>522</v>
      </c>
      <c r="F236" s="43">
        <v>45396</v>
      </c>
      <c r="G236" s="42" t="s">
        <v>21</v>
      </c>
      <c r="H236" s="42">
        <v>181</v>
      </c>
      <c r="I236" s="42" t="str">
        <f>VLOOKUP(продажи!$B236,товар!$A$1:$C$433,2)</f>
        <v>Рыба</v>
      </c>
      <c r="J236" s="42" t="str">
        <f>VLOOKUP(B236,товар!$A$1:$C$433,3)</f>
        <v>Санта Бремор</v>
      </c>
      <c r="K236" s="44">
        <f>AVERAGEIF(продажи!$I$2:$I$1001,продажи!$I$2:$I$1001,продажи!$C$2:$C$1001)</f>
        <v>258.5128205128205</v>
      </c>
      <c r="L236" s="45">
        <f>продажи!$C236/продажи!$K236-1</f>
        <v>-0.32691926205118027</v>
      </c>
      <c r="M236" s="33">
        <f t="shared" si="6"/>
        <v>2164</v>
      </c>
      <c r="N236" s="24">
        <f>Таблица1[[#This Row],[цена за шт в рублях]]/Таблица1[[#This Row],[средняя стоимость в категории по поставщику.]]-1</f>
        <v>-0.91959334565619222</v>
      </c>
      <c r="O236" s="26">
        <f>VLOOKUP(Таблица1[[#This Row],[id клиента]],клиенты!$A$2:$E$435,5,0)</f>
        <v>44568</v>
      </c>
      <c r="P236">
        <f>Таблица1[[#This Row],[дата создания чека]]-Таблица1[[#This Row],[Дата регистрации клента]]</f>
        <v>828</v>
      </c>
      <c r="Q236" s="26">
        <f t="shared" ca="1" si="7"/>
        <v>46059</v>
      </c>
      <c r="R236" s="51">
        <f ca="1">(TODAY()-Таблица1[[#This Row],[Дата регистрации клента]])/30</f>
        <v>49.7</v>
      </c>
      <c r="S236" s="63" t="str">
        <f>VLOOKUP(Таблица1[[#This Row],[id клиента]],Таблица8[[id клиента]:[Страна]],7,0)</f>
        <v>Украина</v>
      </c>
      <c r="T236" s="26"/>
    </row>
    <row r="237" spans="1:20" ht="19.5" x14ac:dyDescent="0.4">
      <c r="A237" s="37">
        <v>236</v>
      </c>
      <c r="B237" s="31">
        <v>49</v>
      </c>
      <c r="C237" s="31">
        <v>292</v>
      </c>
      <c r="D237" s="31">
        <v>3</v>
      </c>
      <c r="E237" s="31">
        <v>876</v>
      </c>
      <c r="F237" s="38">
        <v>45059</v>
      </c>
      <c r="G237" s="31" t="s">
        <v>9</v>
      </c>
      <c r="H237" s="31">
        <v>431</v>
      </c>
      <c r="I237" s="31" t="str">
        <f>VLOOKUP(продажи!$B237,товар!$A$1:$C$433,2)</f>
        <v>Рис</v>
      </c>
      <c r="J237" s="31" t="str">
        <f>VLOOKUP(B237,товар!$A$1:$C$433,3)</f>
        <v>Агро-Альянс</v>
      </c>
      <c r="K237" s="39">
        <f>AVERAGEIF(продажи!$I$2:$I$1001,продажи!$I$2:$I$1001,продажи!$C$2:$C$1001)</f>
        <v>258.375</v>
      </c>
      <c r="L237" s="40">
        <f>продажи!$C237/продажи!$K237-1</f>
        <v>0.1301402999516208</v>
      </c>
      <c r="M237" s="33">
        <f t="shared" si="6"/>
        <v>2225</v>
      </c>
      <c r="N237" s="24">
        <f>Таблица1[[#This Row],[цена за шт в рублях]]/Таблица1[[#This Row],[средняя стоимость в категории по поставщику.]]-1</f>
        <v>-0.8687640449438202</v>
      </c>
      <c r="O237" s="26">
        <f>VLOOKUP(Таблица1[[#This Row],[id клиента]],клиенты!$A$2:$E$435,5,0)</f>
        <v>44623</v>
      </c>
      <c r="P237">
        <f>Таблица1[[#This Row],[дата создания чека]]-Таблица1[[#This Row],[Дата регистрации клента]]</f>
        <v>436</v>
      </c>
      <c r="Q237" s="26">
        <f t="shared" ca="1" si="7"/>
        <v>46059</v>
      </c>
      <c r="R237" s="51">
        <f ca="1">(TODAY()-Таблица1[[#This Row],[Дата регистрации клента]])/30</f>
        <v>47.866666666666667</v>
      </c>
      <c r="S237" s="63" t="str">
        <f>VLOOKUP(Таблица1[[#This Row],[id клиента]],Таблица8[[id клиента]:[Страна]],7,0)</f>
        <v>Россия</v>
      </c>
      <c r="T237" s="26"/>
    </row>
    <row r="238" spans="1:20" ht="19.5" x14ac:dyDescent="0.4">
      <c r="A238" s="41">
        <v>237</v>
      </c>
      <c r="B238" s="42">
        <v>485</v>
      </c>
      <c r="C238" s="42">
        <v>243</v>
      </c>
      <c r="D238" s="42">
        <v>3</v>
      </c>
      <c r="E238" s="42">
        <v>729</v>
      </c>
      <c r="F238" s="43">
        <v>44987</v>
      </c>
      <c r="G238" s="42" t="s">
        <v>21</v>
      </c>
      <c r="H238" s="42">
        <v>34</v>
      </c>
      <c r="I238" s="42" t="str">
        <f>VLOOKUP(продажи!$B238,товар!$A$1:$C$433,2)</f>
        <v>Макароны</v>
      </c>
      <c r="J238" s="42" t="str">
        <f>VLOOKUP(B238,товар!$A$1:$C$433,3)</f>
        <v>Борилла</v>
      </c>
      <c r="K238" s="44">
        <f>AVERAGEIF(продажи!$I$2:$I$1001,продажи!$I$2:$I$1001,продажи!$C$2:$C$1001)</f>
        <v>265.47674418604652</v>
      </c>
      <c r="L238" s="45">
        <f>продажи!$C238/продажи!$K238-1</f>
        <v>-8.4665586264289772E-2</v>
      </c>
      <c r="M238" s="33">
        <f t="shared" si="6"/>
        <v>6852</v>
      </c>
      <c r="N238" s="24">
        <f>Таблица1[[#This Row],[цена за шт в рублях]]/Таблица1[[#This Row],[средняя стоимость в категории по поставщику.]]-1</f>
        <v>-0.96453590192644478</v>
      </c>
      <c r="O238" s="26">
        <f>VLOOKUP(Таблица1[[#This Row],[id клиента]],клиенты!$A$2:$E$435,5,0)</f>
        <v>44654</v>
      </c>
      <c r="P238">
        <f>Таблица1[[#This Row],[дата создания чека]]-Таблица1[[#This Row],[Дата регистрации клента]]</f>
        <v>333</v>
      </c>
      <c r="Q238" s="26">
        <f t="shared" ca="1" si="7"/>
        <v>46059</v>
      </c>
      <c r="R238" s="51">
        <f ca="1">(TODAY()-Таблица1[[#This Row],[Дата регистрации клента]])/30</f>
        <v>46.833333333333336</v>
      </c>
      <c r="S238" s="63" t="str">
        <f>VLOOKUP(Таблица1[[#This Row],[id клиента]],Таблица8[[id клиента]:[Страна]],7,0)</f>
        <v>Таджикистан</v>
      </c>
      <c r="T238" s="26"/>
    </row>
    <row r="239" spans="1:20" ht="19.5" x14ac:dyDescent="0.4">
      <c r="A239" s="37">
        <v>238</v>
      </c>
      <c r="B239" s="31">
        <v>131</v>
      </c>
      <c r="C239" s="31">
        <v>382</v>
      </c>
      <c r="D239" s="31">
        <v>5</v>
      </c>
      <c r="E239" s="31">
        <v>1910</v>
      </c>
      <c r="F239" s="38">
        <v>45365</v>
      </c>
      <c r="G239" s="31" t="s">
        <v>13</v>
      </c>
      <c r="H239" s="31">
        <v>147</v>
      </c>
      <c r="I239" s="31" t="str">
        <f>VLOOKUP(продажи!$B239,товар!$A$1:$C$433,2)</f>
        <v>Сок</v>
      </c>
      <c r="J239" s="31" t="str">
        <f>VLOOKUP(B239,товар!$A$1:$C$433,3)</f>
        <v>Сады Придонья</v>
      </c>
      <c r="K239" s="39">
        <f>AVERAGEIF(продажи!$I$2:$I$1001,продажи!$I$2:$I$1001,продажи!$C$2:$C$1001)</f>
        <v>268.60344827586209</v>
      </c>
      <c r="L239" s="40">
        <f>продажи!$C239/продажи!$K239-1</f>
        <v>0.42217087104435436</v>
      </c>
      <c r="M239" s="33">
        <f t="shared" si="6"/>
        <v>2796</v>
      </c>
      <c r="N239" s="24">
        <f>Таблица1[[#This Row],[цена за шт в рублях]]/Таблица1[[#This Row],[средняя стоимость в категории по поставщику.]]-1</f>
        <v>-0.86337625178826893</v>
      </c>
      <c r="O239" s="26">
        <f>VLOOKUP(Таблица1[[#This Row],[id клиента]],клиенты!$A$2:$E$435,5,0)</f>
        <v>44827</v>
      </c>
      <c r="P239">
        <f>Таблица1[[#This Row],[дата создания чека]]-Таблица1[[#This Row],[Дата регистрации клента]]</f>
        <v>538</v>
      </c>
      <c r="Q239" s="26">
        <f t="shared" ca="1" si="7"/>
        <v>46059</v>
      </c>
      <c r="R239" s="51">
        <f ca="1">(TODAY()-Таблица1[[#This Row],[Дата регистрации клента]])/30</f>
        <v>41.06666666666667</v>
      </c>
      <c r="S239" s="63" t="str">
        <f>VLOOKUP(Таблица1[[#This Row],[id клиента]],Таблица8[[id клиента]:[Страна]],7,0)</f>
        <v>Россия</v>
      </c>
      <c r="T239" s="26"/>
    </row>
    <row r="240" spans="1:20" ht="19.5" x14ac:dyDescent="0.4">
      <c r="A240" s="41">
        <v>239</v>
      </c>
      <c r="B240" s="42">
        <v>270</v>
      </c>
      <c r="C240" s="42">
        <v>308</v>
      </c>
      <c r="D240" s="42">
        <v>1</v>
      </c>
      <c r="E240" s="42">
        <v>308</v>
      </c>
      <c r="F240" s="43">
        <v>45322</v>
      </c>
      <c r="G240" s="42" t="s">
        <v>9</v>
      </c>
      <c r="H240" s="42">
        <v>496</v>
      </c>
      <c r="I240" s="42" t="str">
        <f>VLOOKUP(продажи!$B240,товар!$A$1:$C$433,2)</f>
        <v>Соль</v>
      </c>
      <c r="J240" s="42" t="str">
        <f>VLOOKUP(B240,товар!$A$1:$C$433,3)</f>
        <v>Славянская</v>
      </c>
      <c r="K240" s="44">
        <f>AVERAGEIF(продажи!$I$2:$I$1001,продажи!$I$2:$I$1001,продажи!$C$2:$C$1001)</f>
        <v>264.8679245283019</v>
      </c>
      <c r="L240" s="45">
        <f>продажи!$C240/продажи!$K240-1</f>
        <v>0.16284370993018937</v>
      </c>
      <c r="M240" s="33">
        <f t="shared" si="6"/>
        <v>2843</v>
      </c>
      <c r="N240" s="24">
        <f>Таблица1[[#This Row],[цена за шт в рублях]]/Таблица1[[#This Row],[средняя стоимость в категории по поставщику.]]-1</f>
        <v>-0.8916637354906789</v>
      </c>
      <c r="O240" s="26">
        <f>VLOOKUP(Таблица1[[#This Row],[id клиента]],клиенты!$A$2:$E$435,5,0)</f>
        <v>44867</v>
      </c>
      <c r="P240">
        <f>Таблица1[[#This Row],[дата создания чека]]-Таблица1[[#This Row],[Дата регистрации клента]]</f>
        <v>455</v>
      </c>
      <c r="Q240" s="26">
        <f t="shared" ca="1" si="7"/>
        <v>46059</v>
      </c>
      <c r="R240" s="51">
        <f ca="1">(TODAY()-Таблица1[[#This Row],[Дата регистрации клента]])/30</f>
        <v>39.733333333333334</v>
      </c>
      <c r="S240" s="63" t="str">
        <f>VLOOKUP(Таблица1[[#This Row],[id клиента]],Таблица8[[id клиента]:[Страна]],7,0)</f>
        <v>Украина</v>
      </c>
      <c r="T240" s="26"/>
    </row>
    <row r="241" spans="1:20" ht="19.5" x14ac:dyDescent="0.4">
      <c r="A241" s="37">
        <v>240</v>
      </c>
      <c r="B241" s="31">
        <v>345</v>
      </c>
      <c r="C241" s="31">
        <v>357</v>
      </c>
      <c r="D241" s="31">
        <v>4</v>
      </c>
      <c r="E241" s="31">
        <v>1428</v>
      </c>
      <c r="F241" s="38">
        <v>45057</v>
      </c>
      <c r="G241" s="31" t="s">
        <v>22</v>
      </c>
      <c r="H241" s="31">
        <v>202</v>
      </c>
      <c r="I241" s="31" t="str">
        <f>VLOOKUP(продажи!$B241,товар!$A$1:$C$433,2)</f>
        <v>Конфеты</v>
      </c>
      <c r="J241" s="31" t="str">
        <f>VLOOKUP(B241,товар!$A$1:$C$433,3)</f>
        <v>Рот Фронт</v>
      </c>
      <c r="K241" s="39">
        <f>AVERAGEIF(продажи!$I$2:$I$1001,продажи!$I$2:$I$1001,продажи!$C$2:$C$1001)</f>
        <v>267.85483870967744</v>
      </c>
      <c r="L241" s="40">
        <f>продажи!$C241/продажи!$K241-1</f>
        <v>0.33281146504486059</v>
      </c>
      <c r="M241" s="33">
        <f t="shared" si="6"/>
        <v>6053</v>
      </c>
      <c r="N241" s="24">
        <f>Таблица1[[#This Row],[цена за шт в рублях]]/Таблица1[[#This Row],[средняя стоимость в категории по поставщику.]]-1</f>
        <v>-0.94102098133157108</v>
      </c>
      <c r="O241" s="26">
        <f>VLOOKUP(Таблица1[[#This Row],[id клиента]],клиенты!$A$2:$E$435,5,0)</f>
        <v>44766</v>
      </c>
      <c r="P241">
        <f>Таблица1[[#This Row],[дата создания чека]]-Таблица1[[#This Row],[Дата регистрации клента]]</f>
        <v>291</v>
      </c>
      <c r="Q241" s="26">
        <f t="shared" ca="1" si="7"/>
        <v>46059</v>
      </c>
      <c r="R241" s="51">
        <f ca="1">(TODAY()-Таблица1[[#This Row],[Дата регистрации клента]])/30</f>
        <v>43.1</v>
      </c>
      <c r="S241" s="63" t="str">
        <f>VLOOKUP(Таблица1[[#This Row],[id клиента]],Таблица8[[id клиента]:[Страна]],7,0)</f>
        <v>Беларусь</v>
      </c>
      <c r="T241" s="26"/>
    </row>
    <row r="242" spans="1:20" ht="19.5" x14ac:dyDescent="0.4">
      <c r="A242" s="41">
        <v>241</v>
      </c>
      <c r="B242" s="42">
        <v>40</v>
      </c>
      <c r="C242" s="42">
        <v>82</v>
      </c>
      <c r="D242" s="42">
        <v>1</v>
      </c>
      <c r="E242" s="42">
        <v>82</v>
      </c>
      <c r="F242" s="43">
        <v>45011</v>
      </c>
      <c r="G242" s="42" t="s">
        <v>12</v>
      </c>
      <c r="H242" s="42">
        <v>312</v>
      </c>
      <c r="I242" s="42" t="str">
        <f>VLOOKUP(продажи!$B242,товар!$A$1:$C$433,2)</f>
        <v>Колбаса</v>
      </c>
      <c r="J242" s="42" t="str">
        <f>VLOOKUP(B242,товар!$A$1:$C$433,3)</f>
        <v>Микоян</v>
      </c>
      <c r="K242" s="44">
        <f>AVERAGEIF(продажи!$I$2:$I$1001,продажи!$I$2:$I$1001,продажи!$C$2:$C$1001)</f>
        <v>286.92307692307691</v>
      </c>
      <c r="L242" s="45">
        <f>продажи!$C242/продажи!$K242-1</f>
        <v>-0.71420911528150133</v>
      </c>
      <c r="M242" s="33">
        <f t="shared" si="6"/>
        <v>82</v>
      </c>
      <c r="N242" s="24">
        <f>Таблица1[[#This Row],[цена за шт в рублях]]/Таблица1[[#This Row],[средняя стоимость в категории по поставщику.]]-1</f>
        <v>0</v>
      </c>
      <c r="O242" s="26">
        <f>VLOOKUP(Таблица1[[#This Row],[id клиента]],клиенты!$A$2:$E$435,5,0)</f>
        <v>44886</v>
      </c>
      <c r="P242">
        <f>Таблица1[[#This Row],[дата создания чека]]-Таблица1[[#This Row],[Дата регистрации клента]]</f>
        <v>125</v>
      </c>
      <c r="Q242" s="26">
        <f t="shared" ca="1" si="7"/>
        <v>46059</v>
      </c>
      <c r="R242" s="51">
        <f ca="1">(TODAY()-Таблица1[[#This Row],[Дата регистрации клента]])/30</f>
        <v>39.1</v>
      </c>
      <c r="S242" s="63" t="str">
        <f>VLOOKUP(Таблица1[[#This Row],[id клиента]],Таблица8[[id клиента]:[Страна]],7,0)</f>
        <v>Россия</v>
      </c>
      <c r="T242" s="26"/>
    </row>
    <row r="243" spans="1:20" ht="19.5" x14ac:dyDescent="0.4">
      <c r="A243" s="37">
        <v>242</v>
      </c>
      <c r="B243" s="31">
        <v>275</v>
      </c>
      <c r="C243" s="31">
        <v>219</v>
      </c>
      <c r="D243" s="31">
        <v>1</v>
      </c>
      <c r="E243" s="31">
        <v>219</v>
      </c>
      <c r="F243" s="38">
        <v>45028</v>
      </c>
      <c r="G243" s="31" t="s">
        <v>24</v>
      </c>
      <c r="H243" s="31">
        <v>41</v>
      </c>
      <c r="I243" s="31" t="str">
        <f>VLOOKUP(продажи!$B243,товар!$A$1:$C$433,2)</f>
        <v>Сыр</v>
      </c>
      <c r="J243" s="31" t="str">
        <f>VLOOKUP(B243,товар!$A$1:$C$433,3)</f>
        <v>Сырная долина</v>
      </c>
      <c r="K243" s="39">
        <f>AVERAGEIF(продажи!$I$2:$I$1001,продажи!$I$2:$I$1001,продажи!$C$2:$C$1001)</f>
        <v>261.03225806451616</v>
      </c>
      <c r="L243" s="40">
        <f>продажи!$C243/продажи!$K243-1</f>
        <v>-0.16102323282254083</v>
      </c>
      <c r="M243" s="33">
        <f t="shared" si="6"/>
        <v>8943</v>
      </c>
      <c r="N243" s="24">
        <f>Таблица1[[#This Row],[цена за шт в рублях]]/Таблица1[[#This Row],[средняя стоимость в категории по поставщику.]]-1</f>
        <v>-0.97551157329755112</v>
      </c>
      <c r="O243" s="26">
        <f>VLOOKUP(Таблица1[[#This Row],[id клиента]],клиенты!$A$2:$E$435,5,0)</f>
        <v>44842</v>
      </c>
      <c r="P243">
        <f>Таблица1[[#This Row],[дата создания чека]]-Таблица1[[#This Row],[Дата регистрации клента]]</f>
        <v>186</v>
      </c>
      <c r="Q243" s="26">
        <f t="shared" ca="1" si="7"/>
        <v>46059</v>
      </c>
      <c r="R243" s="51">
        <f ca="1">(TODAY()-Таблица1[[#This Row],[Дата регистрации клента]])/30</f>
        <v>40.56666666666667</v>
      </c>
      <c r="S243" s="63" t="str">
        <f>VLOOKUP(Таблица1[[#This Row],[id клиента]],Таблица8[[id клиента]:[Страна]],7,0)</f>
        <v>Россия</v>
      </c>
      <c r="T243" s="26"/>
    </row>
    <row r="244" spans="1:20" ht="19.5" x14ac:dyDescent="0.4">
      <c r="A244" s="41">
        <v>243</v>
      </c>
      <c r="B244" s="42">
        <v>205</v>
      </c>
      <c r="C244" s="42">
        <v>117</v>
      </c>
      <c r="D244" s="42">
        <v>5</v>
      </c>
      <c r="E244" s="42">
        <v>585</v>
      </c>
      <c r="F244" s="43">
        <v>45006</v>
      </c>
      <c r="G244" s="42" t="s">
        <v>27</v>
      </c>
      <c r="H244" s="42">
        <v>389</v>
      </c>
      <c r="I244" s="42" t="str">
        <f>VLOOKUP(продажи!$B244,товар!$A$1:$C$433,2)</f>
        <v>Макароны</v>
      </c>
      <c r="J244" s="42" t="str">
        <f>VLOOKUP(B244,товар!$A$1:$C$433,3)</f>
        <v>Борилла</v>
      </c>
      <c r="K244" s="44">
        <f>AVERAGEIF(продажи!$I$2:$I$1001,продажи!$I$2:$I$1001,продажи!$C$2:$C$1001)</f>
        <v>265.47674418604652</v>
      </c>
      <c r="L244" s="45">
        <f>продажи!$C244/продажи!$K244-1</f>
        <v>-0.559283430423547</v>
      </c>
      <c r="M244" s="33">
        <f t="shared" si="6"/>
        <v>6852</v>
      </c>
      <c r="N244" s="24">
        <f>Таблица1[[#This Row],[цена за шт в рублях]]/Таблица1[[#This Row],[средняя стоимость в категории по поставщику.]]-1</f>
        <v>-0.98292469352014011</v>
      </c>
      <c r="O244" s="26">
        <f>VLOOKUP(Таблица1[[#This Row],[id клиента]],клиенты!$A$2:$E$435,5,0)</f>
        <v>44876</v>
      </c>
      <c r="P244">
        <f>Таблица1[[#This Row],[дата создания чека]]-Таблица1[[#This Row],[Дата регистрации клента]]</f>
        <v>130</v>
      </c>
      <c r="Q244" s="26">
        <f t="shared" ca="1" si="7"/>
        <v>46059</v>
      </c>
      <c r="R244" s="51">
        <f ca="1">(TODAY()-Таблица1[[#This Row],[Дата регистрации клента]])/30</f>
        <v>39.43333333333333</v>
      </c>
      <c r="S244" s="63" t="str">
        <f>VLOOKUP(Таблица1[[#This Row],[id клиента]],Таблица8[[id клиента]:[Страна]],7,0)</f>
        <v>Россия</v>
      </c>
      <c r="T244" s="26"/>
    </row>
    <row r="245" spans="1:20" ht="19.5" x14ac:dyDescent="0.4">
      <c r="A245" s="37">
        <v>244</v>
      </c>
      <c r="B245" s="31">
        <v>219</v>
      </c>
      <c r="C245" s="31">
        <v>474</v>
      </c>
      <c r="D245" s="31">
        <v>5</v>
      </c>
      <c r="E245" s="31">
        <v>2370</v>
      </c>
      <c r="F245" s="38">
        <v>45300</v>
      </c>
      <c r="G245" s="31" t="s">
        <v>18</v>
      </c>
      <c r="H245" s="31">
        <v>24</v>
      </c>
      <c r="I245" s="31" t="str">
        <f>VLOOKUP(продажи!$B245,товар!$A$1:$C$433,2)</f>
        <v>Йогурт</v>
      </c>
      <c r="J245" s="31" t="str">
        <f>VLOOKUP(B245,товар!$A$1:$C$433,3)</f>
        <v>Чудо</v>
      </c>
      <c r="K245" s="39">
        <f>AVERAGEIF(продажи!$I$2:$I$1001,продажи!$I$2:$I$1001,продажи!$C$2:$C$1001)</f>
        <v>263.25423728813558</v>
      </c>
      <c r="L245" s="40">
        <f>продажи!$C245/продажи!$K245-1</f>
        <v>0.80054081895441676</v>
      </c>
      <c r="M245" s="33">
        <f t="shared" si="6"/>
        <v>2871</v>
      </c>
      <c r="N245" s="24">
        <f>Таблица1[[#This Row],[цена за шт в рублях]]/Таблица1[[#This Row],[средняя стоимость в категории по поставщику.]]-1</f>
        <v>-0.83490073145245558</v>
      </c>
      <c r="O245" s="26">
        <f>VLOOKUP(Таблица1[[#This Row],[id клиента]],клиенты!$A$2:$E$435,5,0)</f>
        <v>44609</v>
      </c>
      <c r="P245">
        <f>Таблица1[[#This Row],[дата создания чека]]-Таблица1[[#This Row],[Дата регистрации клента]]</f>
        <v>691</v>
      </c>
      <c r="Q245" s="26">
        <f t="shared" ca="1" si="7"/>
        <v>46059</v>
      </c>
      <c r="R245" s="51">
        <f ca="1">(TODAY()-Таблица1[[#This Row],[Дата регистрации клента]])/30</f>
        <v>48.333333333333336</v>
      </c>
      <c r="S245" s="63" t="str">
        <f>VLOOKUP(Таблица1[[#This Row],[id клиента]],Таблица8[[id клиента]:[Страна]],7,0)</f>
        <v>Узбекистан</v>
      </c>
      <c r="T245" s="26"/>
    </row>
    <row r="246" spans="1:20" ht="19.5" x14ac:dyDescent="0.4">
      <c r="A246" s="41">
        <v>245</v>
      </c>
      <c r="B246" s="42">
        <v>425</v>
      </c>
      <c r="C246" s="42">
        <v>334</v>
      </c>
      <c r="D246" s="42">
        <v>2</v>
      </c>
      <c r="E246" s="42">
        <v>668</v>
      </c>
      <c r="F246" s="43">
        <v>45187</v>
      </c>
      <c r="G246" s="42" t="s">
        <v>15</v>
      </c>
      <c r="H246" s="42">
        <v>25</v>
      </c>
      <c r="I246" s="42" t="str">
        <f>VLOOKUP(продажи!$B246,товар!$A$1:$C$433,2)</f>
        <v>Соль</v>
      </c>
      <c r="J246" s="42" t="str">
        <f>VLOOKUP(B246,товар!$A$1:$C$433,3)</f>
        <v>Экстра</v>
      </c>
      <c r="K246" s="44">
        <f>AVERAGEIF(продажи!$I$2:$I$1001,продажи!$I$2:$I$1001,продажи!$C$2:$C$1001)</f>
        <v>264.8679245283019</v>
      </c>
      <c r="L246" s="45">
        <f>продажи!$C246/продажи!$K246-1</f>
        <v>0.2610058412879328</v>
      </c>
      <c r="M246" s="33">
        <f t="shared" si="6"/>
        <v>4171</v>
      </c>
      <c r="N246" s="24">
        <f>Таблица1[[#This Row],[цена за шт в рублях]]/Таблица1[[#This Row],[средняя стоимость в категории по поставщику.]]-1</f>
        <v>-0.91992327978901944</v>
      </c>
      <c r="O246" s="26">
        <f>VLOOKUP(Таблица1[[#This Row],[id клиента]],клиенты!$A$2:$E$435,5,0)</f>
        <v>44582</v>
      </c>
      <c r="P246">
        <f>Таблица1[[#This Row],[дата создания чека]]-Таблица1[[#This Row],[Дата регистрации клента]]</f>
        <v>605</v>
      </c>
      <c r="Q246" s="26">
        <f t="shared" ca="1" si="7"/>
        <v>46059</v>
      </c>
      <c r="R246" s="51">
        <f ca="1">(TODAY()-Таблица1[[#This Row],[Дата регистрации клента]])/30</f>
        <v>49.233333333333334</v>
      </c>
      <c r="S246" s="63" t="str">
        <f>VLOOKUP(Таблица1[[#This Row],[id клиента]],Таблица8[[id клиента]:[Страна]],7,0)</f>
        <v>Таджикистан</v>
      </c>
      <c r="T246" s="26"/>
    </row>
    <row r="247" spans="1:20" ht="19.5" x14ac:dyDescent="0.4">
      <c r="A247" s="37">
        <v>246</v>
      </c>
      <c r="B247" s="31">
        <v>452</v>
      </c>
      <c r="C247" s="31">
        <v>220</v>
      </c>
      <c r="D247" s="31">
        <v>5</v>
      </c>
      <c r="E247" s="31">
        <v>1100</v>
      </c>
      <c r="F247" s="38">
        <v>44951</v>
      </c>
      <c r="G247" s="31" t="s">
        <v>12</v>
      </c>
      <c r="H247" s="31">
        <v>411</v>
      </c>
      <c r="I247" s="31" t="str">
        <f>VLOOKUP(продажи!$B247,товар!$A$1:$C$433,2)</f>
        <v>Фрукты</v>
      </c>
      <c r="J247" s="31" t="str">
        <f>VLOOKUP(B247,товар!$A$1:$C$433,3)</f>
        <v>Экзотик</v>
      </c>
      <c r="K247" s="39">
        <f>AVERAGEIF(продажи!$I$2:$I$1001,продажи!$I$2:$I$1001,продажи!$C$2:$C$1001)</f>
        <v>274.16279069767444</v>
      </c>
      <c r="L247" s="40">
        <f>продажи!$C247/продажи!$K247-1</f>
        <v>-0.19755704470268898</v>
      </c>
      <c r="M247" s="33">
        <f t="shared" si="6"/>
        <v>4059</v>
      </c>
      <c r="N247" s="24">
        <f>Таблица1[[#This Row],[цена за шт в рублях]]/Таблица1[[#This Row],[средняя стоимость в категории по поставщику.]]-1</f>
        <v>-0.94579945799457998</v>
      </c>
      <c r="O247" s="26">
        <f>VLOOKUP(Таблица1[[#This Row],[id клиента]],клиенты!$A$2:$E$435,5,0)</f>
        <v>44673</v>
      </c>
      <c r="P247">
        <f>Таблица1[[#This Row],[дата создания чека]]-Таблица1[[#This Row],[Дата регистрации клента]]</f>
        <v>278</v>
      </c>
      <c r="Q247" s="26">
        <f t="shared" ca="1" si="7"/>
        <v>46059</v>
      </c>
      <c r="R247" s="51">
        <f ca="1">(TODAY()-Таблица1[[#This Row],[Дата регистрации клента]])/30</f>
        <v>46.2</v>
      </c>
      <c r="S247" s="63" t="str">
        <f>VLOOKUP(Таблица1[[#This Row],[id клиента]],Таблица8[[id клиента]:[Страна]],7,0)</f>
        <v>Таджикистан</v>
      </c>
      <c r="T247" s="26"/>
    </row>
    <row r="248" spans="1:20" ht="19.5" x14ac:dyDescent="0.4">
      <c r="A248" s="41">
        <v>247</v>
      </c>
      <c r="B248" s="42">
        <v>285</v>
      </c>
      <c r="C248" s="42">
        <v>282</v>
      </c>
      <c r="D248" s="42">
        <v>5</v>
      </c>
      <c r="E248" s="42">
        <v>1410</v>
      </c>
      <c r="F248" s="43">
        <v>45405</v>
      </c>
      <c r="G248" s="42" t="s">
        <v>24</v>
      </c>
      <c r="H248" s="42">
        <v>106</v>
      </c>
      <c r="I248" s="42" t="str">
        <f>VLOOKUP(продажи!$B248,товар!$A$1:$C$433,2)</f>
        <v>Макароны</v>
      </c>
      <c r="J248" s="42" t="str">
        <f>VLOOKUP(B248,товар!$A$1:$C$433,3)</f>
        <v>Паста Зара</v>
      </c>
      <c r="K248" s="44">
        <f>AVERAGEIF(продажи!$I$2:$I$1001,продажи!$I$2:$I$1001,продажи!$C$2:$C$1001)</f>
        <v>265.47674418604652</v>
      </c>
      <c r="L248" s="45">
        <f>продажи!$C248/продажи!$K248-1</f>
        <v>6.2239936927861228E-2</v>
      </c>
      <c r="M248" s="33">
        <f t="shared" si="6"/>
        <v>10237</v>
      </c>
      <c r="N248" s="24">
        <f>Таблица1[[#This Row],[цена за шт в рублях]]/Таблица1[[#This Row],[средняя стоимость в категории по поставщику.]]-1</f>
        <v>-0.97245286705089384</v>
      </c>
      <c r="O248" s="26">
        <f>VLOOKUP(Таблица1[[#This Row],[id клиента]],клиенты!$A$2:$E$435,5,0)</f>
        <v>44858</v>
      </c>
      <c r="P248">
        <f>Таблица1[[#This Row],[дата создания чека]]-Таблица1[[#This Row],[Дата регистрации клента]]</f>
        <v>547</v>
      </c>
      <c r="Q248" s="26">
        <f t="shared" ca="1" si="7"/>
        <v>46059</v>
      </c>
      <c r="R248" s="51">
        <f ca="1">(TODAY()-Таблица1[[#This Row],[Дата регистрации клента]])/30</f>
        <v>40.033333333333331</v>
      </c>
      <c r="S248" s="63" t="str">
        <f>VLOOKUP(Таблица1[[#This Row],[id клиента]],Таблица8[[id клиента]:[Страна]],7,0)</f>
        <v>Украина</v>
      </c>
      <c r="T248" s="26"/>
    </row>
    <row r="249" spans="1:20" ht="19.5" x14ac:dyDescent="0.4">
      <c r="A249" s="37">
        <v>248</v>
      </c>
      <c r="B249" s="31">
        <v>435</v>
      </c>
      <c r="C249" s="31">
        <v>499</v>
      </c>
      <c r="D249" s="31">
        <v>5</v>
      </c>
      <c r="E249" s="31">
        <v>2495</v>
      </c>
      <c r="F249" s="38">
        <v>44942</v>
      </c>
      <c r="G249" s="31" t="s">
        <v>12</v>
      </c>
      <c r="H249" s="31">
        <v>175</v>
      </c>
      <c r="I249" s="31" t="str">
        <f>VLOOKUP(продажи!$B249,товар!$A$1:$C$433,2)</f>
        <v>Мясо</v>
      </c>
      <c r="J249" s="31" t="str">
        <f>VLOOKUP(B249,товар!$A$1:$C$433,3)</f>
        <v>Снежана</v>
      </c>
      <c r="K249" s="39">
        <f>AVERAGEIF(продажи!$I$2:$I$1001,продажи!$I$2:$I$1001,продажи!$C$2:$C$1001)</f>
        <v>271.74545454545455</v>
      </c>
      <c r="L249" s="40">
        <f>продажи!$C249/продажи!$K249-1</f>
        <v>0.83627726482001874</v>
      </c>
      <c r="M249" s="33">
        <f t="shared" si="6"/>
        <v>4630</v>
      </c>
      <c r="N249" s="24">
        <f>Таблица1[[#This Row],[цена за шт в рублях]]/Таблица1[[#This Row],[средняя стоимость в категории по поставщику.]]-1</f>
        <v>-0.89222462203023756</v>
      </c>
      <c r="O249" s="26">
        <f>VLOOKUP(Таблица1[[#This Row],[id клиента]],клиенты!$A$2:$E$435,5,0)</f>
        <v>44565</v>
      </c>
      <c r="P249">
        <f>Таблица1[[#This Row],[дата создания чека]]-Таблица1[[#This Row],[Дата регистрации клента]]</f>
        <v>377</v>
      </c>
      <c r="Q249" s="26">
        <f t="shared" ca="1" si="7"/>
        <v>46059</v>
      </c>
      <c r="R249" s="51">
        <f ca="1">(TODAY()-Таблица1[[#This Row],[Дата регистрации клента]])/30</f>
        <v>49.8</v>
      </c>
      <c r="S249" s="63" t="str">
        <f>VLOOKUP(Таблица1[[#This Row],[id клиента]],Таблица8[[id клиента]:[Страна]],7,0)</f>
        <v>Россия</v>
      </c>
      <c r="T249" s="26"/>
    </row>
    <row r="250" spans="1:20" ht="19.5" x14ac:dyDescent="0.4">
      <c r="A250" s="41">
        <v>249</v>
      </c>
      <c r="B250" s="42">
        <v>26</v>
      </c>
      <c r="C250" s="42">
        <v>170</v>
      </c>
      <c r="D250" s="42">
        <v>1</v>
      </c>
      <c r="E250" s="42">
        <v>170</v>
      </c>
      <c r="F250" s="43">
        <v>45139</v>
      </c>
      <c r="G250" s="42" t="s">
        <v>25</v>
      </c>
      <c r="H250" s="42">
        <v>286</v>
      </c>
      <c r="I250" s="42" t="str">
        <f>VLOOKUP(продажи!$B250,товар!$A$1:$C$433,2)</f>
        <v>Мясо</v>
      </c>
      <c r="J250" s="42" t="str">
        <f>VLOOKUP(B250,товар!$A$1:$C$433,3)</f>
        <v>Сава</v>
      </c>
      <c r="K250" s="44">
        <f>AVERAGEIF(продажи!$I$2:$I$1001,продажи!$I$2:$I$1001,продажи!$C$2:$C$1001)</f>
        <v>271.74545454545455</v>
      </c>
      <c r="L250" s="45">
        <f>продажи!$C250/продажи!$K250-1</f>
        <v>-0.37441455907935239</v>
      </c>
      <c r="M250" s="33">
        <f t="shared" si="6"/>
        <v>3405</v>
      </c>
      <c r="N250" s="24">
        <f>Таблица1[[#This Row],[цена за шт в рублях]]/Таблица1[[#This Row],[средняя стоимость в категории по поставщику.]]-1</f>
        <v>-0.95007342143906026</v>
      </c>
      <c r="O250" s="26">
        <f>VLOOKUP(Таблица1[[#This Row],[id клиента]],клиенты!$A$2:$E$435,5,0)</f>
        <v>44563</v>
      </c>
      <c r="P250">
        <f>Таблица1[[#This Row],[дата создания чека]]-Таблица1[[#This Row],[Дата регистрации клента]]</f>
        <v>576</v>
      </c>
      <c r="Q250" s="26">
        <f t="shared" ca="1" si="7"/>
        <v>46059</v>
      </c>
      <c r="R250" s="51">
        <f ca="1">(TODAY()-Таблица1[[#This Row],[Дата регистрации клента]])/30</f>
        <v>49.866666666666667</v>
      </c>
      <c r="S250" s="63" t="str">
        <f>VLOOKUP(Таблица1[[#This Row],[id клиента]],Таблица8[[id клиента]:[Страна]],7,0)</f>
        <v>Таджикистан</v>
      </c>
      <c r="T250" s="26"/>
    </row>
    <row r="251" spans="1:20" ht="19.5" x14ac:dyDescent="0.4">
      <c r="A251" s="37">
        <v>250</v>
      </c>
      <c r="B251" s="31">
        <v>157</v>
      </c>
      <c r="C251" s="31">
        <v>52</v>
      </c>
      <c r="D251" s="31">
        <v>1</v>
      </c>
      <c r="E251" s="31">
        <v>52</v>
      </c>
      <c r="F251" s="38">
        <v>44961</v>
      </c>
      <c r="G251" s="31" t="s">
        <v>8</v>
      </c>
      <c r="H251" s="31">
        <v>249</v>
      </c>
      <c r="I251" s="31" t="str">
        <f>VLOOKUP(продажи!$B251,товар!$A$1:$C$433,2)</f>
        <v>Сыр</v>
      </c>
      <c r="J251" s="31" t="str">
        <f>VLOOKUP(B251,товар!$A$1:$C$433,3)</f>
        <v>President</v>
      </c>
      <c r="K251" s="39">
        <f>AVERAGEIF(продажи!$I$2:$I$1001,продажи!$I$2:$I$1001,продажи!$C$2:$C$1001)</f>
        <v>261.03225806451616</v>
      </c>
      <c r="L251" s="40">
        <f>продажи!$C251/продажи!$K251-1</f>
        <v>-0.80079090459713298</v>
      </c>
      <c r="M251" s="33">
        <f t="shared" si="6"/>
        <v>3935</v>
      </c>
      <c r="N251" s="24">
        <f>Таблица1[[#This Row],[цена за шт в рублях]]/Таблица1[[#This Row],[средняя стоимость в категории по поставщику.]]-1</f>
        <v>-0.9867852604828462</v>
      </c>
      <c r="O251" s="26">
        <f>VLOOKUP(Таблица1[[#This Row],[id клиента]],клиенты!$A$2:$E$435,5,0)</f>
        <v>44781</v>
      </c>
      <c r="P251">
        <f>Таблица1[[#This Row],[дата создания чека]]-Таблица1[[#This Row],[Дата регистрации клента]]</f>
        <v>180</v>
      </c>
      <c r="Q251" s="26">
        <f t="shared" ca="1" si="7"/>
        <v>46059</v>
      </c>
      <c r="R251" s="51">
        <f ca="1">(TODAY()-Таблица1[[#This Row],[Дата регистрации клента]])/30</f>
        <v>42.6</v>
      </c>
      <c r="S251" s="63" t="str">
        <f>VLOOKUP(Таблица1[[#This Row],[id клиента]],Таблица8[[id клиента]:[Страна]],7,0)</f>
        <v>Россия</v>
      </c>
      <c r="T251" s="26"/>
    </row>
    <row r="252" spans="1:20" ht="19.5" x14ac:dyDescent="0.4">
      <c r="A252" s="41">
        <v>251</v>
      </c>
      <c r="B252" s="42">
        <v>273</v>
      </c>
      <c r="C252" s="42">
        <v>156</v>
      </c>
      <c r="D252" s="42">
        <v>5</v>
      </c>
      <c r="E252" s="42">
        <v>780</v>
      </c>
      <c r="F252" s="43">
        <v>45029</v>
      </c>
      <c r="G252" s="42" t="s">
        <v>23</v>
      </c>
      <c r="H252" s="42">
        <v>168</v>
      </c>
      <c r="I252" s="42" t="str">
        <f>VLOOKUP(продажи!$B252,товар!$A$1:$C$433,2)</f>
        <v>Конфеты</v>
      </c>
      <c r="J252" s="42" t="str">
        <f>VLOOKUP(B252,товар!$A$1:$C$433,3)</f>
        <v>Красный Октябрь</v>
      </c>
      <c r="K252" s="44">
        <f>AVERAGEIF(продажи!$I$2:$I$1001,продажи!$I$2:$I$1001,продажи!$C$2:$C$1001)</f>
        <v>267.85483870967744</v>
      </c>
      <c r="L252" s="45">
        <f>продажи!$C252/продажи!$K252-1</f>
        <v>-0.41759499006443068</v>
      </c>
      <c r="M252" s="33">
        <f t="shared" si="6"/>
        <v>2189</v>
      </c>
      <c r="N252" s="24">
        <f>Таблица1[[#This Row],[цена за шт в рублях]]/Таблица1[[#This Row],[средняя стоимость в категории по поставщику.]]-1</f>
        <v>-0.92873458200091363</v>
      </c>
      <c r="O252" s="26">
        <f>VLOOKUP(Таблица1[[#This Row],[id клиента]],клиенты!$A$2:$E$435,5,0)</f>
        <v>44706</v>
      </c>
      <c r="P252">
        <f>Таблица1[[#This Row],[дата создания чека]]-Таблица1[[#This Row],[Дата регистрации клента]]</f>
        <v>323</v>
      </c>
      <c r="Q252" s="26">
        <f t="shared" ca="1" si="7"/>
        <v>46059</v>
      </c>
      <c r="R252" s="51">
        <f ca="1">(TODAY()-Таблица1[[#This Row],[Дата регистрации клента]])/30</f>
        <v>45.1</v>
      </c>
      <c r="S252" s="63" t="str">
        <f>VLOOKUP(Таблица1[[#This Row],[id клиента]],Таблица8[[id клиента]:[Страна]],7,0)</f>
        <v>Узбекистан</v>
      </c>
      <c r="T252" s="26"/>
    </row>
    <row r="253" spans="1:20" ht="19.5" x14ac:dyDescent="0.4">
      <c r="A253" s="37">
        <v>252</v>
      </c>
      <c r="B253" s="31">
        <v>340</v>
      </c>
      <c r="C253" s="31">
        <v>450</v>
      </c>
      <c r="D253" s="31">
        <v>3</v>
      </c>
      <c r="E253" s="31">
        <v>1350</v>
      </c>
      <c r="F253" s="38">
        <v>44933</v>
      </c>
      <c r="G253" s="31" t="s">
        <v>15</v>
      </c>
      <c r="H253" s="31">
        <v>121</v>
      </c>
      <c r="I253" s="31" t="str">
        <f>VLOOKUP(продажи!$B253,товар!$A$1:$C$433,2)</f>
        <v>Сыр</v>
      </c>
      <c r="J253" s="31" t="str">
        <f>VLOOKUP(B253,товар!$A$1:$C$433,3)</f>
        <v>Карат</v>
      </c>
      <c r="K253" s="39">
        <f>AVERAGEIF(продажи!$I$2:$I$1001,продажи!$I$2:$I$1001,продажи!$C$2:$C$1001)</f>
        <v>261.03225806451616</v>
      </c>
      <c r="L253" s="40">
        <f>продажи!$C253/продажи!$K253-1</f>
        <v>0.72392486406327228</v>
      </c>
      <c r="M253" s="33">
        <f t="shared" si="6"/>
        <v>2802</v>
      </c>
      <c r="N253" s="24">
        <f>Таблица1[[#This Row],[цена за шт в рублях]]/Таблица1[[#This Row],[средняя стоимость в категории по поставщику.]]-1</f>
        <v>-0.83940042826552463</v>
      </c>
      <c r="O253" s="26">
        <f>VLOOKUP(Таблица1[[#This Row],[id клиента]],клиенты!$A$2:$E$435,5,0)</f>
        <v>44763</v>
      </c>
      <c r="P253">
        <f>Таблица1[[#This Row],[дата создания чека]]-Таблица1[[#This Row],[Дата регистрации клента]]</f>
        <v>170</v>
      </c>
      <c r="Q253" s="26">
        <f t="shared" ca="1" si="7"/>
        <v>46059</v>
      </c>
      <c r="R253" s="51">
        <f ca="1">(TODAY()-Таблица1[[#This Row],[Дата регистрации клента]])/30</f>
        <v>43.2</v>
      </c>
      <c r="S253" s="63" t="str">
        <f>VLOOKUP(Таблица1[[#This Row],[id клиента]],Таблица8[[id клиента]:[Страна]],7,0)</f>
        <v>Россия</v>
      </c>
      <c r="T253" s="26"/>
    </row>
    <row r="254" spans="1:20" ht="19.5" x14ac:dyDescent="0.4">
      <c r="A254" s="41">
        <v>253</v>
      </c>
      <c r="B254" s="42">
        <v>34</v>
      </c>
      <c r="C254" s="42">
        <v>366</v>
      </c>
      <c r="D254" s="42">
        <v>4</v>
      </c>
      <c r="E254" s="42">
        <v>1464</v>
      </c>
      <c r="F254" s="43">
        <v>45264</v>
      </c>
      <c r="G254" s="42" t="s">
        <v>14</v>
      </c>
      <c r="H254" s="42">
        <v>259</v>
      </c>
      <c r="I254" s="42" t="str">
        <f>VLOOKUP(продажи!$B254,товар!$A$1:$C$433,2)</f>
        <v>Крупа</v>
      </c>
      <c r="J254" s="42" t="str">
        <f>VLOOKUP(B254,товар!$A$1:$C$433,3)</f>
        <v>Ярмарка</v>
      </c>
      <c r="K254" s="44">
        <f>AVERAGEIF(продажи!$I$2:$I$1001,продажи!$I$2:$I$1001,продажи!$C$2:$C$1001)</f>
        <v>255.11627906976744</v>
      </c>
      <c r="L254" s="45">
        <f>продажи!$C254/продажи!$K254-1</f>
        <v>0.4346399270738377</v>
      </c>
      <c r="M254" s="33">
        <f t="shared" si="6"/>
        <v>2773</v>
      </c>
      <c r="N254" s="24">
        <f>Таблица1[[#This Row],[цена за шт в рублях]]/Таблица1[[#This Row],[средняя стоимость в категории по поставщику.]]-1</f>
        <v>-0.86801298232960689</v>
      </c>
      <c r="O254" s="26">
        <f>VLOOKUP(Таблица1[[#This Row],[id клиента]],клиенты!$A$2:$E$435,5,0)</f>
        <v>44707</v>
      </c>
      <c r="P254">
        <f>Таблица1[[#This Row],[дата создания чека]]-Таблица1[[#This Row],[Дата регистрации клента]]</f>
        <v>557</v>
      </c>
      <c r="Q254" s="26">
        <f t="shared" ca="1" si="7"/>
        <v>46059</v>
      </c>
      <c r="R254" s="51">
        <f ca="1">(TODAY()-Таблица1[[#This Row],[Дата регистрации клента]])/30</f>
        <v>45.06666666666667</v>
      </c>
      <c r="S254" s="63" t="str">
        <f>VLOOKUP(Таблица1[[#This Row],[id клиента]],Таблица8[[id клиента]:[Страна]],7,0)</f>
        <v>Беларусь</v>
      </c>
      <c r="T254" s="26"/>
    </row>
    <row r="255" spans="1:20" ht="19.5" x14ac:dyDescent="0.4">
      <c r="A255" s="37">
        <v>254</v>
      </c>
      <c r="B255" s="31">
        <v>296</v>
      </c>
      <c r="C255" s="31">
        <v>210</v>
      </c>
      <c r="D255" s="31">
        <v>1</v>
      </c>
      <c r="E255" s="31">
        <v>210</v>
      </c>
      <c r="F255" s="38">
        <v>45010</v>
      </c>
      <c r="G255" s="31" t="s">
        <v>9</v>
      </c>
      <c r="H255" s="31">
        <v>255</v>
      </c>
      <c r="I255" s="31" t="str">
        <f>VLOOKUP(продажи!$B255,товар!$A$1:$C$433,2)</f>
        <v>Крупа</v>
      </c>
      <c r="J255" s="31" t="str">
        <f>VLOOKUP(B255,товар!$A$1:$C$433,3)</f>
        <v>Мистраль</v>
      </c>
      <c r="K255" s="39">
        <f>AVERAGEIF(продажи!$I$2:$I$1001,продажи!$I$2:$I$1001,продажи!$C$2:$C$1001)</f>
        <v>255.11627906976744</v>
      </c>
      <c r="L255" s="40">
        <f>продажи!$C255/продажи!$K255-1</f>
        <v>-0.17684594348222427</v>
      </c>
      <c r="M255" s="33">
        <f t="shared" si="6"/>
        <v>3254</v>
      </c>
      <c r="N255" s="24">
        <f>Таблица1[[#This Row],[цена за шт в рублях]]/Таблица1[[#This Row],[средняя стоимость в категории по поставщику.]]-1</f>
        <v>-0.93546404425322682</v>
      </c>
      <c r="O255" s="26">
        <f>VLOOKUP(Таблица1[[#This Row],[id клиента]],клиенты!$A$2:$E$435,5,0)</f>
        <v>44793</v>
      </c>
      <c r="P255">
        <f>Таблица1[[#This Row],[дата создания чека]]-Таблица1[[#This Row],[Дата регистрации клента]]</f>
        <v>217</v>
      </c>
      <c r="Q255" s="26">
        <f t="shared" ca="1" si="7"/>
        <v>46059</v>
      </c>
      <c r="R255" s="51">
        <f ca="1">(TODAY()-Таблица1[[#This Row],[Дата регистрации клента]])/30</f>
        <v>42.2</v>
      </c>
      <c r="S255" s="63" t="str">
        <f>VLOOKUP(Таблица1[[#This Row],[id клиента]],Таблица8[[id клиента]:[Страна]],7,0)</f>
        <v>Украина</v>
      </c>
      <c r="T255" s="26"/>
    </row>
    <row r="256" spans="1:20" ht="19.5" x14ac:dyDescent="0.4">
      <c r="A256" s="41">
        <v>255</v>
      </c>
      <c r="B256" s="42">
        <v>116</v>
      </c>
      <c r="C256" s="42">
        <v>379</v>
      </c>
      <c r="D256" s="42">
        <v>4</v>
      </c>
      <c r="E256" s="42">
        <v>1516</v>
      </c>
      <c r="F256" s="43">
        <v>45261</v>
      </c>
      <c r="G256" s="42" t="s">
        <v>22</v>
      </c>
      <c r="H256" s="42">
        <v>405</v>
      </c>
      <c r="I256" s="42" t="str">
        <f>VLOOKUP(продажи!$B256,товар!$A$1:$C$433,2)</f>
        <v>Соль</v>
      </c>
      <c r="J256" s="42" t="str">
        <f>VLOOKUP(B256,товар!$A$1:$C$433,3)</f>
        <v>Экстра</v>
      </c>
      <c r="K256" s="44">
        <f>AVERAGEIF(продажи!$I$2:$I$1001,продажи!$I$2:$I$1001,продажи!$C$2:$C$1001)</f>
        <v>264.8679245283019</v>
      </c>
      <c r="L256" s="45">
        <f>продажи!$C256/продажи!$K256-1</f>
        <v>0.43090183786864222</v>
      </c>
      <c r="M256" s="33">
        <f t="shared" si="6"/>
        <v>4171</v>
      </c>
      <c r="N256" s="24">
        <f>Таблица1[[#This Row],[цена за шт в рублях]]/Таблица1[[#This Row],[средняя стоимость в категории по поставщику.]]-1</f>
        <v>-0.90913450011987529</v>
      </c>
      <c r="O256" s="26">
        <f>VLOOKUP(Таблица1[[#This Row],[id клиента]],клиенты!$A$2:$E$435,5,0)</f>
        <v>44798</v>
      </c>
      <c r="P256">
        <f>Таблица1[[#This Row],[дата создания чека]]-Таблица1[[#This Row],[Дата регистрации клента]]</f>
        <v>463</v>
      </c>
      <c r="Q256" s="26">
        <f t="shared" ca="1" si="7"/>
        <v>46059</v>
      </c>
      <c r="R256" s="51">
        <f ca="1">(TODAY()-Таблица1[[#This Row],[Дата регистрации клента]])/30</f>
        <v>42.033333333333331</v>
      </c>
      <c r="S256" s="63" t="str">
        <f>VLOOKUP(Таблица1[[#This Row],[id клиента]],Таблица8[[id клиента]:[Страна]],7,0)</f>
        <v>Украина</v>
      </c>
      <c r="T256" s="26"/>
    </row>
    <row r="257" spans="1:20" ht="19.5" x14ac:dyDescent="0.4">
      <c r="A257" s="37">
        <v>256</v>
      </c>
      <c r="B257" s="31">
        <v>117</v>
      </c>
      <c r="C257" s="31">
        <v>102</v>
      </c>
      <c r="D257" s="31">
        <v>4</v>
      </c>
      <c r="E257" s="31">
        <v>408</v>
      </c>
      <c r="F257" s="38">
        <v>45329</v>
      </c>
      <c r="G257" s="31" t="s">
        <v>24</v>
      </c>
      <c r="H257" s="31">
        <v>376</v>
      </c>
      <c r="I257" s="31" t="str">
        <f>VLOOKUP(продажи!$B257,товар!$A$1:$C$433,2)</f>
        <v>Макароны</v>
      </c>
      <c r="J257" s="31" t="str">
        <f>VLOOKUP(B257,товар!$A$1:$C$433,3)</f>
        <v>Роллтон</v>
      </c>
      <c r="K257" s="39">
        <f>AVERAGEIF(продажи!$I$2:$I$1001,продажи!$I$2:$I$1001,продажи!$C$2:$C$1001)</f>
        <v>265.47674418604652</v>
      </c>
      <c r="L257" s="40">
        <f>продажи!$C257/продажи!$K257-1</f>
        <v>-0.61578555472822039</v>
      </c>
      <c r="M257" s="33">
        <f t="shared" si="6"/>
        <v>2120</v>
      </c>
      <c r="N257" s="24">
        <f>Таблица1[[#This Row],[цена за шт в рублях]]/Таблица1[[#This Row],[средняя стоимость в категории по поставщику.]]-1</f>
        <v>-0.95188679245283014</v>
      </c>
      <c r="O257" s="26">
        <f>VLOOKUP(Таблица1[[#This Row],[id клиента]],клиенты!$A$2:$E$435,5,0)</f>
        <v>44730</v>
      </c>
      <c r="P257">
        <f>Таблица1[[#This Row],[дата создания чека]]-Таблица1[[#This Row],[Дата регистрации клента]]</f>
        <v>599</v>
      </c>
      <c r="Q257" s="26">
        <f t="shared" ca="1" si="7"/>
        <v>46059</v>
      </c>
      <c r="R257" s="51">
        <f ca="1">(TODAY()-Таблица1[[#This Row],[Дата регистрации клента]])/30</f>
        <v>44.3</v>
      </c>
      <c r="S257" s="63" t="str">
        <f>VLOOKUP(Таблица1[[#This Row],[id клиента]],Таблица8[[id клиента]:[Страна]],7,0)</f>
        <v>Беларусь</v>
      </c>
      <c r="T257" s="26"/>
    </row>
    <row r="258" spans="1:20" ht="19.5" x14ac:dyDescent="0.4">
      <c r="A258" s="41">
        <v>257</v>
      </c>
      <c r="B258" s="42">
        <v>239</v>
      </c>
      <c r="C258" s="42">
        <v>380</v>
      </c>
      <c r="D258" s="42">
        <v>5</v>
      </c>
      <c r="E258" s="42">
        <v>1900</v>
      </c>
      <c r="F258" s="43">
        <v>45129</v>
      </c>
      <c r="G258" s="42" t="s">
        <v>8</v>
      </c>
      <c r="H258" s="42">
        <v>489</v>
      </c>
      <c r="I258" s="42" t="str">
        <f>VLOOKUP(продажи!$B258,товар!$A$1:$C$433,2)</f>
        <v>Йогурт</v>
      </c>
      <c r="J258" s="42" t="str">
        <f>VLOOKUP(B258,товар!$A$1:$C$433,3)</f>
        <v>Эрманн</v>
      </c>
      <c r="K258" s="44">
        <f>AVERAGEIF(продажи!$I$2:$I$1001,продажи!$I$2:$I$1001,продажи!$C$2:$C$1001)</f>
        <v>263.25423728813558</v>
      </c>
      <c r="L258" s="45">
        <f>продажи!$C258/продажи!$K258-1</f>
        <v>0.44347154262168442</v>
      </c>
      <c r="M258" s="33">
        <f t="shared" ref="M258:M321" si="8">SUMIFS($C$2:$C$1001,$I$2:$I$1001,I258,$J$2:$J$1001,J258)</f>
        <v>4970</v>
      </c>
      <c r="N258" s="24">
        <f>Таблица1[[#This Row],[цена за шт в рублях]]/Таблица1[[#This Row],[средняя стоимость в категории по поставщику.]]-1</f>
        <v>-0.9235412474849094</v>
      </c>
      <c r="O258" s="26">
        <f>VLOOKUP(Таблица1[[#This Row],[id клиента]],клиенты!$A$2:$E$435,5,0)</f>
        <v>44587</v>
      </c>
      <c r="P258">
        <f>Таблица1[[#This Row],[дата создания чека]]-Таблица1[[#This Row],[Дата регистрации клента]]</f>
        <v>542</v>
      </c>
      <c r="Q258" s="26">
        <f t="shared" ref="Q258:Q321" ca="1" si="9">TODAY()</f>
        <v>46059</v>
      </c>
      <c r="R258" s="51">
        <f ca="1">(TODAY()-Таблица1[[#This Row],[Дата регистрации клента]])/30</f>
        <v>49.06666666666667</v>
      </c>
      <c r="S258" s="63" t="str">
        <f>VLOOKUP(Таблица1[[#This Row],[id клиента]],Таблица8[[id клиента]:[Страна]],7,0)</f>
        <v>Россия</v>
      </c>
      <c r="T258" s="26"/>
    </row>
    <row r="259" spans="1:20" ht="19.5" x14ac:dyDescent="0.4">
      <c r="A259" s="37">
        <v>258</v>
      </c>
      <c r="B259" s="31">
        <v>201</v>
      </c>
      <c r="C259" s="31">
        <v>355</v>
      </c>
      <c r="D259" s="31">
        <v>5</v>
      </c>
      <c r="E259" s="31">
        <v>1775</v>
      </c>
      <c r="F259" s="38">
        <v>45343</v>
      </c>
      <c r="G259" s="31" t="s">
        <v>19</v>
      </c>
      <c r="H259" s="31">
        <v>483</v>
      </c>
      <c r="I259" s="31" t="str">
        <f>VLOOKUP(продажи!$B259,товар!$A$1:$C$433,2)</f>
        <v>Печенье</v>
      </c>
      <c r="J259" s="31" t="str">
        <f>VLOOKUP(B259,товар!$A$1:$C$433,3)</f>
        <v>Белогорье</v>
      </c>
      <c r="K259" s="39">
        <f>AVERAGEIF(продажи!$I$2:$I$1001,продажи!$I$2:$I$1001,продажи!$C$2:$C$1001)</f>
        <v>283.468085106383</v>
      </c>
      <c r="L259" s="40">
        <f>продажи!$C259/продажи!$K259-1</f>
        <v>0.25234556781505657</v>
      </c>
      <c r="M259" s="33">
        <f t="shared" si="8"/>
        <v>3493</v>
      </c>
      <c r="N259" s="24">
        <f>Таблица1[[#This Row],[цена за шт в рублях]]/Таблица1[[#This Row],[средняя стоимость в категории по поставщику.]]-1</f>
        <v>-0.89836816490123106</v>
      </c>
      <c r="O259" s="26">
        <f>VLOOKUP(Таблица1[[#This Row],[id клиента]],клиенты!$A$2:$E$435,5,0)</f>
        <v>44855</v>
      </c>
      <c r="P259">
        <f>Таблица1[[#This Row],[дата создания чека]]-Таблица1[[#This Row],[Дата регистрации клента]]</f>
        <v>488</v>
      </c>
      <c r="Q259" s="26">
        <f t="shared" ca="1" si="9"/>
        <v>46059</v>
      </c>
      <c r="R259" s="51">
        <f ca="1">(TODAY()-Таблица1[[#This Row],[Дата регистрации клента]])/30</f>
        <v>40.133333333333333</v>
      </c>
      <c r="S259" s="63" t="str">
        <f>VLOOKUP(Таблица1[[#This Row],[id клиента]],Таблица8[[id клиента]:[Страна]],7,0)</f>
        <v>Россия</v>
      </c>
      <c r="T259" s="26"/>
    </row>
    <row r="260" spans="1:20" ht="19.5" x14ac:dyDescent="0.4">
      <c r="A260" s="41">
        <v>259</v>
      </c>
      <c r="B260" s="42">
        <v>377</v>
      </c>
      <c r="C260" s="42">
        <v>403</v>
      </c>
      <c r="D260" s="42">
        <v>4</v>
      </c>
      <c r="E260" s="42">
        <v>1612</v>
      </c>
      <c r="F260" s="43">
        <v>45337</v>
      </c>
      <c r="G260" s="42" t="s">
        <v>24</v>
      </c>
      <c r="H260" s="42">
        <v>107</v>
      </c>
      <c r="I260" s="42" t="str">
        <f>VLOOKUP(продажи!$B260,товар!$A$1:$C$433,2)</f>
        <v>Колбаса</v>
      </c>
      <c r="J260" s="42" t="str">
        <f>VLOOKUP(B260,товар!$A$1:$C$433,3)</f>
        <v>Окраина</v>
      </c>
      <c r="K260" s="44">
        <f>AVERAGEIF(продажи!$I$2:$I$1001,продажи!$I$2:$I$1001,продажи!$C$2:$C$1001)</f>
        <v>286.92307692307691</v>
      </c>
      <c r="L260" s="45">
        <f>продажи!$C260/продажи!$K260-1</f>
        <v>0.40455764075067036</v>
      </c>
      <c r="M260" s="33">
        <f t="shared" si="8"/>
        <v>3283</v>
      </c>
      <c r="N260" s="24">
        <f>Таблица1[[#This Row],[цена за шт в рублях]]/Таблица1[[#This Row],[средняя стоимость в категории по поставщику.]]-1</f>
        <v>-0.87724642095644223</v>
      </c>
      <c r="O260" s="26">
        <f>VLOOKUP(Таблица1[[#This Row],[id клиента]],клиенты!$A$2:$E$435,5,0)</f>
        <v>44744</v>
      </c>
      <c r="P260">
        <f>Таблица1[[#This Row],[дата создания чека]]-Таблица1[[#This Row],[Дата регистрации клента]]</f>
        <v>593</v>
      </c>
      <c r="Q260" s="26">
        <f t="shared" ca="1" si="9"/>
        <v>46059</v>
      </c>
      <c r="R260" s="51">
        <f ca="1">(TODAY()-Таблица1[[#This Row],[Дата регистрации клента]])/30</f>
        <v>43.833333333333336</v>
      </c>
      <c r="S260" s="63" t="str">
        <f>VLOOKUP(Таблица1[[#This Row],[id клиента]],Таблица8[[id клиента]:[Страна]],7,0)</f>
        <v>Таджикистан</v>
      </c>
      <c r="T260" s="26"/>
    </row>
    <row r="261" spans="1:20" ht="19.5" x14ac:dyDescent="0.4">
      <c r="A261" s="37">
        <v>260</v>
      </c>
      <c r="B261" s="31">
        <v>485</v>
      </c>
      <c r="C261" s="31">
        <v>101</v>
      </c>
      <c r="D261" s="31">
        <v>1</v>
      </c>
      <c r="E261" s="31">
        <v>101</v>
      </c>
      <c r="F261" s="38">
        <v>45331</v>
      </c>
      <c r="G261" s="31" t="s">
        <v>21</v>
      </c>
      <c r="H261" s="31">
        <v>51</v>
      </c>
      <c r="I261" s="31" t="str">
        <f>VLOOKUP(продажи!$B261,товар!$A$1:$C$433,2)</f>
        <v>Макароны</v>
      </c>
      <c r="J261" s="31" t="str">
        <f>VLOOKUP(B261,товар!$A$1:$C$433,3)</f>
        <v>Борилла</v>
      </c>
      <c r="K261" s="39">
        <f>AVERAGEIF(продажи!$I$2:$I$1001,продажи!$I$2:$I$1001,продажи!$C$2:$C$1001)</f>
        <v>265.47674418604652</v>
      </c>
      <c r="L261" s="40">
        <f>продажи!$C261/продажи!$K261-1</f>
        <v>-0.61955236301519867</v>
      </c>
      <c r="M261" s="33">
        <f t="shared" si="8"/>
        <v>6852</v>
      </c>
      <c r="N261" s="24">
        <f>Таблица1[[#This Row],[цена за шт в рублях]]/Таблица1[[#This Row],[средняя стоимость в категории по поставщику.]]-1</f>
        <v>-0.98525977816695853</v>
      </c>
      <c r="O261" s="26">
        <f>VLOOKUP(Таблица1[[#This Row],[id клиента]],клиенты!$A$2:$E$435,5,0)</f>
        <v>44605</v>
      </c>
      <c r="P261">
        <f>Таблица1[[#This Row],[дата создания чека]]-Таблица1[[#This Row],[Дата регистрации клента]]</f>
        <v>726</v>
      </c>
      <c r="Q261" s="26">
        <f t="shared" ca="1" si="9"/>
        <v>46059</v>
      </c>
      <c r="R261" s="51">
        <f ca="1">(TODAY()-Таблица1[[#This Row],[Дата регистрации клента]])/30</f>
        <v>48.466666666666669</v>
      </c>
      <c r="S261" s="63" t="str">
        <f>VLOOKUP(Таблица1[[#This Row],[id клиента]],Таблица8[[id клиента]:[Страна]],7,0)</f>
        <v>Узбекистан</v>
      </c>
      <c r="T261" s="26"/>
    </row>
    <row r="262" spans="1:20" ht="19.5" x14ac:dyDescent="0.4">
      <c r="A262" s="41">
        <v>261</v>
      </c>
      <c r="B262" s="42">
        <v>251</v>
      </c>
      <c r="C262" s="42">
        <v>294</v>
      </c>
      <c r="D262" s="42">
        <v>1</v>
      </c>
      <c r="E262" s="42">
        <v>294</v>
      </c>
      <c r="F262" s="43">
        <v>45082</v>
      </c>
      <c r="G262" s="42" t="s">
        <v>12</v>
      </c>
      <c r="H262" s="42">
        <v>47</v>
      </c>
      <c r="I262" s="42" t="str">
        <f>VLOOKUP(продажи!$B262,товар!$A$1:$C$433,2)</f>
        <v>Овощи</v>
      </c>
      <c r="J262" s="42" t="str">
        <f>VLOOKUP(B262,товар!$A$1:$C$433,3)</f>
        <v>Гавриш</v>
      </c>
      <c r="K262" s="44">
        <f>AVERAGEIF(продажи!$I$2:$I$1001,продажи!$I$2:$I$1001,продажи!$C$2:$C$1001)</f>
        <v>250.48780487804879</v>
      </c>
      <c r="L262" s="45">
        <f>продажи!$C262/продажи!$K262-1</f>
        <v>0.17370983446932819</v>
      </c>
      <c r="M262" s="33">
        <f t="shared" si="8"/>
        <v>2229</v>
      </c>
      <c r="N262" s="24">
        <f>Таблица1[[#This Row],[цена за шт в рублях]]/Таблица1[[#This Row],[средняя стоимость в категории по поставщику.]]-1</f>
        <v>-0.86810228802153433</v>
      </c>
      <c r="O262" s="26">
        <f>VLOOKUP(Таблица1[[#This Row],[id клиента]],клиенты!$A$2:$E$435,5,0)</f>
        <v>44693</v>
      </c>
      <c r="P262">
        <f>Таблица1[[#This Row],[дата создания чека]]-Таблица1[[#This Row],[Дата регистрации клента]]</f>
        <v>389</v>
      </c>
      <c r="Q262" s="26">
        <f t="shared" ca="1" si="9"/>
        <v>46059</v>
      </c>
      <c r="R262" s="51">
        <f ca="1">(TODAY()-Таблица1[[#This Row],[Дата регистрации клента]])/30</f>
        <v>45.533333333333331</v>
      </c>
      <c r="S262" s="63" t="str">
        <f>VLOOKUP(Таблица1[[#This Row],[id клиента]],Таблица8[[id клиента]:[Страна]],7,0)</f>
        <v>Беларусь</v>
      </c>
      <c r="T262" s="26"/>
    </row>
    <row r="263" spans="1:20" ht="19.5" x14ac:dyDescent="0.4">
      <c r="A263" s="37">
        <v>262</v>
      </c>
      <c r="B263" s="31">
        <v>409</v>
      </c>
      <c r="C263" s="31">
        <v>299</v>
      </c>
      <c r="D263" s="31">
        <v>1</v>
      </c>
      <c r="E263" s="31">
        <v>299</v>
      </c>
      <c r="F263" s="38">
        <v>45361</v>
      </c>
      <c r="G263" s="31" t="s">
        <v>10</v>
      </c>
      <c r="H263" s="31">
        <v>411</v>
      </c>
      <c r="I263" s="31" t="str">
        <f>VLOOKUP(продажи!$B263,товар!$A$1:$C$433,2)</f>
        <v>Фрукты</v>
      </c>
      <c r="J263" s="31" t="str">
        <f>VLOOKUP(B263,товар!$A$1:$C$433,3)</f>
        <v>Фруктовый Рай</v>
      </c>
      <c r="K263" s="39">
        <f>AVERAGEIF(продажи!$I$2:$I$1001,продажи!$I$2:$I$1001,продажи!$C$2:$C$1001)</f>
        <v>274.16279069767444</v>
      </c>
      <c r="L263" s="40">
        <f>продажи!$C263/продажи!$K263-1</f>
        <v>9.0592925608618202E-2</v>
      </c>
      <c r="M263" s="33">
        <f t="shared" si="8"/>
        <v>3358</v>
      </c>
      <c r="N263" s="24">
        <f>Таблица1[[#This Row],[цена за шт в рублях]]/Таблица1[[#This Row],[средняя стоимость в категории по поставщику.]]-1</f>
        <v>-0.91095890410958902</v>
      </c>
      <c r="O263" s="26">
        <f>VLOOKUP(Таблица1[[#This Row],[id клиента]],клиенты!$A$2:$E$435,5,0)</f>
        <v>44673</v>
      </c>
      <c r="P263">
        <f>Таблица1[[#This Row],[дата создания чека]]-Таблица1[[#This Row],[Дата регистрации клента]]</f>
        <v>688</v>
      </c>
      <c r="Q263" s="26">
        <f t="shared" ca="1" si="9"/>
        <v>46059</v>
      </c>
      <c r="R263" s="51">
        <f ca="1">(TODAY()-Таблица1[[#This Row],[Дата регистрации клента]])/30</f>
        <v>46.2</v>
      </c>
      <c r="S263" s="63" t="str">
        <f>VLOOKUP(Таблица1[[#This Row],[id клиента]],Таблица8[[id клиента]:[Страна]],7,0)</f>
        <v>Таджикистан</v>
      </c>
      <c r="T263" s="26"/>
    </row>
    <row r="264" spans="1:20" ht="19.5" x14ac:dyDescent="0.4">
      <c r="A264" s="41">
        <v>263</v>
      </c>
      <c r="B264" s="42">
        <v>422</v>
      </c>
      <c r="C264" s="42">
        <v>349</v>
      </c>
      <c r="D264" s="42">
        <v>2</v>
      </c>
      <c r="E264" s="42">
        <v>698</v>
      </c>
      <c r="F264" s="43">
        <v>45045</v>
      </c>
      <c r="G264" s="42" t="s">
        <v>18</v>
      </c>
      <c r="H264" s="42">
        <v>160</v>
      </c>
      <c r="I264" s="42" t="str">
        <f>VLOOKUP(продажи!$B264,товар!$A$1:$C$433,2)</f>
        <v>Кофе</v>
      </c>
      <c r="J264" s="42" t="str">
        <f>VLOOKUP(B264,товар!$A$1:$C$433,3)</f>
        <v>Nescafe</v>
      </c>
      <c r="K264" s="44">
        <f>AVERAGEIF(продажи!$I$2:$I$1001,продажи!$I$2:$I$1001,продажи!$C$2:$C$1001)</f>
        <v>249.02380952380952</v>
      </c>
      <c r="L264" s="45">
        <f>продажи!$C264/продажи!$K264-1</f>
        <v>0.40147241610096573</v>
      </c>
      <c r="M264" s="33">
        <f t="shared" si="8"/>
        <v>2569</v>
      </c>
      <c r="N264" s="24">
        <f>Таблица1[[#This Row],[цена за шт в рублях]]/Таблица1[[#This Row],[средняя стоимость в категории по поставщику.]]-1</f>
        <v>-0.86414947450369795</v>
      </c>
      <c r="O264" s="26">
        <f>VLOOKUP(Таблица1[[#This Row],[id клиента]],клиенты!$A$2:$E$435,5,0)</f>
        <v>44649</v>
      </c>
      <c r="P264">
        <f>Таблица1[[#This Row],[дата создания чека]]-Таблица1[[#This Row],[Дата регистрации клента]]</f>
        <v>396</v>
      </c>
      <c r="Q264" s="26">
        <f t="shared" ca="1" si="9"/>
        <v>46059</v>
      </c>
      <c r="R264" s="51">
        <f ca="1">(TODAY()-Таблица1[[#This Row],[Дата регистрации клента]])/30</f>
        <v>47</v>
      </c>
      <c r="S264" s="63" t="str">
        <f>VLOOKUP(Таблица1[[#This Row],[id клиента]],Таблица8[[id клиента]:[Страна]],7,0)</f>
        <v>Узбекистан</v>
      </c>
      <c r="T264" s="26"/>
    </row>
    <row r="265" spans="1:20" ht="19.5" x14ac:dyDescent="0.4">
      <c r="A265" s="37">
        <v>548</v>
      </c>
      <c r="B265" s="31">
        <v>334</v>
      </c>
      <c r="C265" s="31">
        <v>459</v>
      </c>
      <c r="D265" s="31">
        <v>5</v>
      </c>
      <c r="E265" s="31">
        <v>2295</v>
      </c>
      <c r="F265" s="57">
        <v>45146</v>
      </c>
      <c r="G265" s="31" t="s">
        <v>8</v>
      </c>
      <c r="H265" s="55">
        <v>167</v>
      </c>
      <c r="I265" s="31" t="str">
        <f>VLOOKUP(продажи!$B549,товар!$A$1:$C$433,2)</f>
        <v>Молоко</v>
      </c>
      <c r="J265" s="31" t="str">
        <f>VLOOKUP(B265,товар!$A$1:$C$433,3)</f>
        <v>Домик в деревне</v>
      </c>
      <c r="K265" s="39">
        <f>AVERAGEIF(продажи!$I$2:$I$1001,продажи!$I$2:$I$1001,продажи!$C$2:$C$1001)</f>
        <v>294.95238095238096</v>
      </c>
      <c r="L265" s="40">
        <f>продажи!$C549/продажи!$K549-1</f>
        <v>0.65789473684210531</v>
      </c>
      <c r="M265" s="53">
        <f t="shared" si="8"/>
        <v>4946</v>
      </c>
      <c r="N265" s="24">
        <f>Таблица1[[#This Row],[цена за шт в рублях]]/Таблица1[[#This Row],[средняя стоимость в категории по поставщику.]]-1</f>
        <v>-0.90719773554387384</v>
      </c>
      <c r="O265" s="26">
        <f>VLOOKUP(Таблица1[[#This Row],[id клиента]],клиенты!$A$2:$E$435,5,0)</f>
        <v>44563</v>
      </c>
      <c r="P265">
        <f>Таблица1[[#This Row],[дата создания чека]]-Таблица1[[#This Row],[Дата регистрации клента]]</f>
        <v>583</v>
      </c>
      <c r="Q265" s="26">
        <f t="shared" ca="1" si="9"/>
        <v>46059</v>
      </c>
      <c r="R265" s="51">
        <f ca="1">(TODAY()-Таблица1[[#This Row],[Дата регистрации клента]])/30</f>
        <v>49.866666666666667</v>
      </c>
      <c r="S265" s="63" t="str">
        <f>VLOOKUP(Таблица1[[#This Row],[id клиента]],Таблица8[[id клиента]:[Страна]],7,0)</f>
        <v>Узбекистан</v>
      </c>
      <c r="T265" s="26"/>
    </row>
    <row r="266" spans="1:20" ht="19.5" x14ac:dyDescent="0.4">
      <c r="A266" s="41">
        <v>265</v>
      </c>
      <c r="B266" s="42">
        <v>497</v>
      </c>
      <c r="C266" s="42">
        <v>387</v>
      </c>
      <c r="D266" s="42">
        <v>2</v>
      </c>
      <c r="E266" s="42">
        <v>774</v>
      </c>
      <c r="F266" s="43">
        <v>44945</v>
      </c>
      <c r="G266" s="42" t="s">
        <v>15</v>
      </c>
      <c r="H266" s="42">
        <v>456</v>
      </c>
      <c r="I266" s="42" t="str">
        <f>VLOOKUP(продажи!$B266,товар!$A$1:$C$433,2)</f>
        <v>Конфеты</v>
      </c>
      <c r="J266" s="42" t="str">
        <f>VLOOKUP(B266,товар!$A$1:$C$433,3)</f>
        <v>Бабаевский</v>
      </c>
      <c r="K266" s="44">
        <f>AVERAGEIF(продажи!$I$2:$I$1001,продажи!$I$2:$I$1001,продажи!$C$2:$C$1001)</f>
        <v>267.85483870967744</v>
      </c>
      <c r="L266" s="45">
        <f>продажи!$C266/продажи!$K266-1</f>
        <v>0.44481242849400848</v>
      </c>
      <c r="M266" s="33">
        <f t="shared" si="8"/>
        <v>6757</v>
      </c>
      <c r="N266" s="24">
        <f>Таблица1[[#This Row],[цена за шт в рублях]]/Таблица1[[#This Row],[средняя стоимость в категории по поставщику.]]-1</f>
        <v>-0.94272606186177299</v>
      </c>
      <c r="O266" s="26">
        <f>VLOOKUP(Таблица1[[#This Row],[id клиента]],клиенты!$A$2:$E$435,5,0)</f>
        <v>44618</v>
      </c>
      <c r="P266">
        <f>Таблица1[[#This Row],[дата создания чека]]-Таблица1[[#This Row],[Дата регистрации клента]]</f>
        <v>327</v>
      </c>
      <c r="Q266" s="26">
        <f t="shared" ca="1" si="9"/>
        <v>46059</v>
      </c>
      <c r="R266" s="51">
        <f ca="1">(TODAY()-Таблица1[[#This Row],[Дата регистрации клента]])/30</f>
        <v>48.033333333333331</v>
      </c>
      <c r="S266" s="63" t="str">
        <f>VLOOKUP(Таблица1[[#This Row],[id клиента]],Таблица8[[id клиента]:[Страна]],7,0)</f>
        <v>Россия</v>
      </c>
      <c r="T266" s="26"/>
    </row>
    <row r="267" spans="1:20" ht="19.5" x14ac:dyDescent="0.4">
      <c r="A267" s="37">
        <v>266</v>
      </c>
      <c r="B267" s="31">
        <v>217</v>
      </c>
      <c r="C267" s="31">
        <v>412</v>
      </c>
      <c r="D267" s="31">
        <v>2</v>
      </c>
      <c r="E267" s="31">
        <v>824</v>
      </c>
      <c r="F267" s="38">
        <v>45174</v>
      </c>
      <c r="G267" s="31" t="s">
        <v>19</v>
      </c>
      <c r="H267" s="31">
        <v>110</v>
      </c>
      <c r="I267" s="31" t="str">
        <f>VLOOKUP(продажи!$B267,товар!$A$1:$C$433,2)</f>
        <v>Мясо</v>
      </c>
      <c r="J267" s="31" t="str">
        <f>VLOOKUP(B267,товар!$A$1:$C$433,3)</f>
        <v>Агрокомплекс</v>
      </c>
      <c r="K267" s="39">
        <f>AVERAGEIF(продажи!$I$2:$I$1001,продажи!$I$2:$I$1001,продажи!$C$2:$C$1001)</f>
        <v>271.74545454545455</v>
      </c>
      <c r="L267" s="40">
        <f>продажи!$C267/продажи!$K267-1</f>
        <v>0.51612471564298135</v>
      </c>
      <c r="M267" s="33">
        <f t="shared" si="8"/>
        <v>3112</v>
      </c>
      <c r="N267" s="24">
        <f>Таблица1[[#This Row],[цена за шт в рублях]]/Таблица1[[#This Row],[средняя стоимость в категории по поставщику.]]-1</f>
        <v>-0.86760925449871462</v>
      </c>
      <c r="O267" s="26">
        <f>VLOOKUP(Таблица1[[#This Row],[id клиента]],клиенты!$A$2:$E$435,5,0)</f>
        <v>44580</v>
      </c>
      <c r="P267">
        <f>Таблица1[[#This Row],[дата создания чека]]-Таблица1[[#This Row],[Дата регистрации клента]]</f>
        <v>594</v>
      </c>
      <c r="Q267" s="26">
        <f t="shared" ca="1" si="9"/>
        <v>46059</v>
      </c>
      <c r="R267" s="51">
        <f ca="1">(TODAY()-Таблица1[[#This Row],[Дата регистрации клента]])/30</f>
        <v>49.3</v>
      </c>
      <c r="S267" s="63" t="str">
        <f>VLOOKUP(Таблица1[[#This Row],[id клиента]],Таблица8[[id клиента]:[Страна]],7,0)</f>
        <v>Узбекистан</v>
      </c>
      <c r="T267" s="26"/>
    </row>
    <row r="268" spans="1:20" ht="19.5" x14ac:dyDescent="0.4">
      <c r="A268" s="41">
        <v>267</v>
      </c>
      <c r="B268" s="42">
        <v>351</v>
      </c>
      <c r="C268" s="42">
        <v>155</v>
      </c>
      <c r="D268" s="42">
        <v>5</v>
      </c>
      <c r="E268" s="42">
        <v>775</v>
      </c>
      <c r="F268" s="43">
        <v>45189</v>
      </c>
      <c r="G268" s="42" t="s">
        <v>17</v>
      </c>
      <c r="H268" s="42">
        <v>216</v>
      </c>
      <c r="I268" s="42" t="str">
        <f>VLOOKUP(продажи!$B268,товар!$A$1:$C$433,2)</f>
        <v>Чипсы</v>
      </c>
      <c r="J268" s="42" t="str">
        <f>VLOOKUP(B268,товар!$A$1:$C$433,3)</f>
        <v>Русская картошка</v>
      </c>
      <c r="K268" s="44">
        <f>AVERAGEIF(продажи!$I$2:$I$1001,продажи!$I$2:$I$1001,продажи!$C$2:$C$1001)</f>
        <v>273.72549019607845</v>
      </c>
      <c r="L268" s="45">
        <f>продажи!$C268/продажи!$K268-1</f>
        <v>-0.43373925501432664</v>
      </c>
      <c r="M268" s="33">
        <f t="shared" si="8"/>
        <v>2902</v>
      </c>
      <c r="N268" s="24">
        <f>Таблица1[[#This Row],[цена за шт в рублях]]/Таблица1[[#This Row],[средняя стоимость в категории по поставщику.]]-1</f>
        <v>-0.9465885596140593</v>
      </c>
      <c r="O268" s="26">
        <f>VLOOKUP(Таблица1[[#This Row],[id клиента]],клиенты!$A$2:$E$435,5,0)</f>
        <v>44655</v>
      </c>
      <c r="P268">
        <f>Таблица1[[#This Row],[дата создания чека]]-Таблица1[[#This Row],[Дата регистрации клента]]</f>
        <v>534</v>
      </c>
      <c r="Q268" s="26">
        <f t="shared" ca="1" si="9"/>
        <v>46059</v>
      </c>
      <c r="R268" s="51">
        <f ca="1">(TODAY()-Таблица1[[#This Row],[Дата регистрации клента]])/30</f>
        <v>46.8</v>
      </c>
      <c r="S268" s="63" t="str">
        <f>VLOOKUP(Таблица1[[#This Row],[id клиента]],Таблица8[[id клиента]:[Страна]],7,0)</f>
        <v>Таджикистан</v>
      </c>
      <c r="T268" s="26"/>
    </row>
    <row r="269" spans="1:20" ht="19.5" x14ac:dyDescent="0.4">
      <c r="A269" s="37">
        <v>268</v>
      </c>
      <c r="B269" s="31">
        <v>494</v>
      </c>
      <c r="C269" s="31">
        <v>214</v>
      </c>
      <c r="D269" s="31">
        <v>1</v>
      </c>
      <c r="E269" s="31">
        <v>214</v>
      </c>
      <c r="F269" s="38">
        <v>45029</v>
      </c>
      <c r="G269" s="31" t="s">
        <v>14</v>
      </c>
      <c r="H269" s="31">
        <v>424</v>
      </c>
      <c r="I269" s="31" t="str">
        <f>VLOOKUP(продажи!$B269,товар!$A$1:$C$433,2)</f>
        <v>Сыр</v>
      </c>
      <c r="J269" s="31" t="str">
        <f>VLOOKUP(B269,товар!$A$1:$C$433,3)</f>
        <v>Сырная долина</v>
      </c>
      <c r="K269" s="39">
        <f>AVERAGEIF(продажи!$I$2:$I$1001,продажи!$I$2:$I$1001,продажи!$C$2:$C$1001)</f>
        <v>261.03225806451616</v>
      </c>
      <c r="L269" s="40">
        <f>продажи!$C269/продажи!$K269-1</f>
        <v>-0.18017795353435495</v>
      </c>
      <c r="M269" s="33">
        <f t="shared" si="8"/>
        <v>8943</v>
      </c>
      <c r="N269" s="24">
        <f>Таблица1[[#This Row],[цена за шт в рублях]]/Таблица1[[#This Row],[средняя стоимость в категории по поставщику.]]-1</f>
        <v>-0.97607066979760704</v>
      </c>
      <c r="O269" s="26">
        <f>VLOOKUP(Таблица1[[#This Row],[id клиента]],клиенты!$A$2:$E$435,5,0)</f>
        <v>44585</v>
      </c>
      <c r="P269">
        <f>Таблица1[[#This Row],[дата создания чека]]-Таблица1[[#This Row],[Дата регистрации клента]]</f>
        <v>444</v>
      </c>
      <c r="Q269" s="26">
        <f t="shared" ca="1" si="9"/>
        <v>46059</v>
      </c>
      <c r="R269" s="51">
        <f ca="1">(TODAY()-Таблица1[[#This Row],[Дата регистрации клента]])/30</f>
        <v>49.133333333333333</v>
      </c>
      <c r="S269" s="63" t="str">
        <f>VLOOKUP(Таблица1[[#This Row],[id клиента]],Таблица8[[id клиента]:[Страна]],7,0)</f>
        <v>Россия</v>
      </c>
      <c r="T269" s="26"/>
    </row>
    <row r="270" spans="1:20" ht="19.5" x14ac:dyDescent="0.4">
      <c r="A270" s="41">
        <v>269</v>
      </c>
      <c r="B270" s="42">
        <v>464</v>
      </c>
      <c r="C270" s="42">
        <v>290</v>
      </c>
      <c r="D270" s="42">
        <v>3</v>
      </c>
      <c r="E270" s="42">
        <v>870</v>
      </c>
      <c r="F270" s="43">
        <v>45185</v>
      </c>
      <c r="G270" s="42" t="s">
        <v>22</v>
      </c>
      <c r="H270" s="42">
        <v>77</v>
      </c>
      <c r="I270" s="42" t="str">
        <f>VLOOKUP(продажи!$B270,товар!$A$1:$C$433,2)</f>
        <v>Сыр</v>
      </c>
      <c r="J270" s="42" t="str">
        <f>VLOOKUP(B270,товар!$A$1:$C$433,3)</f>
        <v>Сырная долина</v>
      </c>
      <c r="K270" s="44">
        <f>AVERAGEIF(продажи!$I$2:$I$1001,продажи!$I$2:$I$1001,продажи!$C$2:$C$1001)</f>
        <v>261.03225806451616</v>
      </c>
      <c r="L270" s="45">
        <f>продажи!$C270/продажи!$K270-1</f>
        <v>0.11097380128521994</v>
      </c>
      <c r="M270" s="33">
        <f t="shared" si="8"/>
        <v>8943</v>
      </c>
      <c r="N270" s="24">
        <f>Таблица1[[#This Row],[цена за шт в рублях]]/Таблица1[[#This Row],[средняя стоимость в категории по поставщику.]]-1</f>
        <v>-0.96757240299675729</v>
      </c>
      <c r="O270" s="26">
        <f>VLOOKUP(Таблица1[[#This Row],[id клиента]],клиенты!$A$2:$E$435,5,0)</f>
        <v>44644</v>
      </c>
      <c r="P270">
        <f>Таблица1[[#This Row],[дата создания чека]]-Таблица1[[#This Row],[Дата регистрации клента]]</f>
        <v>541</v>
      </c>
      <c r="Q270" s="26">
        <f t="shared" ca="1" si="9"/>
        <v>46059</v>
      </c>
      <c r="R270" s="51">
        <f ca="1">(TODAY()-Таблица1[[#This Row],[Дата регистрации клента]])/30</f>
        <v>47.166666666666664</v>
      </c>
      <c r="S270" s="63" t="str">
        <f>VLOOKUP(Таблица1[[#This Row],[id клиента]],Таблица8[[id клиента]:[Страна]],7,0)</f>
        <v>Россия</v>
      </c>
      <c r="T270" s="26"/>
    </row>
    <row r="271" spans="1:20" ht="19.5" x14ac:dyDescent="0.4">
      <c r="A271" s="37">
        <v>270</v>
      </c>
      <c r="B271" s="31">
        <v>462</v>
      </c>
      <c r="C271" s="31">
        <v>271</v>
      </c>
      <c r="D271" s="31">
        <v>2</v>
      </c>
      <c r="E271" s="31">
        <v>542</v>
      </c>
      <c r="F271" s="38">
        <v>44976</v>
      </c>
      <c r="G271" s="31" t="s">
        <v>8</v>
      </c>
      <c r="H271" s="31">
        <v>192</v>
      </c>
      <c r="I271" s="31" t="str">
        <f>VLOOKUP(продажи!$B271,товар!$A$1:$C$433,2)</f>
        <v>Рис</v>
      </c>
      <c r="J271" s="31" t="str">
        <f>VLOOKUP(B271,товар!$A$1:$C$433,3)</f>
        <v>Белый Злат</v>
      </c>
      <c r="K271" s="39">
        <f>AVERAGEIF(продажи!$I$2:$I$1001,продажи!$I$2:$I$1001,продажи!$C$2:$C$1001)</f>
        <v>258.375</v>
      </c>
      <c r="L271" s="40">
        <f>продажи!$C271/продажи!$K271-1</f>
        <v>4.8863086598935679E-2</v>
      </c>
      <c r="M271" s="33">
        <f t="shared" si="8"/>
        <v>4585</v>
      </c>
      <c r="N271" s="24">
        <f>Таблица1[[#This Row],[цена за шт в рублях]]/Таблица1[[#This Row],[средняя стоимость в категории по поставщику.]]-1</f>
        <v>-0.94089422028353331</v>
      </c>
      <c r="O271" s="26">
        <f>VLOOKUP(Таблица1[[#This Row],[id клиента]],клиенты!$A$2:$E$435,5,0)</f>
        <v>44572</v>
      </c>
      <c r="P271">
        <f>Таблица1[[#This Row],[дата создания чека]]-Таблица1[[#This Row],[Дата регистрации клента]]</f>
        <v>404</v>
      </c>
      <c r="Q271" s="26">
        <f t="shared" ca="1" si="9"/>
        <v>46059</v>
      </c>
      <c r="R271" s="51">
        <f ca="1">(TODAY()-Таблица1[[#This Row],[Дата регистрации клента]])/30</f>
        <v>49.56666666666667</v>
      </c>
      <c r="S271" s="63" t="str">
        <f>VLOOKUP(Таблица1[[#This Row],[id клиента]],Таблица8[[id клиента]:[Страна]],7,0)</f>
        <v>Россия</v>
      </c>
      <c r="T271" s="26"/>
    </row>
    <row r="272" spans="1:20" ht="19.5" x14ac:dyDescent="0.4">
      <c r="A272" s="41">
        <v>271</v>
      </c>
      <c r="B272" s="42">
        <v>102</v>
      </c>
      <c r="C272" s="42">
        <v>326</v>
      </c>
      <c r="D272" s="42">
        <v>2</v>
      </c>
      <c r="E272" s="42">
        <v>652</v>
      </c>
      <c r="F272" s="43">
        <v>45142</v>
      </c>
      <c r="G272" s="42" t="s">
        <v>24</v>
      </c>
      <c r="H272" s="42">
        <v>130</v>
      </c>
      <c r="I272" s="42" t="str">
        <f>VLOOKUP(продажи!$B272,товар!$A$1:$C$433,2)</f>
        <v>Печенье</v>
      </c>
      <c r="J272" s="42" t="str">
        <f>VLOOKUP(B272,товар!$A$1:$C$433,3)</f>
        <v>Белогорье</v>
      </c>
      <c r="K272" s="44">
        <f>AVERAGEIF(продажи!$I$2:$I$1001,продажи!$I$2:$I$1001,продажи!$C$2:$C$1001)</f>
        <v>283.468085106383</v>
      </c>
      <c r="L272" s="45">
        <f>продажи!$C272/продажи!$K272-1</f>
        <v>0.15004128199354483</v>
      </c>
      <c r="M272" s="33">
        <f t="shared" si="8"/>
        <v>3493</v>
      </c>
      <c r="N272" s="24">
        <f>Таблица1[[#This Row],[цена за шт в рублях]]/Таблица1[[#This Row],[средняя стоимость в категории по поставщику.]]-1</f>
        <v>-0.90667048382479243</v>
      </c>
      <c r="O272" s="26">
        <f>VLOOKUP(Таблица1[[#This Row],[id клиента]],клиенты!$A$2:$E$435,5,0)</f>
        <v>44863</v>
      </c>
      <c r="P272">
        <f>Таблица1[[#This Row],[дата создания чека]]-Таблица1[[#This Row],[Дата регистрации клента]]</f>
        <v>279</v>
      </c>
      <c r="Q272" s="26">
        <f t="shared" ca="1" si="9"/>
        <v>46059</v>
      </c>
      <c r="R272" s="51">
        <f ca="1">(TODAY()-Таблица1[[#This Row],[Дата регистрации клента]])/30</f>
        <v>39.866666666666667</v>
      </c>
      <c r="S272" s="63" t="str">
        <f>VLOOKUP(Таблица1[[#This Row],[id клиента]],Таблица8[[id клиента]:[Страна]],7,0)</f>
        <v>Таджикистан</v>
      </c>
      <c r="T272" s="26"/>
    </row>
    <row r="273" spans="1:20" ht="19.5" x14ac:dyDescent="0.4">
      <c r="A273" s="37">
        <v>272</v>
      </c>
      <c r="B273" s="31">
        <v>345</v>
      </c>
      <c r="C273" s="31">
        <v>420</v>
      </c>
      <c r="D273" s="31">
        <v>2</v>
      </c>
      <c r="E273" s="31">
        <v>840</v>
      </c>
      <c r="F273" s="38">
        <v>45037</v>
      </c>
      <c r="G273" s="31" t="s">
        <v>19</v>
      </c>
      <c r="H273" s="31">
        <v>308</v>
      </c>
      <c r="I273" s="31" t="str">
        <f>VLOOKUP(продажи!$B273,товар!$A$1:$C$433,2)</f>
        <v>Конфеты</v>
      </c>
      <c r="J273" s="31" t="str">
        <f>VLOOKUP(B273,товар!$A$1:$C$433,3)</f>
        <v>Рот Фронт</v>
      </c>
      <c r="K273" s="39">
        <f>AVERAGEIF(продажи!$I$2:$I$1001,продажи!$I$2:$I$1001,продажи!$C$2:$C$1001)</f>
        <v>267.85483870967744</v>
      </c>
      <c r="L273" s="40">
        <f>продажи!$C273/продажи!$K273-1</f>
        <v>0.56801348828807119</v>
      </c>
      <c r="M273" s="33">
        <f t="shared" si="8"/>
        <v>6053</v>
      </c>
      <c r="N273" s="24">
        <f>Таблица1[[#This Row],[цена за шт в рублях]]/Таблица1[[#This Row],[средняя стоимость в категории по поставщику.]]-1</f>
        <v>-0.93061291921361311</v>
      </c>
      <c r="O273" s="26">
        <f>VLOOKUP(Таблица1[[#This Row],[id клиента]],клиенты!$A$2:$E$435,5,0)</f>
        <v>44562</v>
      </c>
      <c r="P273">
        <f>Таблица1[[#This Row],[дата создания чека]]-Таблица1[[#This Row],[Дата регистрации клента]]</f>
        <v>475</v>
      </c>
      <c r="Q273" s="26">
        <f t="shared" ca="1" si="9"/>
        <v>46059</v>
      </c>
      <c r="R273" s="51">
        <f ca="1">(TODAY()-Таблица1[[#This Row],[Дата регистрации клента]])/30</f>
        <v>49.9</v>
      </c>
      <c r="S273" s="63" t="str">
        <f>VLOOKUP(Таблица1[[#This Row],[id клиента]],Таблица8[[id клиента]:[Страна]],7,0)</f>
        <v>Беларусь</v>
      </c>
      <c r="T273" s="26"/>
    </row>
    <row r="274" spans="1:20" ht="19.5" x14ac:dyDescent="0.4">
      <c r="A274" s="41">
        <v>273</v>
      </c>
      <c r="B274" s="42">
        <v>445</v>
      </c>
      <c r="C274" s="42">
        <v>71</v>
      </c>
      <c r="D274" s="42">
        <v>4</v>
      </c>
      <c r="E274" s="42">
        <v>284</v>
      </c>
      <c r="F274" s="43">
        <v>45250</v>
      </c>
      <c r="G274" s="42" t="s">
        <v>25</v>
      </c>
      <c r="H274" s="42">
        <v>455</v>
      </c>
      <c r="I274" s="42" t="str">
        <f>VLOOKUP(продажи!$B274,товар!$A$1:$C$433,2)</f>
        <v>Сахар</v>
      </c>
      <c r="J274" s="42" t="str">
        <f>VLOOKUP(B274,товар!$A$1:$C$433,3)</f>
        <v>Сладов</v>
      </c>
      <c r="K274" s="44">
        <f>AVERAGEIF(продажи!$I$2:$I$1001,продажи!$I$2:$I$1001,продажи!$C$2:$C$1001)</f>
        <v>254.58333333333334</v>
      </c>
      <c r="L274" s="45">
        <f>продажи!$C274/продажи!$K274-1</f>
        <v>-0.72111292962356788</v>
      </c>
      <c r="M274" s="33">
        <f t="shared" si="8"/>
        <v>3604</v>
      </c>
      <c r="N274" s="24">
        <f>Таблица1[[#This Row],[цена за шт в рублях]]/Таблица1[[#This Row],[средняя стоимость в категории по поставщику.]]-1</f>
        <v>-0.98029966703662597</v>
      </c>
      <c r="O274" s="26">
        <f>VLOOKUP(Таблица1[[#This Row],[id клиента]],клиенты!$A$2:$E$435,5,0)</f>
        <v>44820</v>
      </c>
      <c r="P274">
        <f>Таблица1[[#This Row],[дата создания чека]]-Таблица1[[#This Row],[Дата регистрации клента]]</f>
        <v>430</v>
      </c>
      <c r="Q274" s="26">
        <f t="shared" ca="1" si="9"/>
        <v>46059</v>
      </c>
      <c r="R274" s="51">
        <f ca="1">(TODAY()-Таблица1[[#This Row],[Дата регистрации клента]])/30</f>
        <v>41.3</v>
      </c>
      <c r="S274" s="63" t="str">
        <f>VLOOKUP(Таблица1[[#This Row],[id клиента]],Таблица8[[id клиента]:[Страна]],7,0)</f>
        <v>Украина</v>
      </c>
      <c r="T274" s="26"/>
    </row>
    <row r="275" spans="1:20" ht="19.5" x14ac:dyDescent="0.4">
      <c r="A275" s="37">
        <v>274</v>
      </c>
      <c r="B275" s="31">
        <v>241</v>
      </c>
      <c r="C275" s="31">
        <v>400</v>
      </c>
      <c r="D275" s="31">
        <v>3</v>
      </c>
      <c r="E275" s="31">
        <v>1200</v>
      </c>
      <c r="F275" s="38">
        <v>45371</v>
      </c>
      <c r="G275" s="31" t="s">
        <v>25</v>
      </c>
      <c r="H275" s="31">
        <v>490</v>
      </c>
      <c r="I275" s="31" t="str">
        <f>VLOOKUP(продажи!$B275,товар!$A$1:$C$433,2)</f>
        <v>Колбаса</v>
      </c>
      <c r="J275" s="31" t="str">
        <f>VLOOKUP(B275,товар!$A$1:$C$433,3)</f>
        <v>Окраина</v>
      </c>
      <c r="K275" s="39">
        <f>AVERAGEIF(продажи!$I$2:$I$1001,продажи!$I$2:$I$1001,продажи!$C$2:$C$1001)</f>
        <v>286.92307692307691</v>
      </c>
      <c r="L275" s="40">
        <f>продажи!$C275/продажи!$K275-1</f>
        <v>0.39410187667560326</v>
      </c>
      <c r="M275" s="33">
        <f t="shared" si="8"/>
        <v>3283</v>
      </c>
      <c r="N275" s="24">
        <f>Таблица1[[#This Row],[цена за шт в рублях]]/Таблица1[[#This Row],[средняя стоимость в категории по поставщику.]]-1</f>
        <v>-0.87816021931160526</v>
      </c>
      <c r="O275" s="26">
        <f>VLOOKUP(Таблица1[[#This Row],[id клиента]],клиенты!$A$2:$E$435,5,0)</f>
        <v>44603</v>
      </c>
      <c r="P275">
        <f>Таблица1[[#This Row],[дата создания чека]]-Таблица1[[#This Row],[Дата регистрации клента]]</f>
        <v>768</v>
      </c>
      <c r="Q275" s="26">
        <f t="shared" ca="1" si="9"/>
        <v>46059</v>
      </c>
      <c r="R275" s="51">
        <f ca="1">(TODAY()-Таблица1[[#This Row],[Дата регистрации клента]])/30</f>
        <v>48.533333333333331</v>
      </c>
      <c r="S275" s="63" t="str">
        <f>VLOOKUP(Таблица1[[#This Row],[id клиента]],Таблица8[[id клиента]:[Страна]],7,0)</f>
        <v>Россия</v>
      </c>
      <c r="T275" s="26"/>
    </row>
    <row r="276" spans="1:20" ht="19.5" x14ac:dyDescent="0.4">
      <c r="A276" s="41">
        <v>275</v>
      </c>
      <c r="B276" s="42">
        <v>258</v>
      </c>
      <c r="C276" s="42">
        <v>109</v>
      </c>
      <c r="D276" s="42">
        <v>2</v>
      </c>
      <c r="E276" s="42">
        <v>218</v>
      </c>
      <c r="F276" s="43">
        <v>45416</v>
      </c>
      <c r="G276" s="42" t="s">
        <v>10</v>
      </c>
      <c r="H276" s="42">
        <v>480</v>
      </c>
      <c r="I276" s="42" t="str">
        <f>VLOOKUP(продажи!$B276,товар!$A$1:$C$433,2)</f>
        <v>Рыба</v>
      </c>
      <c r="J276" s="42" t="str">
        <f>VLOOKUP(B276,товар!$A$1:$C$433,3)</f>
        <v>Санта Бремор</v>
      </c>
      <c r="K276" s="44">
        <f>AVERAGEIF(продажи!$I$2:$I$1001,продажи!$I$2:$I$1001,продажи!$C$2:$C$1001)</f>
        <v>258.5128205128205</v>
      </c>
      <c r="L276" s="45">
        <f>продажи!$C276/продажи!$K276-1</f>
        <v>-0.5783574687561992</v>
      </c>
      <c r="M276" s="33">
        <f t="shared" si="8"/>
        <v>2164</v>
      </c>
      <c r="N276" s="24">
        <f>Таблица1[[#This Row],[цена за шт в рублях]]/Таблица1[[#This Row],[средняя стоимость в категории по поставщику.]]-1</f>
        <v>-0.94963031423290201</v>
      </c>
      <c r="O276" s="26">
        <f>VLOOKUP(Таблица1[[#This Row],[id клиента]],клиенты!$A$2:$E$435,5,0)</f>
        <v>44568</v>
      </c>
      <c r="P276">
        <f>Таблица1[[#This Row],[дата создания чека]]-Таблица1[[#This Row],[Дата регистрации клента]]</f>
        <v>848</v>
      </c>
      <c r="Q276" s="26">
        <f t="shared" ca="1" si="9"/>
        <v>46059</v>
      </c>
      <c r="R276" s="51">
        <f ca="1">(TODAY()-Таблица1[[#This Row],[Дата регистрации клента]])/30</f>
        <v>49.7</v>
      </c>
      <c r="S276" s="63" t="str">
        <f>VLOOKUP(Таблица1[[#This Row],[id клиента]],Таблица8[[id клиента]:[Страна]],7,0)</f>
        <v>Узбекистан</v>
      </c>
      <c r="T276" s="26"/>
    </row>
    <row r="277" spans="1:20" ht="19.5" x14ac:dyDescent="0.4">
      <c r="A277" s="37">
        <v>276</v>
      </c>
      <c r="B277" s="31">
        <v>376</v>
      </c>
      <c r="C277" s="31">
        <v>217</v>
      </c>
      <c r="D277" s="31">
        <v>1</v>
      </c>
      <c r="E277" s="31">
        <v>217</v>
      </c>
      <c r="F277" s="38">
        <v>45199</v>
      </c>
      <c r="G277" s="31" t="s">
        <v>12</v>
      </c>
      <c r="H277" s="31">
        <v>321</v>
      </c>
      <c r="I277" s="31" t="str">
        <f>VLOOKUP(продажи!$B277,товар!$A$1:$C$433,2)</f>
        <v>Конфеты</v>
      </c>
      <c r="J277" s="31" t="str">
        <f>VLOOKUP(B277,товар!$A$1:$C$433,3)</f>
        <v>Красный Октябрь</v>
      </c>
      <c r="K277" s="39">
        <f>AVERAGEIF(продажи!$I$2:$I$1001,продажи!$I$2:$I$1001,продажи!$C$2:$C$1001)</f>
        <v>267.85483870967744</v>
      </c>
      <c r="L277" s="40">
        <f>продажи!$C277/продажи!$K277-1</f>
        <v>-0.18985969771782985</v>
      </c>
      <c r="M277" s="33">
        <f t="shared" si="8"/>
        <v>2189</v>
      </c>
      <c r="N277" s="24">
        <f>Таблица1[[#This Row],[цена за шт в рублях]]/Таблица1[[#This Row],[средняя стоимость в категории по поставщику.]]-1</f>
        <v>-0.9008679762448607</v>
      </c>
      <c r="O277" s="26">
        <f>VLOOKUP(Таблица1[[#This Row],[id клиента]],клиенты!$A$2:$E$435,5,0)</f>
        <v>44756</v>
      </c>
      <c r="P277">
        <f>Таблица1[[#This Row],[дата создания чека]]-Таблица1[[#This Row],[Дата регистрации клента]]</f>
        <v>443</v>
      </c>
      <c r="Q277" s="26">
        <f t="shared" ca="1" si="9"/>
        <v>46059</v>
      </c>
      <c r="R277" s="51">
        <f ca="1">(TODAY()-Таблица1[[#This Row],[Дата регистрации клента]])/30</f>
        <v>43.43333333333333</v>
      </c>
      <c r="S277" s="63" t="str">
        <f>VLOOKUP(Таблица1[[#This Row],[id клиента]],Таблица8[[id клиента]:[Страна]],7,0)</f>
        <v>Таджикистан</v>
      </c>
      <c r="T277" s="26"/>
    </row>
    <row r="278" spans="1:20" ht="19.5" x14ac:dyDescent="0.4">
      <c r="A278" s="41">
        <v>277</v>
      </c>
      <c r="B278" s="42">
        <v>7</v>
      </c>
      <c r="C278" s="42">
        <v>104</v>
      </c>
      <c r="D278" s="42">
        <v>1</v>
      </c>
      <c r="E278" s="42">
        <v>104</v>
      </c>
      <c r="F278" s="43">
        <v>44989</v>
      </c>
      <c r="G278" s="42" t="s">
        <v>15</v>
      </c>
      <c r="H278" s="42">
        <v>496</v>
      </c>
      <c r="I278" s="42" t="str">
        <f>VLOOKUP(продажи!$B278,товар!$A$1:$C$433,2)</f>
        <v>Сыр</v>
      </c>
      <c r="J278" s="42" t="str">
        <f>VLOOKUP(B278,товар!$A$1:$C$433,3)</f>
        <v>President</v>
      </c>
      <c r="K278" s="44">
        <f>AVERAGEIF(продажи!$I$2:$I$1001,продажи!$I$2:$I$1001,продажи!$C$2:$C$1001)</f>
        <v>261.03225806451616</v>
      </c>
      <c r="L278" s="45">
        <f>продажи!$C278/продажи!$K278-1</f>
        <v>-0.60158180919426596</v>
      </c>
      <c r="M278" s="33">
        <f t="shared" si="8"/>
        <v>3935</v>
      </c>
      <c r="N278" s="24">
        <f>Таблица1[[#This Row],[цена за шт в рублях]]/Таблица1[[#This Row],[средняя стоимость в категории по поставщику.]]-1</f>
        <v>-0.97357052096569252</v>
      </c>
      <c r="O278" s="26">
        <f>VLOOKUP(Таблица1[[#This Row],[id клиента]],клиенты!$A$2:$E$435,5,0)</f>
        <v>44867</v>
      </c>
      <c r="P278">
        <f>Таблица1[[#This Row],[дата создания чека]]-Таблица1[[#This Row],[Дата регистрации клента]]</f>
        <v>122</v>
      </c>
      <c r="Q278" s="26">
        <f t="shared" ca="1" si="9"/>
        <v>46059</v>
      </c>
      <c r="R278" s="51">
        <f ca="1">(TODAY()-Таблица1[[#This Row],[Дата регистрации клента]])/30</f>
        <v>39.733333333333334</v>
      </c>
      <c r="S278" s="63" t="str">
        <f>VLOOKUP(Таблица1[[#This Row],[id клиента]],Таблица8[[id клиента]:[Страна]],7,0)</f>
        <v>Украина</v>
      </c>
      <c r="T278" s="26"/>
    </row>
    <row r="279" spans="1:20" ht="19.5" x14ac:dyDescent="0.4">
      <c r="A279" s="37">
        <v>278</v>
      </c>
      <c r="B279" s="31">
        <v>428</v>
      </c>
      <c r="C279" s="31">
        <v>428</v>
      </c>
      <c r="D279" s="31">
        <v>4</v>
      </c>
      <c r="E279" s="31">
        <v>1712</v>
      </c>
      <c r="F279" s="38">
        <v>45123</v>
      </c>
      <c r="G279" s="31" t="s">
        <v>18</v>
      </c>
      <c r="H279" s="31">
        <v>203</v>
      </c>
      <c r="I279" s="31" t="str">
        <f>VLOOKUP(продажи!$B279,товар!$A$1:$C$433,2)</f>
        <v>Конфеты</v>
      </c>
      <c r="J279" s="31" t="str">
        <f>VLOOKUP(B279,товар!$A$1:$C$433,3)</f>
        <v>Бабаевский</v>
      </c>
      <c r="K279" s="39">
        <f>AVERAGEIF(продажи!$I$2:$I$1001,продажи!$I$2:$I$1001,продажи!$C$2:$C$1001)</f>
        <v>267.85483870967744</v>
      </c>
      <c r="L279" s="40">
        <f>продажи!$C279/продажи!$K279-1</f>
        <v>0.59788041187451069</v>
      </c>
      <c r="M279" s="33">
        <f t="shared" si="8"/>
        <v>6757</v>
      </c>
      <c r="N279" s="24">
        <f>Таблица1[[#This Row],[цена за шт в рублях]]/Таблица1[[#This Row],[средняя стоимость в категории по поставщику.]]-1</f>
        <v>-0.93665828030190912</v>
      </c>
      <c r="O279" s="26">
        <f>VLOOKUP(Таблица1[[#This Row],[id клиента]],клиенты!$A$2:$E$435,5,0)</f>
        <v>44685</v>
      </c>
      <c r="P279">
        <f>Таблица1[[#This Row],[дата создания чека]]-Таблица1[[#This Row],[Дата регистрации клента]]</f>
        <v>438</v>
      </c>
      <c r="Q279" s="26">
        <f t="shared" ca="1" si="9"/>
        <v>46059</v>
      </c>
      <c r="R279" s="51">
        <f ca="1">(TODAY()-Таблица1[[#This Row],[Дата регистрации клента]])/30</f>
        <v>45.8</v>
      </c>
      <c r="S279" s="63" t="str">
        <f>VLOOKUP(Таблица1[[#This Row],[id клиента]],Таблица8[[id клиента]:[Страна]],7,0)</f>
        <v>Россия</v>
      </c>
      <c r="T279" s="26"/>
    </row>
    <row r="280" spans="1:20" ht="19.5" x14ac:dyDescent="0.4">
      <c r="A280" s="41">
        <v>279</v>
      </c>
      <c r="B280" s="42">
        <v>216</v>
      </c>
      <c r="C280" s="42">
        <v>83</v>
      </c>
      <c r="D280" s="42">
        <v>3</v>
      </c>
      <c r="E280" s="42">
        <v>249</v>
      </c>
      <c r="F280" s="43">
        <v>45033</v>
      </c>
      <c r="G280" s="42" t="s">
        <v>17</v>
      </c>
      <c r="H280" s="42">
        <v>457</v>
      </c>
      <c r="I280" s="42" t="str">
        <f>VLOOKUP(продажи!$B280,товар!$A$1:$C$433,2)</f>
        <v>Кофе</v>
      </c>
      <c r="J280" s="42" t="str">
        <f>VLOOKUP(B280,товар!$A$1:$C$433,3)</f>
        <v>Черная Карта</v>
      </c>
      <c r="K280" s="44">
        <f>AVERAGEIF(продажи!$I$2:$I$1001,продажи!$I$2:$I$1001,продажи!$C$2:$C$1001)</f>
        <v>249.02380952380952</v>
      </c>
      <c r="L280" s="45">
        <f>продажи!$C280/продажи!$K280-1</f>
        <v>-0.66669853714504246</v>
      </c>
      <c r="M280" s="33">
        <f t="shared" si="8"/>
        <v>2222</v>
      </c>
      <c r="N280" s="24">
        <f>Таблица1[[#This Row],[цена за шт в рублях]]/Таблица1[[#This Row],[средняя стоимость в категории по поставщику.]]-1</f>
        <v>-0.96264626462646263</v>
      </c>
      <c r="O280" s="26">
        <f>VLOOKUP(Таблица1[[#This Row],[id клиента]],клиенты!$A$2:$E$435,5,0)</f>
        <v>44595</v>
      </c>
      <c r="P280">
        <f>Таблица1[[#This Row],[дата создания чека]]-Таблица1[[#This Row],[Дата регистрации клента]]</f>
        <v>438</v>
      </c>
      <c r="Q280" s="26">
        <f t="shared" ca="1" si="9"/>
        <v>46059</v>
      </c>
      <c r="R280" s="51">
        <f ca="1">(TODAY()-Таблица1[[#This Row],[Дата регистрации клента]])/30</f>
        <v>48.8</v>
      </c>
      <c r="S280" s="63" t="str">
        <f>VLOOKUP(Таблица1[[#This Row],[id клиента]],Таблица8[[id клиента]:[Страна]],7,0)</f>
        <v>Таджикистан</v>
      </c>
      <c r="T280" s="26"/>
    </row>
    <row r="281" spans="1:20" ht="19.5" x14ac:dyDescent="0.4">
      <c r="A281" s="37">
        <v>280</v>
      </c>
      <c r="B281" s="31">
        <v>272</v>
      </c>
      <c r="C281" s="31">
        <v>113</v>
      </c>
      <c r="D281" s="31">
        <v>3</v>
      </c>
      <c r="E281" s="31">
        <v>339</v>
      </c>
      <c r="F281" s="38">
        <v>45019</v>
      </c>
      <c r="G281" s="31" t="s">
        <v>23</v>
      </c>
      <c r="H281" s="31">
        <v>21</v>
      </c>
      <c r="I281" s="31" t="str">
        <f>VLOOKUP(продажи!$B281,товар!$A$1:$C$433,2)</f>
        <v>Крупа</v>
      </c>
      <c r="J281" s="31" t="str">
        <f>VLOOKUP(B281,товар!$A$1:$C$433,3)</f>
        <v>Ярмарка</v>
      </c>
      <c r="K281" s="39">
        <f>AVERAGEIF(продажи!$I$2:$I$1001,продажи!$I$2:$I$1001,продажи!$C$2:$C$1001)</f>
        <v>255.11627906976744</v>
      </c>
      <c r="L281" s="40">
        <f>продажи!$C281/продажи!$K281-1</f>
        <v>-0.55706472196900636</v>
      </c>
      <c r="M281" s="33">
        <f t="shared" si="8"/>
        <v>2773</v>
      </c>
      <c r="N281" s="24">
        <f>Таблица1[[#This Row],[цена за шт в рублях]]/Таблица1[[#This Row],[средняя стоимость в категории по поставщику.]]-1</f>
        <v>-0.9592499098449333</v>
      </c>
      <c r="O281" s="26">
        <f>VLOOKUP(Таблица1[[#This Row],[id клиента]],клиенты!$A$2:$E$435,5,0)</f>
        <v>44881</v>
      </c>
      <c r="P281">
        <f>Таблица1[[#This Row],[дата создания чека]]-Таблица1[[#This Row],[Дата регистрации клента]]</f>
        <v>138</v>
      </c>
      <c r="Q281" s="26">
        <f t="shared" ca="1" si="9"/>
        <v>46059</v>
      </c>
      <c r="R281" s="51">
        <f ca="1">(TODAY()-Таблица1[[#This Row],[Дата регистрации клента]])/30</f>
        <v>39.266666666666666</v>
      </c>
      <c r="S281" s="63" t="str">
        <f>VLOOKUP(Таблица1[[#This Row],[id клиента]],Таблица8[[id клиента]:[Страна]],7,0)</f>
        <v>Беларусь</v>
      </c>
      <c r="T281" s="26"/>
    </row>
    <row r="282" spans="1:20" ht="19.5" x14ac:dyDescent="0.4">
      <c r="A282" s="41">
        <v>281</v>
      </c>
      <c r="B282" s="42">
        <v>236</v>
      </c>
      <c r="C282" s="42">
        <v>221</v>
      </c>
      <c r="D282" s="42">
        <v>4</v>
      </c>
      <c r="E282" s="42">
        <v>884</v>
      </c>
      <c r="F282" s="43">
        <v>45166</v>
      </c>
      <c r="G282" s="42" t="s">
        <v>19</v>
      </c>
      <c r="H282" s="42">
        <v>333</v>
      </c>
      <c r="I282" s="42" t="str">
        <f>VLOOKUP(продажи!$B282,товар!$A$1:$C$433,2)</f>
        <v>Печенье</v>
      </c>
      <c r="J282" s="42" t="str">
        <f>VLOOKUP(B282,товар!$A$1:$C$433,3)</f>
        <v>Посиделкино</v>
      </c>
      <c r="K282" s="44">
        <f>AVERAGEIF(продажи!$I$2:$I$1001,продажи!$I$2:$I$1001,продажи!$C$2:$C$1001)</f>
        <v>283.468085106383</v>
      </c>
      <c r="L282" s="45">
        <f>продажи!$C282/продажи!$K282-1</f>
        <v>-0.22037078736020421</v>
      </c>
      <c r="M282" s="33">
        <f t="shared" si="8"/>
        <v>3538</v>
      </c>
      <c r="N282" s="24">
        <f>Таблица1[[#This Row],[цена за шт в рублях]]/Таблица1[[#This Row],[средняя стоимость в категории по поставщику.]]-1</f>
        <v>-0.93753533069530803</v>
      </c>
      <c r="O282" s="26">
        <f>VLOOKUP(Таблица1[[#This Row],[id клиента]],клиенты!$A$2:$E$435,5,0)</f>
        <v>44857</v>
      </c>
      <c r="P282">
        <f>Таблица1[[#This Row],[дата создания чека]]-Таблица1[[#This Row],[Дата регистрации клента]]</f>
        <v>309</v>
      </c>
      <c r="Q282" s="26">
        <f t="shared" ca="1" si="9"/>
        <v>46059</v>
      </c>
      <c r="R282" s="51">
        <f ca="1">(TODAY()-Таблица1[[#This Row],[Дата регистрации клента]])/30</f>
        <v>40.06666666666667</v>
      </c>
      <c r="S282" s="63" t="str">
        <f>VLOOKUP(Таблица1[[#This Row],[id клиента]],Таблица8[[id клиента]:[Страна]],7,0)</f>
        <v>Россия</v>
      </c>
      <c r="T282" s="26"/>
    </row>
    <row r="283" spans="1:20" ht="19.5" x14ac:dyDescent="0.4">
      <c r="A283" s="37">
        <v>282</v>
      </c>
      <c r="B283" s="31">
        <v>225</v>
      </c>
      <c r="C283" s="31">
        <v>114</v>
      </c>
      <c r="D283" s="31">
        <v>3</v>
      </c>
      <c r="E283" s="31">
        <v>342</v>
      </c>
      <c r="F283" s="38">
        <v>45126</v>
      </c>
      <c r="G283" s="31" t="s">
        <v>15</v>
      </c>
      <c r="H283" s="31">
        <v>405</v>
      </c>
      <c r="I283" s="31" t="str">
        <f>VLOOKUP(продажи!$B283,товар!$A$1:$C$433,2)</f>
        <v>Соль</v>
      </c>
      <c r="J283" s="31" t="str">
        <f>VLOOKUP(B283,товар!$A$1:$C$433,3)</f>
        <v>Илецкая</v>
      </c>
      <c r="K283" s="39">
        <f>AVERAGEIF(продажи!$I$2:$I$1001,продажи!$I$2:$I$1001,продажи!$C$2:$C$1001)</f>
        <v>264.8679245283019</v>
      </c>
      <c r="L283" s="40">
        <f>продажи!$C283/продажи!$K283-1</f>
        <v>-0.56959680866220264</v>
      </c>
      <c r="M283" s="33">
        <f t="shared" si="8"/>
        <v>4287</v>
      </c>
      <c r="N283" s="24">
        <f>Таблица1[[#This Row],[цена за шт в рублях]]/Таблица1[[#This Row],[средняя стоимость в категории по поставщику.]]-1</f>
        <v>-0.97340797760671793</v>
      </c>
      <c r="O283" s="26">
        <f>VLOOKUP(Таблица1[[#This Row],[id клиента]],клиенты!$A$2:$E$435,5,0)</f>
        <v>44798</v>
      </c>
      <c r="P283">
        <f>Таблица1[[#This Row],[дата создания чека]]-Таблица1[[#This Row],[Дата регистрации клента]]</f>
        <v>328</v>
      </c>
      <c r="Q283" s="26">
        <f t="shared" ca="1" si="9"/>
        <v>46059</v>
      </c>
      <c r="R283" s="51">
        <f ca="1">(TODAY()-Таблица1[[#This Row],[Дата регистрации клента]])/30</f>
        <v>42.033333333333331</v>
      </c>
      <c r="S283" s="63" t="str">
        <f>VLOOKUP(Таблица1[[#This Row],[id клиента]],Таблица8[[id клиента]:[Страна]],7,0)</f>
        <v>Украина</v>
      </c>
      <c r="T283" s="26"/>
    </row>
    <row r="284" spans="1:20" ht="19.5" x14ac:dyDescent="0.4">
      <c r="A284" s="41">
        <v>283</v>
      </c>
      <c r="B284" s="42">
        <v>167</v>
      </c>
      <c r="C284" s="42">
        <v>488</v>
      </c>
      <c r="D284" s="42">
        <v>3</v>
      </c>
      <c r="E284" s="42">
        <v>1464</v>
      </c>
      <c r="F284" s="43">
        <v>45164</v>
      </c>
      <c r="G284" s="42" t="s">
        <v>8</v>
      </c>
      <c r="H284" s="42">
        <v>32</v>
      </c>
      <c r="I284" s="42" t="str">
        <f>VLOOKUP(продажи!$B284,товар!$A$1:$C$433,2)</f>
        <v>Мясо</v>
      </c>
      <c r="J284" s="42" t="str">
        <f>VLOOKUP(B284,товар!$A$1:$C$433,3)</f>
        <v>Сава</v>
      </c>
      <c r="K284" s="44">
        <f>AVERAGEIF(продажи!$I$2:$I$1001,продажи!$I$2:$I$1001,продажи!$C$2:$C$1001)</f>
        <v>271.74545454545455</v>
      </c>
      <c r="L284" s="45">
        <f>продажи!$C284/продажи!$K284-1</f>
        <v>0.79579820687809444</v>
      </c>
      <c r="M284" s="33">
        <f t="shared" si="8"/>
        <v>3405</v>
      </c>
      <c r="N284" s="24">
        <f>Таблица1[[#This Row],[цена за шт в рублях]]/Таблица1[[#This Row],[средняя стоимость в категории по поставщику.]]-1</f>
        <v>-0.85668135095447873</v>
      </c>
      <c r="O284" s="26">
        <f>VLOOKUP(Таблица1[[#This Row],[id клиента]],клиенты!$A$2:$E$435,5,0)</f>
        <v>44922</v>
      </c>
      <c r="P284">
        <f>Таблица1[[#This Row],[дата создания чека]]-Таблица1[[#This Row],[Дата регистрации клента]]</f>
        <v>242</v>
      </c>
      <c r="Q284" s="26">
        <f t="shared" ca="1" si="9"/>
        <v>46059</v>
      </c>
      <c r="R284" s="51">
        <f ca="1">(TODAY()-Таблица1[[#This Row],[Дата регистрации клента]])/30</f>
        <v>37.9</v>
      </c>
      <c r="S284" s="63" t="str">
        <f>VLOOKUP(Таблица1[[#This Row],[id клиента]],Таблица8[[id клиента]:[Страна]],7,0)</f>
        <v>Узбекистан</v>
      </c>
      <c r="T284" s="26"/>
    </row>
    <row r="285" spans="1:20" ht="19.5" x14ac:dyDescent="0.4">
      <c r="A285" s="37">
        <v>284</v>
      </c>
      <c r="B285" s="31">
        <v>467</v>
      </c>
      <c r="C285" s="31">
        <v>421</v>
      </c>
      <c r="D285" s="31">
        <v>5</v>
      </c>
      <c r="E285" s="31">
        <v>2105</v>
      </c>
      <c r="F285" s="38">
        <v>45070</v>
      </c>
      <c r="G285" s="31" t="s">
        <v>14</v>
      </c>
      <c r="H285" s="31">
        <v>334</v>
      </c>
      <c r="I285" s="31" t="str">
        <f>VLOOKUP(продажи!$B285,товар!$A$1:$C$433,2)</f>
        <v>Макароны</v>
      </c>
      <c r="J285" s="31" t="str">
        <f>VLOOKUP(B285,товар!$A$1:$C$433,3)</f>
        <v>Борилла</v>
      </c>
      <c r="K285" s="39">
        <f>AVERAGEIF(продажи!$I$2:$I$1001,продажи!$I$2:$I$1001,продажи!$C$2:$C$1001)</f>
        <v>265.47674418604652</v>
      </c>
      <c r="L285" s="40">
        <f>продажи!$C285/продажи!$K285-1</f>
        <v>0.58582628881783538</v>
      </c>
      <c r="M285" s="33">
        <f t="shared" si="8"/>
        <v>6852</v>
      </c>
      <c r="N285" s="24">
        <f>Таблица1[[#This Row],[цена за шт в рублях]]/Таблица1[[#This Row],[средняя стоимость в категории по поставщику.]]-1</f>
        <v>-0.93855808523058959</v>
      </c>
      <c r="O285" s="26">
        <f>VLOOKUP(Таблица1[[#This Row],[id клиента]],клиенты!$A$2:$E$435,5,0)</f>
        <v>44881</v>
      </c>
      <c r="P285">
        <f>Таблица1[[#This Row],[дата создания чека]]-Таблица1[[#This Row],[Дата регистрации клента]]</f>
        <v>189</v>
      </c>
      <c r="Q285" s="26">
        <f t="shared" ca="1" si="9"/>
        <v>46059</v>
      </c>
      <c r="R285" s="51">
        <f ca="1">(TODAY()-Таблица1[[#This Row],[Дата регистрации клента]])/30</f>
        <v>39.266666666666666</v>
      </c>
      <c r="S285" s="63" t="str">
        <f>VLOOKUP(Таблица1[[#This Row],[id клиента]],Таблица8[[id клиента]:[Страна]],7,0)</f>
        <v>Украина</v>
      </c>
      <c r="T285" s="26"/>
    </row>
    <row r="286" spans="1:20" ht="19.5" x14ac:dyDescent="0.4">
      <c r="A286" s="41">
        <v>285</v>
      </c>
      <c r="B286" s="42">
        <v>430</v>
      </c>
      <c r="C286" s="42">
        <v>380</v>
      </c>
      <c r="D286" s="42">
        <v>1</v>
      </c>
      <c r="E286" s="42">
        <v>380</v>
      </c>
      <c r="F286" s="43">
        <v>45391</v>
      </c>
      <c r="G286" s="42" t="s">
        <v>27</v>
      </c>
      <c r="H286" s="42">
        <v>449</v>
      </c>
      <c r="I286" s="42" t="str">
        <f>VLOOKUP(продажи!$B286,товар!$A$1:$C$433,2)</f>
        <v>Чай</v>
      </c>
      <c r="J286" s="42" t="str">
        <f>VLOOKUP(B286,товар!$A$1:$C$433,3)</f>
        <v>Ахмад</v>
      </c>
      <c r="K286" s="44">
        <f>AVERAGEIF(продажи!$I$2:$I$1001,продажи!$I$2:$I$1001,продажи!$C$2:$C$1001)</f>
        <v>271.18181818181819</v>
      </c>
      <c r="L286" s="45">
        <f>продажи!$C286/продажи!$K286-1</f>
        <v>0.40127388535031838</v>
      </c>
      <c r="M286" s="33">
        <f t="shared" si="8"/>
        <v>2433</v>
      </c>
      <c r="N286" s="24">
        <f>Таблица1[[#This Row],[цена за шт в рублях]]/Таблица1[[#This Row],[средняя стоимость в категории по поставщику.]]-1</f>
        <v>-0.84381422112618165</v>
      </c>
      <c r="O286" s="26">
        <f>VLOOKUP(Таблица1[[#This Row],[id клиента]],клиенты!$A$2:$E$435,5,0)</f>
        <v>44645</v>
      </c>
      <c r="P286">
        <f>Таблица1[[#This Row],[дата создания чека]]-Таблица1[[#This Row],[Дата регистрации клента]]</f>
        <v>746</v>
      </c>
      <c r="Q286" s="26">
        <f t="shared" ca="1" si="9"/>
        <v>46059</v>
      </c>
      <c r="R286" s="51">
        <f ca="1">(TODAY()-Таблица1[[#This Row],[Дата регистрации клента]])/30</f>
        <v>47.133333333333333</v>
      </c>
      <c r="S286" s="63" t="str">
        <f>VLOOKUP(Таблица1[[#This Row],[id клиента]],Таблица8[[id клиента]:[Страна]],7,0)</f>
        <v>Таджикистан</v>
      </c>
      <c r="T286" s="26"/>
    </row>
    <row r="287" spans="1:20" ht="19.5" x14ac:dyDescent="0.4">
      <c r="A287" s="37">
        <v>286</v>
      </c>
      <c r="B287" s="31">
        <v>139</v>
      </c>
      <c r="C287" s="31">
        <v>232</v>
      </c>
      <c r="D287" s="31">
        <v>3</v>
      </c>
      <c r="E287" s="31">
        <v>696</v>
      </c>
      <c r="F287" s="38">
        <v>45197</v>
      </c>
      <c r="G287" s="31" t="s">
        <v>26</v>
      </c>
      <c r="H287" s="31">
        <v>302</v>
      </c>
      <c r="I287" s="31" t="str">
        <f>VLOOKUP(продажи!$B287,товар!$A$1:$C$433,2)</f>
        <v>Йогурт</v>
      </c>
      <c r="J287" s="31" t="str">
        <f>VLOOKUP(B287,товар!$A$1:$C$433,3)</f>
        <v>Ростагроэкспорт</v>
      </c>
      <c r="K287" s="39">
        <f>AVERAGEIF(продажи!$I$2:$I$1001,продажи!$I$2:$I$1001,продажи!$C$2:$C$1001)</f>
        <v>263.25423728813558</v>
      </c>
      <c r="L287" s="40">
        <f>продажи!$C287/продажи!$K287-1</f>
        <v>-0.11872263713623488</v>
      </c>
      <c r="M287" s="33">
        <f t="shared" si="8"/>
        <v>5929</v>
      </c>
      <c r="N287" s="24">
        <f>Таблица1[[#This Row],[цена за шт в рублях]]/Таблица1[[#This Row],[средняя стоимость в категории по поставщику.]]-1</f>
        <v>-0.96087029853263617</v>
      </c>
      <c r="O287" s="26">
        <f>VLOOKUP(Таблица1[[#This Row],[id клиента]],клиенты!$A$2:$E$435,5,0)</f>
        <v>44859</v>
      </c>
      <c r="P287">
        <f>Таблица1[[#This Row],[дата создания чека]]-Таблица1[[#This Row],[Дата регистрации клента]]</f>
        <v>338</v>
      </c>
      <c r="Q287" s="26">
        <f t="shared" ca="1" si="9"/>
        <v>46059</v>
      </c>
      <c r="R287" s="51">
        <f ca="1">(TODAY()-Таблица1[[#This Row],[Дата регистрации клента]])/30</f>
        <v>40</v>
      </c>
      <c r="S287" s="63" t="str">
        <f>VLOOKUP(Таблица1[[#This Row],[id клиента]],Таблица8[[id клиента]:[Страна]],7,0)</f>
        <v>Россия</v>
      </c>
      <c r="T287" s="26"/>
    </row>
    <row r="288" spans="1:20" ht="19.5" x14ac:dyDescent="0.4">
      <c r="A288" s="41">
        <v>287</v>
      </c>
      <c r="B288" s="42">
        <v>351</v>
      </c>
      <c r="C288" s="42">
        <v>93</v>
      </c>
      <c r="D288" s="42">
        <v>3</v>
      </c>
      <c r="E288" s="42">
        <v>279</v>
      </c>
      <c r="F288" s="43">
        <v>45392</v>
      </c>
      <c r="G288" s="42" t="s">
        <v>20</v>
      </c>
      <c r="H288" s="42">
        <v>341</v>
      </c>
      <c r="I288" s="42" t="str">
        <f>VLOOKUP(продажи!$B288,товар!$A$1:$C$433,2)</f>
        <v>Чипсы</v>
      </c>
      <c r="J288" s="42" t="str">
        <f>VLOOKUP(B288,товар!$A$1:$C$433,3)</f>
        <v>Русская картошка</v>
      </c>
      <c r="K288" s="44">
        <f>AVERAGEIF(продажи!$I$2:$I$1001,продажи!$I$2:$I$1001,продажи!$C$2:$C$1001)</f>
        <v>273.72549019607845</v>
      </c>
      <c r="L288" s="45">
        <f>продажи!$C288/продажи!$K288-1</f>
        <v>-0.66024355300859594</v>
      </c>
      <c r="M288" s="33">
        <f t="shared" si="8"/>
        <v>2902</v>
      </c>
      <c r="N288" s="24">
        <f>Таблица1[[#This Row],[цена за шт в рублях]]/Таблица1[[#This Row],[средняя стоимость в категории по поставщику.]]-1</f>
        <v>-0.96795313576843556</v>
      </c>
      <c r="O288" s="26">
        <f>VLOOKUP(Таблица1[[#This Row],[id клиента]],клиенты!$A$2:$E$435,5,0)</f>
        <v>44724</v>
      </c>
      <c r="P288">
        <f>Таблица1[[#This Row],[дата создания чека]]-Таблица1[[#This Row],[Дата регистрации клента]]</f>
        <v>668</v>
      </c>
      <c r="Q288" s="26">
        <f t="shared" ca="1" si="9"/>
        <v>46059</v>
      </c>
      <c r="R288" s="51">
        <f ca="1">(TODAY()-Таблица1[[#This Row],[Дата регистрации клента]])/30</f>
        <v>44.5</v>
      </c>
      <c r="S288" s="63" t="str">
        <f>VLOOKUP(Таблица1[[#This Row],[id клиента]],Таблица8[[id клиента]:[Страна]],7,0)</f>
        <v>Россия</v>
      </c>
      <c r="T288" s="26"/>
    </row>
    <row r="289" spans="1:20" ht="19.5" x14ac:dyDescent="0.4">
      <c r="A289" s="37">
        <v>288</v>
      </c>
      <c r="B289" s="31">
        <v>404</v>
      </c>
      <c r="C289" s="31">
        <v>136</v>
      </c>
      <c r="D289" s="31">
        <v>2</v>
      </c>
      <c r="E289" s="31">
        <v>272</v>
      </c>
      <c r="F289" s="38">
        <v>45287</v>
      </c>
      <c r="G289" s="31" t="s">
        <v>11</v>
      </c>
      <c r="H289" s="31">
        <v>62</v>
      </c>
      <c r="I289" s="31" t="str">
        <f>VLOOKUP(продажи!$B289,товар!$A$1:$C$433,2)</f>
        <v>Йогурт</v>
      </c>
      <c r="J289" s="31" t="str">
        <f>VLOOKUP(B289,товар!$A$1:$C$433,3)</f>
        <v>Ростагроэкспорт</v>
      </c>
      <c r="K289" s="39">
        <f>AVERAGEIF(продажи!$I$2:$I$1001,продажи!$I$2:$I$1001,продажи!$C$2:$C$1001)</f>
        <v>263.25423728813558</v>
      </c>
      <c r="L289" s="40">
        <f>продажи!$C289/продажи!$K289-1</f>
        <v>-0.48338913211434453</v>
      </c>
      <c r="M289" s="33">
        <f t="shared" si="8"/>
        <v>5929</v>
      </c>
      <c r="N289" s="24">
        <f>Таблица1[[#This Row],[цена за шт в рублях]]/Таблица1[[#This Row],[средняя стоимость в категории по поставщику.]]-1</f>
        <v>-0.97706189913982122</v>
      </c>
      <c r="O289" s="26">
        <f>VLOOKUP(Таблица1[[#This Row],[id клиента]],клиенты!$A$2:$E$435,5,0)</f>
        <v>44671</v>
      </c>
      <c r="P289">
        <f>Таблица1[[#This Row],[дата создания чека]]-Таблица1[[#This Row],[Дата регистрации клента]]</f>
        <v>616</v>
      </c>
      <c r="Q289" s="26">
        <f t="shared" ca="1" si="9"/>
        <v>46059</v>
      </c>
      <c r="R289" s="51">
        <f ca="1">(TODAY()-Таблица1[[#This Row],[Дата регистрации клента]])/30</f>
        <v>46.266666666666666</v>
      </c>
      <c r="S289" s="63" t="str">
        <f>VLOOKUP(Таблица1[[#This Row],[id клиента]],Таблица8[[id клиента]:[Страна]],7,0)</f>
        <v>Россия</v>
      </c>
      <c r="T289" s="26"/>
    </row>
    <row r="290" spans="1:20" ht="19.5" x14ac:dyDescent="0.4">
      <c r="A290" s="41">
        <v>289</v>
      </c>
      <c r="B290" s="42">
        <v>237</v>
      </c>
      <c r="C290" s="42">
        <v>157</v>
      </c>
      <c r="D290" s="42">
        <v>5</v>
      </c>
      <c r="E290" s="42">
        <v>785</v>
      </c>
      <c r="F290" s="43">
        <v>44946</v>
      </c>
      <c r="G290" s="42" t="s">
        <v>24</v>
      </c>
      <c r="H290" s="42">
        <v>366</v>
      </c>
      <c r="I290" s="42" t="str">
        <f>VLOOKUP(продажи!$B290,товар!$A$1:$C$433,2)</f>
        <v>Конфеты</v>
      </c>
      <c r="J290" s="42" t="str">
        <f>VLOOKUP(B290,товар!$A$1:$C$433,3)</f>
        <v>Рот Фронт</v>
      </c>
      <c r="K290" s="44">
        <f>AVERAGEIF(продажи!$I$2:$I$1001,продажи!$I$2:$I$1001,продажи!$C$2:$C$1001)</f>
        <v>267.85483870967744</v>
      </c>
      <c r="L290" s="45">
        <f>продажи!$C290/продажи!$K290-1</f>
        <v>-0.41386162461612575</v>
      </c>
      <c r="M290" s="33">
        <f t="shared" si="8"/>
        <v>6053</v>
      </c>
      <c r="N290" s="24">
        <f>Таблица1[[#This Row],[цена за шт в рублях]]/Таблица1[[#This Row],[средняя стоимость в категории по поставщику.]]-1</f>
        <v>-0.97406244837270772</v>
      </c>
      <c r="O290" s="26">
        <f>VLOOKUP(Таблица1[[#This Row],[id клиента]],клиенты!$A$2:$E$435,5,0)</f>
        <v>44827</v>
      </c>
      <c r="P290">
        <f>Таблица1[[#This Row],[дата создания чека]]-Таблица1[[#This Row],[Дата регистрации клента]]</f>
        <v>119</v>
      </c>
      <c r="Q290" s="26">
        <f t="shared" ca="1" si="9"/>
        <v>46059</v>
      </c>
      <c r="R290" s="51">
        <f ca="1">(TODAY()-Таблица1[[#This Row],[Дата регистрации клента]])/30</f>
        <v>41.06666666666667</v>
      </c>
      <c r="S290" s="63" t="str">
        <f>VLOOKUP(Таблица1[[#This Row],[id клиента]],Таблица8[[id клиента]:[Страна]],7,0)</f>
        <v>Узбекистан</v>
      </c>
      <c r="T290" s="26"/>
    </row>
    <row r="291" spans="1:20" ht="19.5" x14ac:dyDescent="0.4">
      <c r="A291" s="37">
        <v>290</v>
      </c>
      <c r="B291" s="31">
        <v>323</v>
      </c>
      <c r="C291" s="31">
        <v>363</v>
      </c>
      <c r="D291" s="31">
        <v>4</v>
      </c>
      <c r="E291" s="31">
        <v>1452</v>
      </c>
      <c r="F291" s="38">
        <v>45362</v>
      </c>
      <c r="G291" s="31" t="s">
        <v>15</v>
      </c>
      <c r="H291" s="31">
        <v>463</v>
      </c>
      <c r="I291" s="31" t="str">
        <f>VLOOKUP(продажи!$B291,товар!$A$1:$C$433,2)</f>
        <v>Рыба</v>
      </c>
      <c r="J291" s="31" t="str">
        <f>VLOOKUP(B291,товар!$A$1:$C$433,3)</f>
        <v>Меридиан</v>
      </c>
      <c r="K291" s="39">
        <f>AVERAGEIF(продажи!$I$2:$I$1001,продажи!$I$2:$I$1001,продажи!$C$2:$C$1001)</f>
        <v>258.5128205128205</v>
      </c>
      <c r="L291" s="40">
        <f>продажи!$C291/продажи!$K291-1</f>
        <v>0.40418567744495149</v>
      </c>
      <c r="M291" s="33">
        <f t="shared" si="8"/>
        <v>4431</v>
      </c>
      <c r="N291" s="24">
        <f>Таблица1[[#This Row],[цена за шт в рублях]]/Таблица1[[#This Row],[средняя стоимость в категории по поставщику.]]-1</f>
        <v>-0.91807718348002709</v>
      </c>
      <c r="O291" s="26">
        <f>VLOOKUP(Таблица1[[#This Row],[id клиента]],клиенты!$A$2:$E$435,5,0)</f>
        <v>44869</v>
      </c>
      <c r="P291">
        <f>Таблица1[[#This Row],[дата создания чека]]-Таблица1[[#This Row],[Дата регистрации клента]]</f>
        <v>493</v>
      </c>
      <c r="Q291" s="26">
        <f t="shared" ca="1" si="9"/>
        <v>46059</v>
      </c>
      <c r="R291" s="51">
        <f ca="1">(TODAY()-Таблица1[[#This Row],[Дата регистрации клента]])/30</f>
        <v>39.666666666666664</v>
      </c>
      <c r="S291" s="63" t="str">
        <f>VLOOKUP(Таблица1[[#This Row],[id клиента]],Таблица8[[id клиента]:[Страна]],7,0)</f>
        <v>Украина</v>
      </c>
      <c r="T291" s="26"/>
    </row>
    <row r="292" spans="1:20" ht="19.5" x14ac:dyDescent="0.4">
      <c r="A292" s="41">
        <v>291</v>
      </c>
      <c r="B292" s="42">
        <v>457</v>
      </c>
      <c r="C292" s="42">
        <v>289</v>
      </c>
      <c r="D292" s="42">
        <v>5</v>
      </c>
      <c r="E292" s="42">
        <v>1445</v>
      </c>
      <c r="F292" s="43">
        <v>45167</v>
      </c>
      <c r="G292" s="42" t="s">
        <v>24</v>
      </c>
      <c r="H292" s="42">
        <v>421</v>
      </c>
      <c r="I292" s="42" t="str">
        <f>VLOOKUP(продажи!$B292,товар!$A$1:$C$433,2)</f>
        <v>Сок</v>
      </c>
      <c r="J292" s="42" t="str">
        <f>VLOOKUP(B292,товар!$A$1:$C$433,3)</f>
        <v>Rich</v>
      </c>
      <c r="K292" s="44">
        <f>AVERAGEIF(продажи!$I$2:$I$1001,продажи!$I$2:$I$1001,продажи!$C$2:$C$1001)</f>
        <v>268.60344827586209</v>
      </c>
      <c r="L292" s="45">
        <f>продажи!$C292/продажи!$K292-1</f>
        <v>7.5935554271776118E-2</v>
      </c>
      <c r="M292" s="33">
        <f t="shared" si="8"/>
        <v>1089</v>
      </c>
      <c r="N292" s="24">
        <f>Таблица1[[#This Row],[цена за шт в рублях]]/Таблица1[[#This Row],[средняя стоимость в категории по поставщику.]]-1</f>
        <v>-0.7346189164370982</v>
      </c>
      <c r="O292" s="26">
        <f>VLOOKUP(Таблица1[[#This Row],[id клиента]],клиенты!$A$2:$E$435,5,0)</f>
        <v>44620</v>
      </c>
      <c r="P292">
        <f>Таблица1[[#This Row],[дата создания чека]]-Таблица1[[#This Row],[Дата регистрации клента]]</f>
        <v>547</v>
      </c>
      <c r="Q292" s="26">
        <f t="shared" ca="1" si="9"/>
        <v>46059</v>
      </c>
      <c r="R292" s="51">
        <f ca="1">(TODAY()-Таблица1[[#This Row],[Дата регистрации клента]])/30</f>
        <v>47.966666666666669</v>
      </c>
      <c r="S292" s="63" t="str">
        <f>VLOOKUP(Таблица1[[#This Row],[id клиента]],Таблица8[[id клиента]:[Страна]],7,0)</f>
        <v>Россия</v>
      </c>
      <c r="T292" s="26"/>
    </row>
    <row r="293" spans="1:20" ht="19.5" x14ac:dyDescent="0.4">
      <c r="A293" s="37">
        <v>292</v>
      </c>
      <c r="B293" s="31">
        <v>328</v>
      </c>
      <c r="C293" s="31">
        <v>448</v>
      </c>
      <c r="D293" s="31">
        <v>4</v>
      </c>
      <c r="E293" s="31">
        <v>1792</v>
      </c>
      <c r="F293" s="38">
        <v>45166</v>
      </c>
      <c r="G293" s="31" t="s">
        <v>18</v>
      </c>
      <c r="H293" s="31">
        <v>86</v>
      </c>
      <c r="I293" s="31" t="str">
        <f>VLOOKUP(продажи!$B293,товар!$A$1:$C$433,2)</f>
        <v>Чипсы</v>
      </c>
      <c r="J293" s="31" t="str">
        <f>VLOOKUP(B293,товар!$A$1:$C$433,3)</f>
        <v>Русская картошка</v>
      </c>
      <c r="K293" s="39">
        <f>AVERAGEIF(продажи!$I$2:$I$1001,продажи!$I$2:$I$1001,продажи!$C$2:$C$1001)</f>
        <v>273.72549019607845</v>
      </c>
      <c r="L293" s="40">
        <f>продажи!$C293/продажи!$K293-1</f>
        <v>0.63667621776504291</v>
      </c>
      <c r="M293" s="33">
        <f t="shared" si="8"/>
        <v>2902</v>
      </c>
      <c r="N293" s="24">
        <f>Таблица1[[#This Row],[цена за шт в рублях]]/Таблица1[[#This Row],[средняя стоимость в категории по поставщику.]]-1</f>
        <v>-0.84562370778773266</v>
      </c>
      <c r="O293" s="26">
        <f>VLOOKUP(Таблица1[[#This Row],[id клиента]],клиенты!$A$2:$E$435,5,0)</f>
        <v>44692</v>
      </c>
      <c r="P293">
        <f>Таблица1[[#This Row],[дата создания чека]]-Таблица1[[#This Row],[Дата регистрации клента]]</f>
        <v>474</v>
      </c>
      <c r="Q293" s="26">
        <f t="shared" ca="1" si="9"/>
        <v>46059</v>
      </c>
      <c r="R293" s="51">
        <f ca="1">(TODAY()-Таблица1[[#This Row],[Дата регистрации клента]])/30</f>
        <v>45.56666666666667</v>
      </c>
      <c r="S293" s="63" t="str">
        <f>VLOOKUP(Таблица1[[#This Row],[id клиента]],Таблица8[[id клиента]:[Страна]],7,0)</f>
        <v>Узбекистан</v>
      </c>
      <c r="T293" s="26"/>
    </row>
    <row r="294" spans="1:20" ht="19.5" x14ac:dyDescent="0.4">
      <c r="A294" s="41">
        <v>293</v>
      </c>
      <c r="B294" s="42">
        <v>424</v>
      </c>
      <c r="C294" s="42">
        <v>226</v>
      </c>
      <c r="D294" s="42">
        <v>2</v>
      </c>
      <c r="E294" s="42">
        <v>452</v>
      </c>
      <c r="F294" s="43">
        <v>45108</v>
      </c>
      <c r="G294" s="42" t="s">
        <v>17</v>
      </c>
      <c r="H294" s="42">
        <v>397</v>
      </c>
      <c r="I294" s="42" t="str">
        <f>VLOOKUP(продажи!$B294,товар!$A$1:$C$433,2)</f>
        <v>Печенье</v>
      </c>
      <c r="J294" s="42" t="str">
        <f>VLOOKUP(B294,товар!$A$1:$C$433,3)</f>
        <v>КДВ</v>
      </c>
      <c r="K294" s="44">
        <f>AVERAGEIF(продажи!$I$2:$I$1001,продажи!$I$2:$I$1001,продажи!$C$2:$C$1001)</f>
        <v>283.468085106383</v>
      </c>
      <c r="L294" s="45">
        <f>продажи!$C294/продажи!$K294-1</f>
        <v>-0.20273211739097807</v>
      </c>
      <c r="M294" s="33">
        <f t="shared" si="8"/>
        <v>4200</v>
      </c>
      <c r="N294" s="24">
        <f>Таблица1[[#This Row],[цена за шт в рублях]]/Таблица1[[#This Row],[средняя стоимость в категории по поставщику.]]-1</f>
        <v>-0.94619047619047625</v>
      </c>
      <c r="O294" s="26">
        <f>VLOOKUP(Таблица1[[#This Row],[id клиента]],клиенты!$A$2:$E$435,5,0)</f>
        <v>44728</v>
      </c>
      <c r="P294">
        <f>Таблица1[[#This Row],[дата создания чека]]-Таблица1[[#This Row],[Дата регистрации клента]]</f>
        <v>380</v>
      </c>
      <c r="Q294" s="26">
        <f t="shared" ca="1" si="9"/>
        <v>46059</v>
      </c>
      <c r="R294" s="51">
        <f ca="1">(TODAY()-Таблица1[[#This Row],[Дата регистрации клента]])/30</f>
        <v>44.366666666666667</v>
      </c>
      <c r="S294" s="63" t="str">
        <f>VLOOKUP(Таблица1[[#This Row],[id клиента]],Таблица8[[id клиента]:[Страна]],7,0)</f>
        <v>Беларусь</v>
      </c>
      <c r="T294" s="26"/>
    </row>
    <row r="295" spans="1:20" ht="19.5" x14ac:dyDescent="0.4">
      <c r="A295" s="37">
        <v>294</v>
      </c>
      <c r="B295" s="31">
        <v>86</v>
      </c>
      <c r="C295" s="31">
        <v>261</v>
      </c>
      <c r="D295" s="31">
        <v>5</v>
      </c>
      <c r="E295" s="31">
        <v>1305</v>
      </c>
      <c r="F295" s="38">
        <v>45001</v>
      </c>
      <c r="G295" s="31" t="s">
        <v>10</v>
      </c>
      <c r="H295" s="31">
        <v>319</v>
      </c>
      <c r="I295" s="31" t="str">
        <f>VLOOKUP(продажи!$B295,товар!$A$1:$C$433,2)</f>
        <v>Сахар</v>
      </c>
      <c r="J295" s="31" t="str">
        <f>VLOOKUP(B295,товар!$A$1:$C$433,3)</f>
        <v>Русский сахар</v>
      </c>
      <c r="K295" s="39">
        <f>AVERAGEIF(продажи!$I$2:$I$1001,продажи!$I$2:$I$1001,продажи!$C$2:$C$1001)</f>
        <v>254.58333333333334</v>
      </c>
      <c r="L295" s="40">
        <f>продажи!$C295/продажи!$K295-1</f>
        <v>2.5204582651391139E-2</v>
      </c>
      <c r="M295" s="33">
        <f t="shared" si="8"/>
        <v>4988</v>
      </c>
      <c r="N295" s="24">
        <f>Таблица1[[#This Row],[цена за шт в рублях]]/Таблица1[[#This Row],[средняя стоимость в категории по поставщику.]]-1</f>
        <v>-0.94767441860465118</v>
      </c>
      <c r="O295" s="26">
        <f>VLOOKUP(Таблица1[[#This Row],[id клиента]],клиенты!$A$2:$E$435,5,0)</f>
        <v>44674</v>
      </c>
      <c r="P295">
        <f>Таблица1[[#This Row],[дата создания чека]]-Таблица1[[#This Row],[Дата регистрации клента]]</f>
        <v>327</v>
      </c>
      <c r="Q295" s="26">
        <f t="shared" ca="1" si="9"/>
        <v>46059</v>
      </c>
      <c r="R295" s="51">
        <f ca="1">(TODAY()-Таблица1[[#This Row],[Дата регистрации клента]])/30</f>
        <v>46.166666666666664</v>
      </c>
      <c r="S295" s="63" t="str">
        <f>VLOOKUP(Таблица1[[#This Row],[id клиента]],Таблица8[[id клиента]:[Страна]],7,0)</f>
        <v>Узбекистан</v>
      </c>
      <c r="T295" s="26"/>
    </row>
    <row r="296" spans="1:20" ht="19.5" x14ac:dyDescent="0.4">
      <c r="A296" s="41">
        <v>295</v>
      </c>
      <c r="B296" s="42">
        <v>17</v>
      </c>
      <c r="C296" s="42">
        <v>253</v>
      </c>
      <c r="D296" s="42">
        <v>3</v>
      </c>
      <c r="E296" s="42">
        <v>759</v>
      </c>
      <c r="F296" s="43">
        <v>45369</v>
      </c>
      <c r="G296" s="42" t="s">
        <v>23</v>
      </c>
      <c r="H296" s="42">
        <v>290</v>
      </c>
      <c r="I296" s="42" t="str">
        <f>VLOOKUP(продажи!$B296,товар!$A$1:$C$433,2)</f>
        <v>Кофе</v>
      </c>
      <c r="J296" s="42" t="str">
        <f>VLOOKUP(B296,товар!$A$1:$C$433,3)</f>
        <v>Jacobs</v>
      </c>
      <c r="K296" s="44">
        <f>AVERAGEIF(продажи!$I$2:$I$1001,продажи!$I$2:$I$1001,продажи!$C$2:$C$1001)</f>
        <v>249.02380952380952</v>
      </c>
      <c r="L296" s="45">
        <f>продажи!$C296/продажи!$K296-1</f>
        <v>1.5967109666316093E-2</v>
      </c>
      <c r="M296" s="33">
        <f t="shared" si="8"/>
        <v>5248</v>
      </c>
      <c r="N296" s="24">
        <f>Таблица1[[#This Row],[цена за шт в рублях]]/Таблица1[[#This Row],[средняя стоимость в категории по поставщику.]]-1</f>
        <v>-0.95179115853658536</v>
      </c>
      <c r="O296" s="26">
        <f>VLOOKUP(Таблица1[[#This Row],[id клиента]],клиенты!$A$2:$E$435,5,0)</f>
        <v>44777</v>
      </c>
      <c r="P296">
        <f>Таблица1[[#This Row],[дата создания чека]]-Таблица1[[#This Row],[Дата регистрации клента]]</f>
        <v>592</v>
      </c>
      <c r="Q296" s="26">
        <f t="shared" ca="1" si="9"/>
        <v>46059</v>
      </c>
      <c r="R296" s="51">
        <f ca="1">(TODAY()-Таблица1[[#This Row],[Дата регистрации клента]])/30</f>
        <v>42.733333333333334</v>
      </c>
      <c r="S296" s="63" t="str">
        <f>VLOOKUP(Таблица1[[#This Row],[id клиента]],Таблица8[[id клиента]:[Страна]],7,0)</f>
        <v>Россия</v>
      </c>
      <c r="T296" s="26"/>
    </row>
    <row r="297" spans="1:20" ht="19.5" x14ac:dyDescent="0.4">
      <c r="A297" s="37">
        <v>296</v>
      </c>
      <c r="B297" s="31">
        <v>43</v>
      </c>
      <c r="C297" s="31">
        <v>457</v>
      </c>
      <c r="D297" s="31">
        <v>3</v>
      </c>
      <c r="E297" s="31">
        <v>1371</v>
      </c>
      <c r="F297" s="38">
        <v>44943</v>
      </c>
      <c r="G297" s="31" t="s">
        <v>16</v>
      </c>
      <c r="H297" s="31">
        <v>13</v>
      </c>
      <c r="I297" s="31" t="str">
        <f>VLOOKUP(продажи!$B297,товар!$A$1:$C$433,2)</f>
        <v>Печенье</v>
      </c>
      <c r="J297" s="31" t="str">
        <f>VLOOKUP(B297,товар!$A$1:$C$433,3)</f>
        <v>КДВ</v>
      </c>
      <c r="K297" s="39">
        <f>AVERAGEIF(продажи!$I$2:$I$1001,продажи!$I$2:$I$1001,продажи!$C$2:$C$1001)</f>
        <v>283.468085106383</v>
      </c>
      <c r="L297" s="40">
        <f>продажи!$C297/продажи!$K297-1</f>
        <v>0.61217443518726999</v>
      </c>
      <c r="M297" s="33">
        <f t="shared" si="8"/>
        <v>4200</v>
      </c>
      <c r="N297" s="24">
        <f>Таблица1[[#This Row],[цена за шт в рублях]]/Таблица1[[#This Row],[средняя стоимость в категории по поставщику.]]-1</f>
        <v>-0.8911904761904762</v>
      </c>
      <c r="O297" s="26">
        <f>VLOOKUP(Таблица1[[#This Row],[id клиента]],клиенты!$A$2:$E$435,5,0)</f>
        <v>44724</v>
      </c>
      <c r="P297">
        <f>Таблица1[[#This Row],[дата создания чека]]-Таблица1[[#This Row],[Дата регистрации клента]]</f>
        <v>219</v>
      </c>
      <c r="Q297" s="26">
        <f t="shared" ca="1" si="9"/>
        <v>46059</v>
      </c>
      <c r="R297" s="51">
        <f ca="1">(TODAY()-Таблица1[[#This Row],[Дата регистрации клента]])/30</f>
        <v>44.5</v>
      </c>
      <c r="S297" s="63" t="str">
        <f>VLOOKUP(Таблица1[[#This Row],[id клиента]],Таблица8[[id клиента]:[Страна]],7,0)</f>
        <v>Россия</v>
      </c>
      <c r="T297" s="26"/>
    </row>
    <row r="298" spans="1:20" ht="19.5" x14ac:dyDescent="0.4">
      <c r="A298" s="41">
        <v>297</v>
      </c>
      <c r="B298" s="42">
        <v>5</v>
      </c>
      <c r="C298" s="42">
        <v>65</v>
      </c>
      <c r="D298" s="42">
        <v>5</v>
      </c>
      <c r="E298" s="42">
        <v>325</v>
      </c>
      <c r="F298" s="43">
        <v>45251</v>
      </c>
      <c r="G298" s="42" t="s">
        <v>22</v>
      </c>
      <c r="H298" s="42">
        <v>302</v>
      </c>
      <c r="I298" s="42" t="str">
        <f>VLOOKUP(продажи!$B298,товар!$A$1:$C$433,2)</f>
        <v>Макароны</v>
      </c>
      <c r="J298" s="42" t="str">
        <f>VLOOKUP(B298,товар!$A$1:$C$433,3)</f>
        <v>Роллтон</v>
      </c>
      <c r="K298" s="44">
        <f>AVERAGEIF(продажи!$I$2:$I$1001,продажи!$I$2:$I$1001,продажи!$C$2:$C$1001)</f>
        <v>265.47674418604652</v>
      </c>
      <c r="L298" s="45">
        <f>продажи!$C298/продажи!$K298-1</f>
        <v>-0.75515746134641493</v>
      </c>
      <c r="M298" s="33">
        <f t="shared" si="8"/>
        <v>2120</v>
      </c>
      <c r="N298" s="24">
        <f>Таблица1[[#This Row],[цена за шт в рублях]]/Таблица1[[#This Row],[средняя стоимость в категории по поставщику.]]-1</f>
        <v>-0.96933962264150941</v>
      </c>
      <c r="O298" s="26">
        <f>VLOOKUP(Таблица1[[#This Row],[id клиента]],клиенты!$A$2:$E$435,5,0)</f>
        <v>44859</v>
      </c>
      <c r="P298">
        <f>Таблица1[[#This Row],[дата создания чека]]-Таблица1[[#This Row],[Дата регистрации клента]]</f>
        <v>392</v>
      </c>
      <c r="Q298" s="26">
        <f t="shared" ca="1" si="9"/>
        <v>46059</v>
      </c>
      <c r="R298" s="51">
        <f ca="1">(TODAY()-Таблица1[[#This Row],[Дата регистрации клента]])/30</f>
        <v>40</v>
      </c>
      <c r="S298" s="63" t="str">
        <f>VLOOKUP(Таблица1[[#This Row],[id клиента]],Таблица8[[id клиента]:[Страна]],7,0)</f>
        <v>Россия</v>
      </c>
      <c r="T298" s="26"/>
    </row>
    <row r="299" spans="1:20" ht="19.5" x14ac:dyDescent="0.4">
      <c r="A299" s="37">
        <v>298</v>
      </c>
      <c r="B299" s="31">
        <v>298</v>
      </c>
      <c r="C299" s="31">
        <v>65</v>
      </c>
      <c r="D299" s="31">
        <v>1</v>
      </c>
      <c r="E299" s="31">
        <v>65</v>
      </c>
      <c r="F299" s="38">
        <v>44985</v>
      </c>
      <c r="G299" s="31" t="s">
        <v>27</v>
      </c>
      <c r="H299" s="31">
        <v>453</v>
      </c>
      <c r="I299" s="31" t="str">
        <f>VLOOKUP(продажи!$B299,товар!$A$1:$C$433,2)</f>
        <v>Крупа</v>
      </c>
      <c r="J299" s="31" t="str">
        <f>VLOOKUP(B299,товар!$A$1:$C$433,3)</f>
        <v>Увелка</v>
      </c>
      <c r="K299" s="39">
        <f>AVERAGEIF(продажи!$I$2:$I$1001,продажи!$I$2:$I$1001,продажи!$C$2:$C$1001)</f>
        <v>255.11627906976744</v>
      </c>
      <c r="L299" s="40">
        <f>продажи!$C299/продажи!$K299-1</f>
        <v>-0.74521422060164078</v>
      </c>
      <c r="M299" s="33">
        <f t="shared" si="8"/>
        <v>3023</v>
      </c>
      <c r="N299" s="24">
        <f>Таблица1[[#This Row],[цена за шт в рублях]]/Таблица1[[#This Row],[средняя стоимость в категории по поставщику.]]-1</f>
        <v>-0.97849818061528282</v>
      </c>
      <c r="O299" s="26">
        <f>VLOOKUP(Таблица1[[#This Row],[id клиента]],клиенты!$A$2:$E$435,5,0)</f>
        <v>44635</v>
      </c>
      <c r="P299">
        <f>Таблица1[[#This Row],[дата создания чека]]-Таблица1[[#This Row],[Дата регистрации клента]]</f>
        <v>350</v>
      </c>
      <c r="Q299" s="26">
        <f t="shared" ca="1" si="9"/>
        <v>46059</v>
      </c>
      <c r="R299" s="51">
        <f ca="1">(TODAY()-Таблица1[[#This Row],[Дата регистрации клента]])/30</f>
        <v>47.466666666666669</v>
      </c>
      <c r="S299" s="63" t="str">
        <f>VLOOKUP(Таблица1[[#This Row],[id клиента]],Таблица8[[id клиента]:[Страна]],7,0)</f>
        <v>Россия</v>
      </c>
      <c r="T299" s="26"/>
    </row>
    <row r="300" spans="1:20" ht="19.5" x14ac:dyDescent="0.4">
      <c r="A300" s="41">
        <v>299</v>
      </c>
      <c r="B300" s="42">
        <v>436</v>
      </c>
      <c r="C300" s="42">
        <v>320</v>
      </c>
      <c r="D300" s="42">
        <v>3</v>
      </c>
      <c r="E300" s="42">
        <v>960</v>
      </c>
      <c r="F300" s="43">
        <v>45388</v>
      </c>
      <c r="G300" s="42" t="s">
        <v>21</v>
      </c>
      <c r="H300" s="42">
        <v>16</v>
      </c>
      <c r="I300" s="42" t="str">
        <f>VLOOKUP(продажи!$B300,товар!$A$1:$C$433,2)</f>
        <v>Овощи</v>
      </c>
      <c r="J300" s="42" t="str">
        <f>VLOOKUP(B300,товар!$A$1:$C$433,3)</f>
        <v>Гавриш</v>
      </c>
      <c r="K300" s="44">
        <f>AVERAGEIF(продажи!$I$2:$I$1001,продажи!$I$2:$I$1001,продажи!$C$2:$C$1001)</f>
        <v>250.48780487804879</v>
      </c>
      <c r="L300" s="45">
        <f>продажи!$C300/продажи!$K300-1</f>
        <v>0.27750730282375846</v>
      </c>
      <c r="M300" s="33">
        <f t="shared" si="8"/>
        <v>2229</v>
      </c>
      <c r="N300" s="24">
        <f>Таблица1[[#This Row],[цена за шт в рублях]]/Таблица1[[#This Row],[средняя стоимость в категории по поставщику.]]-1</f>
        <v>-0.85643786451323467</v>
      </c>
      <c r="O300" s="26">
        <f>VLOOKUP(Таблица1[[#This Row],[id клиента]],клиенты!$A$2:$E$435,5,0)</f>
        <v>44713</v>
      </c>
      <c r="P300">
        <f>Таблица1[[#This Row],[дата создания чека]]-Таблица1[[#This Row],[Дата регистрации клента]]</f>
        <v>675</v>
      </c>
      <c r="Q300" s="26">
        <f t="shared" ca="1" si="9"/>
        <v>46059</v>
      </c>
      <c r="R300" s="51">
        <f ca="1">(TODAY()-Таблица1[[#This Row],[Дата регистрации клента]])/30</f>
        <v>44.866666666666667</v>
      </c>
      <c r="S300" s="63" t="str">
        <f>VLOOKUP(Таблица1[[#This Row],[id клиента]],Таблица8[[id клиента]:[Страна]],7,0)</f>
        <v>Украина</v>
      </c>
      <c r="T300" s="26"/>
    </row>
    <row r="301" spans="1:20" ht="19.5" x14ac:dyDescent="0.4">
      <c r="A301" s="37">
        <v>300</v>
      </c>
      <c r="B301" s="31">
        <v>421</v>
      </c>
      <c r="C301" s="31">
        <v>145</v>
      </c>
      <c r="D301" s="31">
        <v>4</v>
      </c>
      <c r="E301" s="31">
        <v>580</v>
      </c>
      <c r="F301" s="38">
        <v>45323</v>
      </c>
      <c r="G301" s="31" t="s">
        <v>21</v>
      </c>
      <c r="H301" s="31">
        <v>120</v>
      </c>
      <c r="I301" s="31" t="str">
        <f>VLOOKUP(продажи!$B301,товар!$A$1:$C$433,2)</f>
        <v>Чай</v>
      </c>
      <c r="J301" s="31" t="str">
        <f>VLOOKUP(B301,товар!$A$1:$C$433,3)</f>
        <v>Greenfield</v>
      </c>
      <c r="K301" s="39">
        <f>AVERAGEIF(продажи!$I$2:$I$1001,продажи!$I$2:$I$1001,продажи!$C$2:$C$1001)</f>
        <v>271.18181818181819</v>
      </c>
      <c r="L301" s="40">
        <f>продажи!$C301/продажи!$K301-1</f>
        <v>-0.46530338585316799</v>
      </c>
      <c r="M301" s="33">
        <f t="shared" si="8"/>
        <v>6412</v>
      </c>
      <c r="N301" s="24">
        <f>Таблица1[[#This Row],[цена за шт в рублях]]/Таблица1[[#This Row],[средняя стоимость в категории по поставщику.]]-1</f>
        <v>-0.97738615096693704</v>
      </c>
      <c r="O301" s="26">
        <f>VLOOKUP(Таблица1[[#This Row],[id клиента]],клиенты!$A$2:$E$435,5,0)</f>
        <v>44691</v>
      </c>
      <c r="P301">
        <f>Таблица1[[#This Row],[дата создания чека]]-Таблица1[[#This Row],[Дата регистрации клента]]</f>
        <v>632</v>
      </c>
      <c r="Q301" s="26">
        <f t="shared" ca="1" si="9"/>
        <v>46059</v>
      </c>
      <c r="R301" s="51">
        <f ca="1">(TODAY()-Таблица1[[#This Row],[Дата регистрации клента]])/30</f>
        <v>45.6</v>
      </c>
      <c r="S301" s="63" t="str">
        <f>VLOOKUP(Таблица1[[#This Row],[id клиента]],Таблица8[[id клиента]:[Страна]],7,0)</f>
        <v>Россия</v>
      </c>
      <c r="T301" s="26"/>
    </row>
    <row r="302" spans="1:20" ht="19.5" x14ac:dyDescent="0.4">
      <c r="A302" s="41">
        <v>301</v>
      </c>
      <c r="B302" s="42">
        <v>223</v>
      </c>
      <c r="C302" s="42">
        <v>467</v>
      </c>
      <c r="D302" s="42">
        <v>5</v>
      </c>
      <c r="E302" s="42">
        <v>2335</v>
      </c>
      <c r="F302" s="43">
        <v>45310</v>
      </c>
      <c r="G302" s="42" t="s">
        <v>12</v>
      </c>
      <c r="H302" s="42">
        <v>295</v>
      </c>
      <c r="I302" s="42" t="str">
        <f>VLOOKUP(продажи!$B302,товар!$A$1:$C$433,2)</f>
        <v>Чай</v>
      </c>
      <c r="J302" s="42" t="str">
        <f>VLOOKUP(B302,товар!$A$1:$C$433,3)</f>
        <v>Greenfield</v>
      </c>
      <c r="K302" s="44">
        <f>AVERAGEIF(продажи!$I$2:$I$1001,продажи!$I$2:$I$1001,продажи!$C$2:$C$1001)</f>
        <v>271.18181818181819</v>
      </c>
      <c r="L302" s="45">
        <f>продажи!$C302/продажи!$K302-1</f>
        <v>0.72209185383841756</v>
      </c>
      <c r="M302" s="33">
        <f t="shared" si="8"/>
        <v>6412</v>
      </c>
      <c r="N302" s="24">
        <f>Таблица1[[#This Row],[цена за шт в рублях]]/Таблица1[[#This Row],[средняя стоимость в категории по поставщику.]]-1</f>
        <v>-0.92716781035558327</v>
      </c>
      <c r="O302" s="26">
        <f>VLOOKUP(Таблица1[[#This Row],[id клиента]],клиенты!$A$2:$E$435,5,0)</f>
        <v>44588</v>
      </c>
      <c r="P302">
        <f>Таблица1[[#This Row],[дата создания чека]]-Таблица1[[#This Row],[Дата регистрации клента]]</f>
        <v>722</v>
      </c>
      <c r="Q302" s="26">
        <f t="shared" ca="1" si="9"/>
        <v>46059</v>
      </c>
      <c r="R302" s="51">
        <f ca="1">(TODAY()-Таблица1[[#This Row],[Дата регистрации клента]])/30</f>
        <v>49.033333333333331</v>
      </c>
      <c r="S302" s="63" t="str">
        <f>VLOOKUP(Таблица1[[#This Row],[id клиента]],Таблица8[[id клиента]:[Страна]],7,0)</f>
        <v>Россия</v>
      </c>
      <c r="T302" s="26"/>
    </row>
    <row r="303" spans="1:20" ht="19.5" x14ac:dyDescent="0.4">
      <c r="A303" s="37">
        <v>302</v>
      </c>
      <c r="B303" s="31">
        <v>483</v>
      </c>
      <c r="C303" s="31">
        <v>124</v>
      </c>
      <c r="D303" s="31">
        <v>4</v>
      </c>
      <c r="E303" s="31">
        <v>496</v>
      </c>
      <c r="F303" s="38">
        <v>45299</v>
      </c>
      <c r="G303" s="31" t="s">
        <v>14</v>
      </c>
      <c r="H303" s="31">
        <v>381</v>
      </c>
      <c r="I303" s="31" t="str">
        <f>VLOOKUP(продажи!$B303,товар!$A$1:$C$433,2)</f>
        <v>Колбаса</v>
      </c>
      <c r="J303" s="31" t="str">
        <f>VLOOKUP(B303,товар!$A$1:$C$433,3)</f>
        <v>Дымов</v>
      </c>
      <c r="K303" s="39">
        <f>AVERAGEIF(продажи!$I$2:$I$1001,продажи!$I$2:$I$1001,продажи!$C$2:$C$1001)</f>
        <v>286.92307692307691</v>
      </c>
      <c r="L303" s="40">
        <f>продажи!$C303/продажи!$K303-1</f>
        <v>-0.56782841823056296</v>
      </c>
      <c r="M303" s="33">
        <f t="shared" si="8"/>
        <v>2814</v>
      </c>
      <c r="N303" s="24">
        <f>Таблица1[[#This Row],[цена за шт в рублях]]/Таблица1[[#This Row],[средняя стоимость в категории по поставщику.]]-1</f>
        <v>-0.95593461265103052</v>
      </c>
      <c r="O303" s="26">
        <f>VLOOKUP(Таблица1[[#This Row],[id клиента]],клиенты!$A$2:$E$435,5,0)</f>
        <v>44714</v>
      </c>
      <c r="P303">
        <f>Таблица1[[#This Row],[дата создания чека]]-Таблица1[[#This Row],[Дата регистрации клента]]</f>
        <v>585</v>
      </c>
      <c r="Q303" s="26">
        <f t="shared" ca="1" si="9"/>
        <v>46059</v>
      </c>
      <c r="R303" s="51">
        <f ca="1">(TODAY()-Таблица1[[#This Row],[Дата регистрации клента]])/30</f>
        <v>44.833333333333336</v>
      </c>
      <c r="S303" s="63" t="str">
        <f>VLOOKUP(Таблица1[[#This Row],[id клиента]],Таблица8[[id клиента]:[Страна]],7,0)</f>
        <v>Узбекистан</v>
      </c>
      <c r="T303" s="26"/>
    </row>
    <row r="304" spans="1:20" ht="19.5" x14ac:dyDescent="0.4">
      <c r="A304" s="41">
        <v>303</v>
      </c>
      <c r="B304" s="42">
        <v>414</v>
      </c>
      <c r="C304" s="42">
        <v>406</v>
      </c>
      <c r="D304" s="42">
        <v>3</v>
      </c>
      <c r="E304" s="42">
        <v>1218</v>
      </c>
      <c r="F304" s="43">
        <v>45246</v>
      </c>
      <c r="G304" s="42" t="s">
        <v>11</v>
      </c>
      <c r="H304" s="42">
        <v>287</v>
      </c>
      <c r="I304" s="42" t="str">
        <f>VLOOKUP(продажи!$B304,товар!$A$1:$C$433,2)</f>
        <v>Фрукты</v>
      </c>
      <c r="J304" s="42" t="str">
        <f>VLOOKUP(B304,товар!$A$1:$C$433,3)</f>
        <v>Экзотик</v>
      </c>
      <c r="K304" s="44">
        <f>AVERAGEIF(продажи!$I$2:$I$1001,продажи!$I$2:$I$1001,продажи!$C$2:$C$1001)</f>
        <v>274.16279069767444</v>
      </c>
      <c r="L304" s="45">
        <f>продажи!$C304/продажи!$K304-1</f>
        <v>0.48087199932140123</v>
      </c>
      <c r="M304" s="33">
        <f t="shared" si="8"/>
        <v>4059</v>
      </c>
      <c r="N304" s="24">
        <f>Таблица1[[#This Row],[цена за шт в рублях]]/Таблица1[[#This Row],[средняя стоимость в категории по поставщику.]]-1</f>
        <v>-0.89997536338999751</v>
      </c>
      <c r="O304" s="26">
        <f>VLOOKUP(Таблица1[[#This Row],[id клиента]],клиенты!$A$2:$E$435,5,0)</f>
        <v>44608</v>
      </c>
      <c r="P304">
        <f>Таблица1[[#This Row],[дата создания чека]]-Таблица1[[#This Row],[Дата регистрации клента]]</f>
        <v>638</v>
      </c>
      <c r="Q304" s="26">
        <f t="shared" ca="1" si="9"/>
        <v>46059</v>
      </c>
      <c r="R304" s="51">
        <f ca="1">(TODAY()-Таблица1[[#This Row],[Дата регистрации клента]])/30</f>
        <v>48.366666666666667</v>
      </c>
      <c r="S304" s="63" t="str">
        <f>VLOOKUP(Таблица1[[#This Row],[id клиента]],Таблица8[[id клиента]:[Страна]],7,0)</f>
        <v>Россия</v>
      </c>
      <c r="T304" s="26"/>
    </row>
    <row r="305" spans="1:20" ht="19.5" x14ac:dyDescent="0.4">
      <c r="A305" s="37">
        <v>304</v>
      </c>
      <c r="B305" s="31">
        <v>389</v>
      </c>
      <c r="C305" s="31">
        <v>76</v>
      </c>
      <c r="D305" s="31">
        <v>4</v>
      </c>
      <c r="E305" s="31">
        <v>304</v>
      </c>
      <c r="F305" s="38">
        <v>45067</v>
      </c>
      <c r="G305" s="31" t="s">
        <v>18</v>
      </c>
      <c r="H305" s="31">
        <v>415</v>
      </c>
      <c r="I305" s="31" t="str">
        <f>VLOOKUP(продажи!$B305,товар!$A$1:$C$433,2)</f>
        <v>Чай</v>
      </c>
      <c r="J305" s="31" t="str">
        <f>VLOOKUP(B305,товар!$A$1:$C$433,3)</f>
        <v>Ахмад</v>
      </c>
      <c r="K305" s="39">
        <f>AVERAGEIF(продажи!$I$2:$I$1001,продажи!$I$2:$I$1001,продажи!$C$2:$C$1001)</f>
        <v>271.18181818181819</v>
      </c>
      <c r="L305" s="40">
        <f>продажи!$C305/продажи!$K305-1</f>
        <v>-0.71974522292993637</v>
      </c>
      <c r="M305" s="33">
        <f t="shared" si="8"/>
        <v>2433</v>
      </c>
      <c r="N305" s="24">
        <f>Таблица1[[#This Row],[цена за шт в рублях]]/Таблица1[[#This Row],[средняя стоимость в категории по поставщику.]]-1</f>
        <v>-0.96876284422523629</v>
      </c>
      <c r="O305" s="26">
        <f>VLOOKUP(Таблица1[[#This Row],[id клиента]],клиенты!$A$2:$E$435,5,0)</f>
        <v>44661</v>
      </c>
      <c r="P305">
        <f>Таблица1[[#This Row],[дата создания чека]]-Таблица1[[#This Row],[Дата регистрации клента]]</f>
        <v>406</v>
      </c>
      <c r="Q305" s="26">
        <f t="shared" ca="1" si="9"/>
        <v>46059</v>
      </c>
      <c r="R305" s="51">
        <f ca="1">(TODAY()-Таблица1[[#This Row],[Дата регистрации клента]])/30</f>
        <v>46.6</v>
      </c>
      <c r="S305" s="63" t="str">
        <f>VLOOKUP(Таблица1[[#This Row],[id клиента]],Таблица8[[id клиента]:[Страна]],7,0)</f>
        <v>Украина</v>
      </c>
      <c r="T305" s="26"/>
    </row>
    <row r="306" spans="1:20" ht="19.5" x14ac:dyDescent="0.4">
      <c r="A306" s="41">
        <v>305</v>
      </c>
      <c r="B306" s="42">
        <v>367</v>
      </c>
      <c r="C306" s="42">
        <v>79</v>
      </c>
      <c r="D306" s="42">
        <v>5</v>
      </c>
      <c r="E306" s="42">
        <v>395</v>
      </c>
      <c r="F306" s="43">
        <v>45107</v>
      </c>
      <c r="G306" s="42" t="s">
        <v>26</v>
      </c>
      <c r="H306" s="42">
        <v>292</v>
      </c>
      <c r="I306" s="42" t="str">
        <f>VLOOKUP(продажи!$B306,товар!$A$1:$C$433,2)</f>
        <v>Колбаса</v>
      </c>
      <c r="J306" s="42" t="str">
        <f>VLOOKUP(B306,товар!$A$1:$C$433,3)</f>
        <v>Окраина</v>
      </c>
      <c r="K306" s="44">
        <f>AVERAGEIF(продажи!$I$2:$I$1001,продажи!$I$2:$I$1001,продажи!$C$2:$C$1001)</f>
        <v>286.92307692307691</v>
      </c>
      <c r="L306" s="45">
        <f>продажи!$C306/продажи!$K306-1</f>
        <v>-0.72466487935656843</v>
      </c>
      <c r="M306" s="33">
        <f t="shared" si="8"/>
        <v>3283</v>
      </c>
      <c r="N306" s="24">
        <f>Таблица1[[#This Row],[цена за шт в рублях]]/Таблица1[[#This Row],[средняя стоимость в категории по поставщику.]]-1</f>
        <v>-0.97593664331404206</v>
      </c>
      <c r="O306" s="26">
        <f>VLOOKUP(Таблица1[[#This Row],[id клиента]],клиенты!$A$2:$E$435,5,0)</f>
        <v>44608</v>
      </c>
      <c r="P306">
        <f>Таблица1[[#This Row],[дата создания чека]]-Таблица1[[#This Row],[Дата регистрации клента]]</f>
        <v>499</v>
      </c>
      <c r="Q306" s="26">
        <f t="shared" ca="1" si="9"/>
        <v>46059</v>
      </c>
      <c r="R306" s="51">
        <f ca="1">(TODAY()-Таблица1[[#This Row],[Дата регистрации клента]])/30</f>
        <v>48.366666666666667</v>
      </c>
      <c r="S306" s="63" t="str">
        <f>VLOOKUP(Таблица1[[#This Row],[id клиента]],Таблица8[[id клиента]:[Страна]],7,0)</f>
        <v>Россия</v>
      </c>
      <c r="T306" s="26"/>
    </row>
    <row r="307" spans="1:20" ht="19.5" x14ac:dyDescent="0.4">
      <c r="A307" s="37">
        <v>306</v>
      </c>
      <c r="B307" s="31">
        <v>128</v>
      </c>
      <c r="C307" s="31">
        <v>466</v>
      </c>
      <c r="D307" s="31">
        <v>1</v>
      </c>
      <c r="E307" s="31">
        <v>466</v>
      </c>
      <c r="F307" s="38">
        <v>44984</v>
      </c>
      <c r="G307" s="31" t="s">
        <v>27</v>
      </c>
      <c r="H307" s="31">
        <v>389</v>
      </c>
      <c r="I307" s="31" t="str">
        <f>VLOOKUP(продажи!$B307,товар!$A$1:$C$433,2)</f>
        <v>Мясо</v>
      </c>
      <c r="J307" s="31" t="str">
        <f>VLOOKUP(B307,товар!$A$1:$C$433,3)</f>
        <v>Мираторг</v>
      </c>
      <c r="K307" s="39">
        <f>AVERAGEIF(продажи!$I$2:$I$1001,продажи!$I$2:$I$1001,продажи!$C$2:$C$1001)</f>
        <v>271.74545454545455</v>
      </c>
      <c r="L307" s="40">
        <f>продажи!$C307/продажи!$K307-1</f>
        <v>0.71484009099424584</v>
      </c>
      <c r="M307" s="33">
        <f t="shared" si="8"/>
        <v>3799</v>
      </c>
      <c r="N307" s="24">
        <f>Таблица1[[#This Row],[цена за шт в рублях]]/Таблица1[[#This Row],[средняя стоимость в категории по поставщику.]]-1</f>
        <v>-0.87733614108976044</v>
      </c>
      <c r="O307" s="26">
        <f>VLOOKUP(Таблица1[[#This Row],[id клиента]],клиенты!$A$2:$E$435,5,0)</f>
        <v>44876</v>
      </c>
      <c r="P307">
        <f>Таблица1[[#This Row],[дата создания чека]]-Таблица1[[#This Row],[Дата регистрации клента]]</f>
        <v>108</v>
      </c>
      <c r="Q307" s="26">
        <f t="shared" ca="1" si="9"/>
        <v>46059</v>
      </c>
      <c r="R307" s="51">
        <f ca="1">(TODAY()-Таблица1[[#This Row],[Дата регистрации клента]])/30</f>
        <v>39.43333333333333</v>
      </c>
      <c r="S307" s="63" t="str">
        <f>VLOOKUP(Таблица1[[#This Row],[id клиента]],Таблица8[[id клиента]:[Страна]],7,0)</f>
        <v>Россия</v>
      </c>
      <c r="T307" s="26"/>
    </row>
    <row r="308" spans="1:20" ht="19.5" x14ac:dyDescent="0.4">
      <c r="A308" s="41">
        <v>307</v>
      </c>
      <c r="B308" s="42">
        <v>368</v>
      </c>
      <c r="C308" s="42">
        <v>265</v>
      </c>
      <c r="D308" s="42">
        <v>5</v>
      </c>
      <c r="E308" s="42">
        <v>1325</v>
      </c>
      <c r="F308" s="43">
        <v>45192</v>
      </c>
      <c r="G308" s="42" t="s">
        <v>15</v>
      </c>
      <c r="H308" s="42">
        <v>106</v>
      </c>
      <c r="I308" s="42" t="str">
        <f>VLOOKUP(продажи!$B308,товар!$A$1:$C$433,2)</f>
        <v>Сыр</v>
      </c>
      <c r="J308" s="42" t="str">
        <f>VLOOKUP(B308,товар!$A$1:$C$433,3)</f>
        <v>Сырная долина</v>
      </c>
      <c r="K308" s="44">
        <f>AVERAGEIF(продажи!$I$2:$I$1001,продажи!$I$2:$I$1001,продажи!$C$2:$C$1001)</f>
        <v>261.03225806451616</v>
      </c>
      <c r="L308" s="45">
        <f>продажи!$C308/продажи!$K308-1</f>
        <v>1.5200197726149112E-2</v>
      </c>
      <c r="M308" s="33">
        <f t="shared" si="8"/>
        <v>8943</v>
      </c>
      <c r="N308" s="24">
        <f>Таблица1[[#This Row],[цена за шт в рублях]]/Таблица1[[#This Row],[средняя стоимость в категории по поставщику.]]-1</f>
        <v>-0.97036788549703679</v>
      </c>
      <c r="O308" s="26">
        <f>VLOOKUP(Таблица1[[#This Row],[id клиента]],клиенты!$A$2:$E$435,5,0)</f>
        <v>44858</v>
      </c>
      <c r="P308">
        <f>Таблица1[[#This Row],[дата создания чека]]-Таблица1[[#This Row],[Дата регистрации клента]]</f>
        <v>334</v>
      </c>
      <c r="Q308" s="26">
        <f t="shared" ca="1" si="9"/>
        <v>46059</v>
      </c>
      <c r="R308" s="51">
        <f ca="1">(TODAY()-Таблица1[[#This Row],[Дата регистрации клента]])/30</f>
        <v>40.033333333333331</v>
      </c>
      <c r="S308" s="63" t="str">
        <f>VLOOKUP(Таблица1[[#This Row],[id клиента]],Таблица8[[id клиента]:[Страна]],7,0)</f>
        <v>Украина</v>
      </c>
      <c r="T308" s="26"/>
    </row>
    <row r="309" spans="1:20" ht="19.5" x14ac:dyDescent="0.4">
      <c r="A309" s="37">
        <v>308</v>
      </c>
      <c r="B309" s="31">
        <v>74</v>
      </c>
      <c r="C309" s="31">
        <v>397</v>
      </c>
      <c r="D309" s="31">
        <v>2</v>
      </c>
      <c r="E309" s="31">
        <v>794</v>
      </c>
      <c r="F309" s="38">
        <v>45178</v>
      </c>
      <c r="G309" s="31" t="s">
        <v>19</v>
      </c>
      <c r="H309" s="31">
        <v>458</v>
      </c>
      <c r="I309" s="31" t="str">
        <f>VLOOKUP(продажи!$B309,товар!$A$1:$C$433,2)</f>
        <v>Колбаса</v>
      </c>
      <c r="J309" s="31" t="str">
        <f>VLOOKUP(B309,товар!$A$1:$C$433,3)</f>
        <v>Черкизово</v>
      </c>
      <c r="K309" s="39">
        <f>AVERAGEIF(продажи!$I$2:$I$1001,продажи!$I$2:$I$1001,продажи!$C$2:$C$1001)</f>
        <v>286.92307692307691</v>
      </c>
      <c r="L309" s="40">
        <f>продажи!$C309/продажи!$K309-1</f>
        <v>0.38364611260053638</v>
      </c>
      <c r="M309" s="33">
        <f t="shared" si="8"/>
        <v>1281</v>
      </c>
      <c r="N309" s="24">
        <f>Таблица1[[#This Row],[цена за шт в рублях]]/Таблица1[[#This Row],[средняя стоимость в категории по поставщику.]]-1</f>
        <v>-0.69008587041373926</v>
      </c>
      <c r="O309" s="26">
        <f>VLOOKUP(Таблица1[[#This Row],[id клиента]],клиенты!$A$2:$E$435,5,0)</f>
        <v>44694</v>
      </c>
      <c r="P309">
        <f>Таблица1[[#This Row],[дата создания чека]]-Таблица1[[#This Row],[Дата регистрации клента]]</f>
        <v>484</v>
      </c>
      <c r="Q309" s="26">
        <f t="shared" ca="1" si="9"/>
        <v>46059</v>
      </c>
      <c r="R309" s="51">
        <f ca="1">(TODAY()-Таблица1[[#This Row],[Дата регистрации клента]])/30</f>
        <v>45.5</v>
      </c>
      <c r="S309" s="63" t="str">
        <f>VLOOKUP(Таблица1[[#This Row],[id клиента]],Таблица8[[id клиента]:[Страна]],7,0)</f>
        <v>Россия</v>
      </c>
      <c r="T309" s="26"/>
    </row>
    <row r="310" spans="1:20" ht="19.5" x14ac:dyDescent="0.4">
      <c r="A310" s="41">
        <v>309</v>
      </c>
      <c r="B310" s="42">
        <v>276</v>
      </c>
      <c r="C310" s="42">
        <v>359</v>
      </c>
      <c r="D310" s="42">
        <v>2</v>
      </c>
      <c r="E310" s="42">
        <v>718</v>
      </c>
      <c r="F310" s="43">
        <v>45147</v>
      </c>
      <c r="G310" s="42" t="s">
        <v>13</v>
      </c>
      <c r="H310" s="42">
        <v>203</v>
      </c>
      <c r="I310" s="42" t="str">
        <f>VLOOKUP(продажи!$B310,товар!$A$1:$C$433,2)</f>
        <v>Колбаса</v>
      </c>
      <c r="J310" s="42" t="str">
        <f>VLOOKUP(B310,товар!$A$1:$C$433,3)</f>
        <v>Дымов</v>
      </c>
      <c r="K310" s="44">
        <f>AVERAGEIF(продажи!$I$2:$I$1001,продажи!$I$2:$I$1001,продажи!$C$2:$C$1001)</f>
        <v>286.92307692307691</v>
      </c>
      <c r="L310" s="45">
        <f>продажи!$C310/продажи!$K310-1</f>
        <v>0.25120643431635403</v>
      </c>
      <c r="M310" s="33">
        <f t="shared" si="8"/>
        <v>2814</v>
      </c>
      <c r="N310" s="24">
        <f>Таблица1[[#This Row],[цена за шт в рублях]]/Таблица1[[#This Row],[средняя стоимость в категории по поставщику.]]-1</f>
        <v>-0.87242359630419331</v>
      </c>
      <c r="O310" s="26">
        <f>VLOOKUP(Таблица1[[#This Row],[id клиента]],клиенты!$A$2:$E$435,5,0)</f>
        <v>44685</v>
      </c>
      <c r="P310">
        <f>Таблица1[[#This Row],[дата создания чека]]-Таблица1[[#This Row],[Дата регистрации клента]]</f>
        <v>462</v>
      </c>
      <c r="Q310" s="26">
        <f t="shared" ca="1" si="9"/>
        <v>46059</v>
      </c>
      <c r="R310" s="51">
        <f ca="1">(TODAY()-Таблица1[[#This Row],[Дата регистрации клента]])/30</f>
        <v>45.8</v>
      </c>
      <c r="S310" s="63" t="str">
        <f>VLOOKUP(Таблица1[[#This Row],[id клиента]],Таблица8[[id клиента]:[Страна]],7,0)</f>
        <v>Россия</v>
      </c>
      <c r="T310" s="26"/>
    </row>
    <row r="311" spans="1:20" ht="19.5" x14ac:dyDescent="0.4">
      <c r="A311" s="37">
        <v>310</v>
      </c>
      <c r="B311" s="31">
        <v>149</v>
      </c>
      <c r="C311" s="31">
        <v>168</v>
      </c>
      <c r="D311" s="31">
        <v>4</v>
      </c>
      <c r="E311" s="31">
        <v>672</v>
      </c>
      <c r="F311" s="38">
        <v>44936</v>
      </c>
      <c r="G311" s="31" t="s">
        <v>9</v>
      </c>
      <c r="H311" s="31">
        <v>1</v>
      </c>
      <c r="I311" s="31" t="str">
        <f>VLOOKUP(продажи!$B311,товар!$A$1:$C$433,2)</f>
        <v>Конфеты</v>
      </c>
      <c r="J311" s="31" t="str">
        <f>VLOOKUP(B311,товар!$A$1:$C$433,3)</f>
        <v>Бабаевский</v>
      </c>
      <c r="K311" s="39">
        <f>AVERAGEIF(продажи!$I$2:$I$1001,продажи!$I$2:$I$1001,продажи!$C$2:$C$1001)</f>
        <v>267.85483870967744</v>
      </c>
      <c r="L311" s="40">
        <f>продажи!$C311/продажи!$K311-1</f>
        <v>-0.37279460468477155</v>
      </c>
      <c r="M311" s="33">
        <f t="shared" si="8"/>
        <v>6757</v>
      </c>
      <c r="N311" s="24">
        <f>Таблица1[[#This Row],[цена за шт в рублях]]/Таблица1[[#This Row],[средняя стоимость в категории по поставщику.]]-1</f>
        <v>-0.97513689507177737</v>
      </c>
      <c r="O311" s="26">
        <f>VLOOKUP(Таблица1[[#This Row],[id клиента]],клиенты!$A$2:$E$435,5,0)</f>
        <v>44585</v>
      </c>
      <c r="P311">
        <f>Таблица1[[#This Row],[дата создания чека]]-Таблица1[[#This Row],[Дата регистрации клента]]</f>
        <v>351</v>
      </c>
      <c r="Q311" s="26">
        <f t="shared" ca="1" si="9"/>
        <v>46059</v>
      </c>
      <c r="R311" s="51">
        <f ca="1">(TODAY()-Таблица1[[#This Row],[Дата регистрации клента]])/30</f>
        <v>49.133333333333333</v>
      </c>
      <c r="S311" s="63" t="str">
        <f>VLOOKUP(Таблица1[[#This Row],[id клиента]],Таблица8[[id клиента]:[Страна]],7,0)</f>
        <v>Россия</v>
      </c>
      <c r="T311" s="26"/>
    </row>
    <row r="312" spans="1:20" ht="19.5" x14ac:dyDescent="0.4">
      <c r="A312" s="41">
        <v>311</v>
      </c>
      <c r="B312" s="42">
        <v>229</v>
      </c>
      <c r="C312" s="42">
        <v>156</v>
      </c>
      <c r="D312" s="42">
        <v>4</v>
      </c>
      <c r="E312" s="42">
        <v>624</v>
      </c>
      <c r="F312" s="43">
        <v>45168</v>
      </c>
      <c r="G312" s="42" t="s">
        <v>22</v>
      </c>
      <c r="H312" s="42">
        <v>204</v>
      </c>
      <c r="I312" s="42" t="str">
        <f>VLOOKUP(продажи!$B312,товар!$A$1:$C$433,2)</f>
        <v>Мясо</v>
      </c>
      <c r="J312" s="42" t="str">
        <f>VLOOKUP(B312,товар!$A$1:$C$433,3)</f>
        <v>Сава</v>
      </c>
      <c r="K312" s="44">
        <f>AVERAGEIF(продажи!$I$2:$I$1001,продажи!$I$2:$I$1001,продажи!$C$2:$C$1001)</f>
        <v>271.74545454545455</v>
      </c>
      <c r="L312" s="45">
        <f>продажи!$C312/продажи!$K312-1</f>
        <v>-0.42593336009634686</v>
      </c>
      <c r="M312" s="33">
        <f t="shared" si="8"/>
        <v>3405</v>
      </c>
      <c r="N312" s="24">
        <f>Таблица1[[#This Row],[цена за шт в рублях]]/Таблица1[[#This Row],[средняя стоимость в категории по поставщику.]]-1</f>
        <v>-0.95418502202643174</v>
      </c>
      <c r="O312" s="26">
        <f>VLOOKUP(Таблица1[[#This Row],[id клиента]],клиенты!$A$2:$E$435,5,0)</f>
        <v>44867</v>
      </c>
      <c r="P312">
        <f>Таблица1[[#This Row],[дата создания чека]]-Таблица1[[#This Row],[Дата регистрации клента]]</f>
        <v>301</v>
      </c>
      <c r="Q312" s="26">
        <f t="shared" ca="1" si="9"/>
        <v>46059</v>
      </c>
      <c r="R312" s="51">
        <f ca="1">(TODAY()-Таблица1[[#This Row],[Дата регистрации клента]])/30</f>
        <v>39.733333333333334</v>
      </c>
      <c r="S312" s="63" t="str">
        <f>VLOOKUP(Таблица1[[#This Row],[id клиента]],Таблица8[[id клиента]:[Страна]],7,0)</f>
        <v>Россия</v>
      </c>
      <c r="T312" s="26"/>
    </row>
    <row r="313" spans="1:20" ht="19.5" x14ac:dyDescent="0.4">
      <c r="A313" s="37">
        <v>312</v>
      </c>
      <c r="B313" s="31">
        <v>28</v>
      </c>
      <c r="C313" s="31">
        <v>78</v>
      </c>
      <c r="D313" s="31">
        <v>4</v>
      </c>
      <c r="E313" s="31">
        <v>312</v>
      </c>
      <c r="F313" s="38">
        <v>44955</v>
      </c>
      <c r="G313" s="31" t="s">
        <v>22</v>
      </c>
      <c r="H313" s="31">
        <v>490</v>
      </c>
      <c r="I313" s="31" t="str">
        <f>VLOOKUP(продажи!$B313,товар!$A$1:$C$433,2)</f>
        <v>Крупа</v>
      </c>
      <c r="J313" s="31" t="str">
        <f>VLOOKUP(B313,товар!$A$1:$C$433,3)</f>
        <v>Националь</v>
      </c>
      <c r="K313" s="39">
        <f>AVERAGEIF(продажи!$I$2:$I$1001,продажи!$I$2:$I$1001,продажи!$C$2:$C$1001)</f>
        <v>255.11627906976744</v>
      </c>
      <c r="L313" s="40">
        <f>продажи!$C313/продажи!$K313-1</f>
        <v>-0.69425706472196902</v>
      </c>
      <c r="M313" s="33">
        <f t="shared" si="8"/>
        <v>1920</v>
      </c>
      <c r="N313" s="24">
        <f>Таблица1[[#This Row],[цена за шт в рублях]]/Таблица1[[#This Row],[средняя стоимость в категории по поставщику.]]-1</f>
        <v>-0.95937499999999998</v>
      </c>
      <c r="O313" s="26">
        <f>VLOOKUP(Таблица1[[#This Row],[id клиента]],клиенты!$A$2:$E$435,5,0)</f>
        <v>44603</v>
      </c>
      <c r="P313">
        <f>Таблица1[[#This Row],[дата создания чека]]-Таблица1[[#This Row],[Дата регистрации клента]]</f>
        <v>352</v>
      </c>
      <c r="Q313" s="26">
        <f t="shared" ca="1" si="9"/>
        <v>46059</v>
      </c>
      <c r="R313" s="51">
        <f ca="1">(TODAY()-Таблица1[[#This Row],[Дата регистрации клента]])/30</f>
        <v>48.533333333333331</v>
      </c>
      <c r="S313" s="63" t="str">
        <f>VLOOKUP(Таблица1[[#This Row],[id клиента]],Таблица8[[id клиента]:[Страна]],7,0)</f>
        <v>Россия</v>
      </c>
      <c r="T313" s="26"/>
    </row>
    <row r="314" spans="1:20" ht="19.5" x14ac:dyDescent="0.4">
      <c r="A314" s="41">
        <v>313</v>
      </c>
      <c r="B314" s="42">
        <v>260</v>
      </c>
      <c r="C314" s="42">
        <v>489</v>
      </c>
      <c r="D314" s="42">
        <v>3</v>
      </c>
      <c r="E314" s="42">
        <v>1467</v>
      </c>
      <c r="F314" s="43">
        <v>45297</v>
      </c>
      <c r="G314" s="42" t="s">
        <v>25</v>
      </c>
      <c r="H314" s="42">
        <v>98</v>
      </c>
      <c r="I314" s="42" t="str">
        <f>VLOOKUP(продажи!$B314,товар!$A$1:$C$433,2)</f>
        <v>Соль</v>
      </c>
      <c r="J314" s="42" t="str">
        <f>VLOOKUP(B314,товар!$A$1:$C$433,3)</f>
        <v>Экстра</v>
      </c>
      <c r="K314" s="44">
        <f>AVERAGEIF(продажи!$I$2:$I$1001,продажи!$I$2:$I$1001,продажи!$C$2:$C$1001)</f>
        <v>264.8679245283019</v>
      </c>
      <c r="L314" s="45">
        <f>продажи!$C314/продажи!$K314-1</f>
        <v>0.84620316284370989</v>
      </c>
      <c r="M314" s="33">
        <f t="shared" si="8"/>
        <v>4171</v>
      </c>
      <c r="N314" s="24">
        <f>Таблица1[[#This Row],[цена за шт в рублях]]/Таблица1[[#This Row],[средняя стоимость в категории по поставщику.]]-1</f>
        <v>-0.88276192759530092</v>
      </c>
      <c r="O314" s="26">
        <f>VLOOKUP(Таблица1[[#This Row],[id клиента]],клиенты!$A$2:$E$435,5,0)</f>
        <v>44637</v>
      </c>
      <c r="P314">
        <f>Таблица1[[#This Row],[дата создания чека]]-Таблица1[[#This Row],[Дата регистрации клента]]</f>
        <v>660</v>
      </c>
      <c r="Q314" s="26">
        <f t="shared" ca="1" si="9"/>
        <v>46059</v>
      </c>
      <c r="R314" s="51">
        <f ca="1">(TODAY()-Таблица1[[#This Row],[Дата регистрации клента]])/30</f>
        <v>47.4</v>
      </c>
      <c r="S314" s="63" t="str">
        <f>VLOOKUP(Таблица1[[#This Row],[id клиента]],Таблица8[[id клиента]:[Страна]],7,0)</f>
        <v>Россия</v>
      </c>
      <c r="T314" s="26"/>
    </row>
    <row r="315" spans="1:20" ht="19.5" x14ac:dyDescent="0.4">
      <c r="A315" s="37">
        <v>314</v>
      </c>
      <c r="B315" s="31">
        <v>140</v>
      </c>
      <c r="C315" s="31">
        <v>106</v>
      </c>
      <c r="D315" s="31">
        <v>3</v>
      </c>
      <c r="E315" s="31">
        <v>318</v>
      </c>
      <c r="F315" s="38">
        <v>44949</v>
      </c>
      <c r="G315" s="31" t="s">
        <v>11</v>
      </c>
      <c r="H315" s="31">
        <v>181</v>
      </c>
      <c r="I315" s="31" t="str">
        <f>VLOOKUP(продажи!$B315,товар!$A$1:$C$433,2)</f>
        <v>Рис</v>
      </c>
      <c r="J315" s="31" t="str">
        <f>VLOOKUP(B315,товар!$A$1:$C$433,3)</f>
        <v>Белый Злат</v>
      </c>
      <c r="K315" s="39">
        <f>AVERAGEIF(продажи!$I$2:$I$1001,продажи!$I$2:$I$1001,продажи!$C$2:$C$1001)</f>
        <v>258.375</v>
      </c>
      <c r="L315" s="40">
        <f>продажи!$C315/продажи!$K315-1</f>
        <v>-0.58974358974358976</v>
      </c>
      <c r="M315" s="33">
        <f t="shared" si="8"/>
        <v>4585</v>
      </c>
      <c r="N315" s="24">
        <f>Таблица1[[#This Row],[цена за шт в рублях]]/Таблица1[[#This Row],[средняя стоимость в категории по поставщику.]]-1</f>
        <v>-0.97688113413304256</v>
      </c>
      <c r="O315" s="26">
        <f>VLOOKUP(Таблица1[[#This Row],[id клиента]],клиенты!$A$2:$E$435,5,0)</f>
        <v>44568</v>
      </c>
      <c r="P315">
        <f>Таблица1[[#This Row],[дата создания чека]]-Таблица1[[#This Row],[Дата регистрации клента]]</f>
        <v>381</v>
      </c>
      <c r="Q315" s="26">
        <f t="shared" ca="1" si="9"/>
        <v>46059</v>
      </c>
      <c r="R315" s="51">
        <f ca="1">(TODAY()-Таблица1[[#This Row],[Дата регистрации клента]])/30</f>
        <v>49.7</v>
      </c>
      <c r="S315" s="63" t="str">
        <f>VLOOKUP(Таблица1[[#This Row],[id клиента]],Таблица8[[id клиента]:[Страна]],7,0)</f>
        <v>Украина</v>
      </c>
      <c r="T315" s="26"/>
    </row>
    <row r="316" spans="1:20" ht="19.5" x14ac:dyDescent="0.4">
      <c r="A316" s="41">
        <v>315</v>
      </c>
      <c r="B316" s="42">
        <v>270</v>
      </c>
      <c r="C316" s="42">
        <v>204</v>
      </c>
      <c r="D316" s="42">
        <v>3</v>
      </c>
      <c r="E316" s="42">
        <v>612</v>
      </c>
      <c r="F316" s="43">
        <v>45009</v>
      </c>
      <c r="G316" s="42" t="s">
        <v>21</v>
      </c>
      <c r="H316" s="42">
        <v>226</v>
      </c>
      <c r="I316" s="42" t="str">
        <f>VLOOKUP(продажи!$B316,товар!$A$1:$C$433,2)</f>
        <v>Соль</v>
      </c>
      <c r="J316" s="42" t="str">
        <f>VLOOKUP(B316,товар!$A$1:$C$433,3)</f>
        <v>Славянская</v>
      </c>
      <c r="K316" s="44">
        <f>AVERAGEIF(продажи!$I$2:$I$1001,продажи!$I$2:$I$1001,продажи!$C$2:$C$1001)</f>
        <v>264.8679245283019</v>
      </c>
      <c r="L316" s="45">
        <f>продажи!$C316/продажи!$K316-1</f>
        <v>-0.22980481550078358</v>
      </c>
      <c r="M316" s="33">
        <f t="shared" si="8"/>
        <v>2843</v>
      </c>
      <c r="N316" s="24">
        <f>Таблица1[[#This Row],[цена за шт в рублях]]/Таблица1[[#This Row],[средняя стоимость в категории по поставщику.]]-1</f>
        <v>-0.9282448118185016</v>
      </c>
      <c r="O316" s="26">
        <f>VLOOKUP(Таблица1[[#This Row],[id клиента]],клиенты!$A$2:$E$435,5,0)</f>
        <v>44702</v>
      </c>
      <c r="P316">
        <f>Таблица1[[#This Row],[дата создания чека]]-Таблица1[[#This Row],[Дата регистрации клента]]</f>
        <v>307</v>
      </c>
      <c r="Q316" s="26">
        <f t="shared" ca="1" si="9"/>
        <v>46059</v>
      </c>
      <c r="R316" s="51">
        <f ca="1">(TODAY()-Таблица1[[#This Row],[Дата регистрации клента]])/30</f>
        <v>45.233333333333334</v>
      </c>
      <c r="S316" s="63" t="str">
        <f>VLOOKUP(Таблица1[[#This Row],[id клиента]],Таблица8[[id клиента]:[Страна]],7,0)</f>
        <v>Россия</v>
      </c>
      <c r="T316" s="26"/>
    </row>
    <row r="317" spans="1:20" ht="19.5" x14ac:dyDescent="0.4">
      <c r="A317" s="37">
        <v>316</v>
      </c>
      <c r="B317" s="31">
        <v>67</v>
      </c>
      <c r="C317" s="31">
        <v>317</v>
      </c>
      <c r="D317" s="31">
        <v>4</v>
      </c>
      <c r="E317" s="31">
        <v>1268</v>
      </c>
      <c r="F317" s="38">
        <v>45222</v>
      </c>
      <c r="G317" s="31" t="s">
        <v>12</v>
      </c>
      <c r="H317" s="31">
        <v>322</v>
      </c>
      <c r="I317" s="31" t="str">
        <f>VLOOKUP(продажи!$B317,товар!$A$1:$C$433,2)</f>
        <v>Йогурт</v>
      </c>
      <c r="J317" s="31" t="str">
        <f>VLOOKUP(B317,товар!$A$1:$C$433,3)</f>
        <v>Чудо</v>
      </c>
      <c r="K317" s="39">
        <f>AVERAGEIF(продажи!$I$2:$I$1001,продажи!$I$2:$I$1001,продажи!$C$2:$C$1001)</f>
        <v>263.25423728813558</v>
      </c>
      <c r="L317" s="40">
        <f>продажи!$C317/продажи!$K317-1</f>
        <v>0.20415915529229989</v>
      </c>
      <c r="M317" s="33">
        <f t="shared" si="8"/>
        <v>2871</v>
      </c>
      <c r="N317" s="24">
        <f>Таблица1[[#This Row],[цена за шт в рублях]]/Таблица1[[#This Row],[средняя стоимость в категории по поставщику.]]-1</f>
        <v>-0.88958551027516541</v>
      </c>
      <c r="O317" s="26">
        <f>VLOOKUP(Таблица1[[#This Row],[id клиента]],клиенты!$A$2:$E$435,5,0)</f>
        <v>44886</v>
      </c>
      <c r="P317">
        <f>Таблица1[[#This Row],[дата создания чека]]-Таблица1[[#This Row],[Дата регистрации клента]]</f>
        <v>336</v>
      </c>
      <c r="Q317" s="26">
        <f t="shared" ca="1" si="9"/>
        <v>46059</v>
      </c>
      <c r="R317" s="51">
        <f ca="1">(TODAY()-Таблица1[[#This Row],[Дата регистрации клента]])/30</f>
        <v>39.1</v>
      </c>
      <c r="S317" s="63" t="str">
        <f>VLOOKUP(Таблица1[[#This Row],[id клиента]],Таблица8[[id клиента]:[Страна]],7,0)</f>
        <v>Украина</v>
      </c>
      <c r="T317" s="26"/>
    </row>
    <row r="318" spans="1:20" ht="19.5" x14ac:dyDescent="0.4">
      <c r="A318" s="41">
        <v>317</v>
      </c>
      <c r="B318" s="42">
        <v>448</v>
      </c>
      <c r="C318" s="42">
        <v>442</v>
      </c>
      <c r="D318" s="42">
        <v>1</v>
      </c>
      <c r="E318" s="42">
        <v>442</v>
      </c>
      <c r="F318" s="43">
        <v>45040</v>
      </c>
      <c r="G318" s="42" t="s">
        <v>23</v>
      </c>
      <c r="H318" s="42">
        <v>296</v>
      </c>
      <c r="I318" s="42" t="str">
        <f>VLOOKUP(продажи!$B318,товар!$A$1:$C$433,2)</f>
        <v>Йогурт</v>
      </c>
      <c r="J318" s="42" t="str">
        <f>VLOOKUP(B318,товар!$A$1:$C$433,3)</f>
        <v>Ростагроэкспорт</v>
      </c>
      <c r="K318" s="44">
        <f>AVERAGEIF(продажи!$I$2:$I$1001,продажи!$I$2:$I$1001,продажи!$C$2:$C$1001)</f>
        <v>263.25423728813558</v>
      </c>
      <c r="L318" s="45">
        <f>продажи!$C318/продажи!$K318-1</f>
        <v>0.67898532062838024</v>
      </c>
      <c r="M318" s="33">
        <f t="shared" si="8"/>
        <v>5929</v>
      </c>
      <c r="N318" s="24">
        <f>Таблица1[[#This Row],[цена за шт в рублях]]/Таблица1[[#This Row],[средняя стоимость в категории по поставщику.]]-1</f>
        <v>-0.92545117220441897</v>
      </c>
      <c r="O318" s="26">
        <f>VLOOKUP(Таблица1[[#This Row],[id клиента]],клиенты!$A$2:$E$435,5,0)</f>
        <v>44758</v>
      </c>
      <c r="P318">
        <f>Таблица1[[#This Row],[дата создания чека]]-Таблица1[[#This Row],[Дата регистрации клента]]</f>
        <v>282</v>
      </c>
      <c r="Q318" s="26">
        <f t="shared" ca="1" si="9"/>
        <v>46059</v>
      </c>
      <c r="R318" s="51">
        <f ca="1">(TODAY()-Таблица1[[#This Row],[Дата регистрации клента]])/30</f>
        <v>43.366666666666667</v>
      </c>
      <c r="S318" s="63" t="str">
        <f>VLOOKUP(Таблица1[[#This Row],[id клиента]],Таблица8[[id клиента]:[Страна]],7,0)</f>
        <v>Узбекистан</v>
      </c>
      <c r="T318" s="26"/>
    </row>
    <row r="319" spans="1:20" ht="19.5" x14ac:dyDescent="0.4">
      <c r="A319" s="37">
        <v>318</v>
      </c>
      <c r="B319" s="31">
        <v>331</v>
      </c>
      <c r="C319" s="31">
        <v>88</v>
      </c>
      <c r="D319" s="31">
        <v>3</v>
      </c>
      <c r="E319" s="31">
        <v>264</v>
      </c>
      <c r="F319" s="38">
        <v>45211</v>
      </c>
      <c r="G319" s="31" t="s">
        <v>8</v>
      </c>
      <c r="H319" s="31">
        <v>458</v>
      </c>
      <c r="I319" s="31" t="str">
        <f>VLOOKUP(продажи!$B319,товар!$A$1:$C$433,2)</f>
        <v>Соль</v>
      </c>
      <c r="J319" s="31" t="str">
        <f>VLOOKUP(B319,товар!$A$1:$C$433,3)</f>
        <v>Салта</v>
      </c>
      <c r="K319" s="39">
        <f>AVERAGEIF(продажи!$I$2:$I$1001,продажи!$I$2:$I$1001,продажи!$C$2:$C$1001)</f>
        <v>264.8679245283019</v>
      </c>
      <c r="L319" s="40">
        <f>продажи!$C319/продажи!$K319-1</f>
        <v>-0.66775894001994596</v>
      </c>
      <c r="M319" s="33">
        <f t="shared" si="8"/>
        <v>2737</v>
      </c>
      <c r="N319" s="24">
        <f>Таблица1[[#This Row],[цена за шт в рублях]]/Таблица1[[#This Row],[средняя стоимость в категории по поставщику.]]-1</f>
        <v>-0.9678480087687249</v>
      </c>
      <c r="O319" s="26">
        <f>VLOOKUP(Таблица1[[#This Row],[id клиента]],клиенты!$A$2:$E$435,5,0)</f>
        <v>44694</v>
      </c>
      <c r="P319">
        <f>Таблица1[[#This Row],[дата создания чека]]-Таблица1[[#This Row],[Дата регистрации клента]]</f>
        <v>517</v>
      </c>
      <c r="Q319" s="26">
        <f t="shared" ca="1" si="9"/>
        <v>46059</v>
      </c>
      <c r="R319" s="51">
        <f ca="1">(TODAY()-Таблица1[[#This Row],[Дата регистрации клента]])/30</f>
        <v>45.5</v>
      </c>
      <c r="S319" s="63" t="str">
        <f>VLOOKUP(Таблица1[[#This Row],[id клиента]],Таблица8[[id клиента]:[Страна]],7,0)</f>
        <v>Россия</v>
      </c>
      <c r="T319" s="26"/>
    </row>
    <row r="320" spans="1:20" ht="19.5" x14ac:dyDescent="0.4">
      <c r="A320" s="41">
        <v>319</v>
      </c>
      <c r="B320" s="42">
        <v>325</v>
      </c>
      <c r="C320" s="42">
        <v>99</v>
      </c>
      <c r="D320" s="42">
        <v>2</v>
      </c>
      <c r="E320" s="42">
        <v>198</v>
      </c>
      <c r="F320" s="43">
        <v>45184</v>
      </c>
      <c r="G320" s="42" t="s">
        <v>16</v>
      </c>
      <c r="H320" s="42">
        <v>11</v>
      </c>
      <c r="I320" s="42" t="str">
        <f>VLOOKUP(продажи!$B320,товар!$A$1:$C$433,2)</f>
        <v>Сок</v>
      </c>
      <c r="J320" s="42" t="str">
        <f>VLOOKUP(B320,товар!$A$1:$C$433,3)</f>
        <v>Добрый</v>
      </c>
      <c r="K320" s="44">
        <f>AVERAGEIF(продажи!$I$2:$I$1001,продажи!$I$2:$I$1001,продажи!$C$2:$C$1001)</f>
        <v>268.60344827586209</v>
      </c>
      <c r="L320" s="45">
        <f>продажи!$C320/продажи!$K320-1</f>
        <v>-0.63142692085499719</v>
      </c>
      <c r="M320" s="33">
        <f t="shared" si="8"/>
        <v>2671</v>
      </c>
      <c r="N320" s="24">
        <f>Таблица1[[#This Row],[цена за шт в рублях]]/Таблица1[[#This Row],[средняя стоимость в категории по поставщику.]]-1</f>
        <v>-0.96293523025084238</v>
      </c>
      <c r="O320" s="26">
        <f>VLOOKUP(Таблица1[[#This Row],[id клиента]],клиенты!$A$2:$E$435,5,0)</f>
        <v>44690</v>
      </c>
      <c r="P320">
        <f>Таблица1[[#This Row],[дата создания чека]]-Таблица1[[#This Row],[Дата регистрации клента]]</f>
        <v>494</v>
      </c>
      <c r="Q320" s="26">
        <f t="shared" ca="1" si="9"/>
        <v>46059</v>
      </c>
      <c r="R320" s="51">
        <f ca="1">(TODAY()-Таблица1[[#This Row],[Дата регистрации клента]])/30</f>
        <v>45.633333333333333</v>
      </c>
      <c r="S320" s="63" t="str">
        <f>VLOOKUP(Таблица1[[#This Row],[id клиента]],Таблица8[[id клиента]:[Страна]],7,0)</f>
        <v>Таджикистан</v>
      </c>
      <c r="T320" s="26"/>
    </row>
    <row r="321" spans="1:20" ht="19.5" x14ac:dyDescent="0.4">
      <c r="A321" s="37">
        <v>320</v>
      </c>
      <c r="B321" s="31">
        <v>346</v>
      </c>
      <c r="C321" s="31">
        <v>178</v>
      </c>
      <c r="D321" s="31">
        <v>5</v>
      </c>
      <c r="E321" s="31">
        <v>890</v>
      </c>
      <c r="F321" s="38">
        <v>45297</v>
      </c>
      <c r="G321" s="31" t="s">
        <v>22</v>
      </c>
      <c r="H321" s="31">
        <v>75</v>
      </c>
      <c r="I321" s="31" t="str">
        <f>VLOOKUP(продажи!$B321,товар!$A$1:$C$433,2)</f>
        <v>Чай</v>
      </c>
      <c r="J321" s="31" t="str">
        <f>VLOOKUP(B321,товар!$A$1:$C$433,3)</f>
        <v>Greenfield</v>
      </c>
      <c r="K321" s="39">
        <f>AVERAGEIF(продажи!$I$2:$I$1001,продажи!$I$2:$I$1001,продажи!$C$2:$C$1001)</f>
        <v>271.18181818181819</v>
      </c>
      <c r="L321" s="40">
        <f>продажи!$C321/продажи!$K321-1</f>
        <v>-0.34361381159906135</v>
      </c>
      <c r="M321" s="33">
        <f t="shared" si="8"/>
        <v>6412</v>
      </c>
      <c r="N321" s="24">
        <f>Таблица1[[#This Row],[цена за шт в рублях]]/Таблица1[[#This Row],[средняя стоимость в категории по поставщику.]]-1</f>
        <v>-0.97223955084217095</v>
      </c>
      <c r="O321" s="26">
        <f>VLOOKUP(Таблица1[[#This Row],[id клиента]],клиенты!$A$2:$E$435,5,0)</f>
        <v>44796</v>
      </c>
      <c r="P321">
        <f>Таблица1[[#This Row],[дата создания чека]]-Таблица1[[#This Row],[Дата регистрации клента]]</f>
        <v>501</v>
      </c>
      <c r="Q321" s="26">
        <f t="shared" ca="1" si="9"/>
        <v>46059</v>
      </c>
      <c r="R321" s="51">
        <f ca="1">(TODAY()-Таблица1[[#This Row],[Дата регистрации клента]])/30</f>
        <v>42.1</v>
      </c>
      <c r="S321" s="63" t="str">
        <f>VLOOKUP(Таблица1[[#This Row],[id клиента]],Таблица8[[id клиента]:[Страна]],7,0)</f>
        <v>Украина</v>
      </c>
      <c r="T321" s="26"/>
    </row>
    <row r="322" spans="1:20" ht="19.5" x14ac:dyDescent="0.4">
      <c r="A322" s="41">
        <v>321</v>
      </c>
      <c r="B322" s="42">
        <v>397</v>
      </c>
      <c r="C322" s="42">
        <v>299</v>
      </c>
      <c r="D322" s="42">
        <v>3</v>
      </c>
      <c r="E322" s="42">
        <v>897</v>
      </c>
      <c r="F322" s="43">
        <v>45064</v>
      </c>
      <c r="G322" s="42" t="s">
        <v>15</v>
      </c>
      <c r="H322" s="42">
        <v>29</v>
      </c>
      <c r="I322" s="42" t="str">
        <f>VLOOKUP(продажи!$B322,товар!$A$1:$C$433,2)</f>
        <v>Йогурт</v>
      </c>
      <c r="J322" s="42" t="str">
        <f>VLOOKUP(B322,товар!$A$1:$C$433,3)</f>
        <v>Ростагроэкспорт</v>
      </c>
      <c r="K322" s="44">
        <f>AVERAGEIF(продажи!$I$2:$I$1001,продажи!$I$2:$I$1001,продажи!$C$2:$C$1001)</f>
        <v>263.25423728813558</v>
      </c>
      <c r="L322" s="45">
        <f>продажи!$C322/продажи!$K322-1</f>
        <v>0.13578418748390431</v>
      </c>
      <c r="M322" s="33">
        <f t="shared" ref="M322:M385" si="10">SUMIFS($C$2:$C$1001,$I$2:$I$1001,I322,$J$2:$J$1001,J322)</f>
        <v>5929</v>
      </c>
      <c r="N322" s="24">
        <f>Таблица1[[#This Row],[цена за шт в рублях]]/Таблица1[[#This Row],[средняя стоимость в категории по поставщику.]]-1</f>
        <v>-0.94956991060887164</v>
      </c>
      <c r="O322" s="26">
        <f>VLOOKUP(Таблица1[[#This Row],[id клиента]],клиенты!$A$2:$E$435,5,0)</f>
        <v>44704</v>
      </c>
      <c r="P322">
        <f>Таблица1[[#This Row],[дата создания чека]]-Таблица1[[#This Row],[Дата регистрации клента]]</f>
        <v>360</v>
      </c>
      <c r="Q322" s="26">
        <f t="shared" ref="Q322:Q385" ca="1" si="11">TODAY()</f>
        <v>46059</v>
      </c>
      <c r="R322" s="51">
        <f ca="1">(TODAY()-Таблица1[[#This Row],[Дата регистрации клента]])/30</f>
        <v>45.166666666666664</v>
      </c>
      <c r="S322" s="63" t="str">
        <f>VLOOKUP(Таблица1[[#This Row],[id клиента]],Таблица8[[id клиента]:[Страна]],7,0)</f>
        <v>Россия</v>
      </c>
      <c r="T322" s="26"/>
    </row>
    <row r="323" spans="1:20" ht="19.5" x14ac:dyDescent="0.4">
      <c r="A323" s="37">
        <v>322</v>
      </c>
      <c r="B323" s="31">
        <v>115</v>
      </c>
      <c r="C323" s="31">
        <v>479</v>
      </c>
      <c r="D323" s="31">
        <v>1</v>
      </c>
      <c r="E323" s="31">
        <v>479</v>
      </c>
      <c r="F323" s="38">
        <v>45283</v>
      </c>
      <c r="G323" s="31" t="s">
        <v>20</v>
      </c>
      <c r="H323" s="31">
        <v>297</v>
      </c>
      <c r="I323" s="31" t="str">
        <f>VLOOKUP(продажи!$B323,товар!$A$1:$C$433,2)</f>
        <v>Сыр</v>
      </c>
      <c r="J323" s="31" t="str">
        <f>VLOOKUP(B323,товар!$A$1:$C$433,3)</f>
        <v>President</v>
      </c>
      <c r="K323" s="39">
        <f>AVERAGEIF(продажи!$I$2:$I$1001,продажи!$I$2:$I$1001,продажи!$C$2:$C$1001)</f>
        <v>261.03225806451616</v>
      </c>
      <c r="L323" s="40">
        <f>продажи!$C323/продажи!$K323-1</f>
        <v>0.83502224419179427</v>
      </c>
      <c r="M323" s="33">
        <f t="shared" si="10"/>
        <v>3935</v>
      </c>
      <c r="N323" s="24">
        <f>Таблица1[[#This Row],[цена за шт в рублях]]/Таблица1[[#This Row],[средняя стоимость в категории по поставщику.]]-1</f>
        <v>-0.87827191867852605</v>
      </c>
      <c r="O323" s="26">
        <f>VLOOKUP(Таблица1[[#This Row],[id клиента]],клиенты!$A$2:$E$435,5,0)</f>
        <v>44666</v>
      </c>
      <c r="P323">
        <f>Таблица1[[#This Row],[дата создания чека]]-Таблица1[[#This Row],[Дата регистрации клента]]</f>
        <v>617</v>
      </c>
      <c r="Q323" s="26">
        <f t="shared" ca="1" si="11"/>
        <v>46059</v>
      </c>
      <c r="R323" s="51">
        <f ca="1">(TODAY()-Таблица1[[#This Row],[Дата регистрации клента]])/30</f>
        <v>46.43333333333333</v>
      </c>
      <c r="S323" s="63" t="str">
        <f>VLOOKUP(Таблица1[[#This Row],[id клиента]],Таблица8[[id клиента]:[Страна]],7,0)</f>
        <v>Украина</v>
      </c>
      <c r="T323" s="26"/>
    </row>
    <row r="324" spans="1:20" ht="19.5" x14ac:dyDescent="0.4">
      <c r="A324" s="41">
        <v>323</v>
      </c>
      <c r="B324" s="42">
        <v>360</v>
      </c>
      <c r="C324" s="42">
        <v>463</v>
      </c>
      <c r="D324" s="42">
        <v>3</v>
      </c>
      <c r="E324" s="42">
        <v>1389</v>
      </c>
      <c r="F324" s="43">
        <v>45258</v>
      </c>
      <c r="G324" s="42" t="s">
        <v>27</v>
      </c>
      <c r="H324" s="42">
        <v>497</v>
      </c>
      <c r="I324" s="42" t="str">
        <f>VLOOKUP(продажи!$B324,товар!$A$1:$C$433,2)</f>
        <v>Соль</v>
      </c>
      <c r="J324" s="42" t="str">
        <f>VLOOKUP(B324,товар!$A$1:$C$433,3)</f>
        <v>Славянская</v>
      </c>
      <c r="K324" s="44">
        <f>AVERAGEIF(продажи!$I$2:$I$1001,продажи!$I$2:$I$1001,продажи!$C$2:$C$1001)</f>
        <v>264.8679245283019</v>
      </c>
      <c r="L324" s="45">
        <f>продажи!$C324/продажи!$K324-1</f>
        <v>0.74804103148596668</v>
      </c>
      <c r="M324" s="33">
        <f t="shared" si="10"/>
        <v>2843</v>
      </c>
      <c r="N324" s="24">
        <f>Таблица1[[#This Row],[цена за шт в рублях]]/Таблица1[[#This Row],[средняя стоимость в категории по поставщику.]]-1</f>
        <v>-0.8371438621174816</v>
      </c>
      <c r="O324" s="26">
        <f>VLOOKUP(Таблица1[[#This Row],[id клиента]],клиенты!$A$2:$E$435,5,0)</f>
        <v>44826</v>
      </c>
      <c r="P324">
        <f>Таблица1[[#This Row],[дата создания чека]]-Таблица1[[#This Row],[Дата регистрации клента]]</f>
        <v>432</v>
      </c>
      <c r="Q324" s="26">
        <f t="shared" ca="1" si="11"/>
        <v>46059</v>
      </c>
      <c r="R324" s="51">
        <f ca="1">(TODAY()-Таблица1[[#This Row],[Дата регистрации клента]])/30</f>
        <v>41.1</v>
      </c>
      <c r="S324" s="63" t="str">
        <f>VLOOKUP(Таблица1[[#This Row],[id клиента]],Таблица8[[id клиента]:[Страна]],7,0)</f>
        <v>Узбекистан</v>
      </c>
      <c r="T324" s="26"/>
    </row>
    <row r="325" spans="1:20" ht="19.5" x14ac:dyDescent="0.4">
      <c r="A325" s="37">
        <v>324</v>
      </c>
      <c r="B325" s="31">
        <v>230</v>
      </c>
      <c r="C325" s="31">
        <v>431</v>
      </c>
      <c r="D325" s="31">
        <v>3</v>
      </c>
      <c r="E325" s="31">
        <v>1293</v>
      </c>
      <c r="F325" s="38">
        <v>45282</v>
      </c>
      <c r="G325" s="31" t="s">
        <v>26</v>
      </c>
      <c r="H325" s="31">
        <v>191</v>
      </c>
      <c r="I325" s="31" t="str">
        <f>VLOOKUP(продажи!$B325,товар!$A$1:$C$433,2)</f>
        <v>Сок</v>
      </c>
      <c r="J325" s="31" t="str">
        <f>VLOOKUP(B325,товар!$A$1:$C$433,3)</f>
        <v>Фруктовый сад</v>
      </c>
      <c r="K325" s="39">
        <f>AVERAGEIF(продажи!$I$2:$I$1001,продажи!$I$2:$I$1001,продажи!$C$2:$C$1001)</f>
        <v>268.60344827586209</v>
      </c>
      <c r="L325" s="40">
        <f>продажи!$C325/продажи!$K325-1</f>
        <v>0.60459593041915394</v>
      </c>
      <c r="M325" s="33">
        <f t="shared" si="10"/>
        <v>9023</v>
      </c>
      <c r="N325" s="24">
        <f>Таблица1[[#This Row],[цена за шт в рублях]]/Таблица1[[#This Row],[средняя стоимость в категории по поставщику.]]-1</f>
        <v>-0.9522331818685581</v>
      </c>
      <c r="O325" s="26">
        <f>VLOOKUP(Таблица1[[#This Row],[id клиента]],клиенты!$A$2:$E$435,5,0)</f>
        <v>44866</v>
      </c>
      <c r="P325">
        <f>Таблица1[[#This Row],[дата создания чека]]-Таблица1[[#This Row],[Дата регистрации клента]]</f>
        <v>416</v>
      </c>
      <c r="Q325" s="26">
        <f t="shared" ca="1" si="11"/>
        <v>46059</v>
      </c>
      <c r="R325" s="51">
        <f ca="1">(TODAY()-Таблица1[[#This Row],[Дата регистрации клента]])/30</f>
        <v>39.766666666666666</v>
      </c>
      <c r="S325" s="63" t="str">
        <f>VLOOKUP(Таблица1[[#This Row],[id клиента]],Таблица8[[id клиента]:[Страна]],7,0)</f>
        <v>Украина</v>
      </c>
      <c r="T325" s="26"/>
    </row>
    <row r="326" spans="1:20" ht="19.5" x14ac:dyDescent="0.4">
      <c r="A326" s="41">
        <v>325</v>
      </c>
      <c r="B326" s="42">
        <v>229</v>
      </c>
      <c r="C326" s="42">
        <v>173</v>
      </c>
      <c r="D326" s="42">
        <v>4</v>
      </c>
      <c r="E326" s="42">
        <v>692</v>
      </c>
      <c r="F326" s="43">
        <v>45038</v>
      </c>
      <c r="G326" s="42" t="s">
        <v>24</v>
      </c>
      <c r="H326" s="42">
        <v>327</v>
      </c>
      <c r="I326" s="42" t="str">
        <f>VLOOKUP(продажи!$B326,товар!$A$1:$C$433,2)</f>
        <v>Мясо</v>
      </c>
      <c r="J326" s="42" t="str">
        <f>VLOOKUP(B326,товар!$A$1:$C$433,3)</f>
        <v>Сава</v>
      </c>
      <c r="K326" s="44">
        <f>AVERAGEIF(продажи!$I$2:$I$1001,продажи!$I$2:$I$1001,продажи!$C$2:$C$1001)</f>
        <v>271.74545454545455</v>
      </c>
      <c r="L326" s="45">
        <f>продажи!$C326/продажи!$K326-1</f>
        <v>-0.36337481600428212</v>
      </c>
      <c r="M326" s="33">
        <f t="shared" si="10"/>
        <v>3405</v>
      </c>
      <c r="N326" s="24">
        <f>Таблица1[[#This Row],[цена за шт в рублях]]/Таблица1[[#This Row],[средняя стоимость в категории по поставщику.]]-1</f>
        <v>-0.9491923641703377</v>
      </c>
      <c r="O326" s="26">
        <f>VLOOKUP(Таблица1[[#This Row],[id клиента]],клиенты!$A$2:$E$435,5,0)</f>
        <v>44565</v>
      </c>
      <c r="P326">
        <f>Таблица1[[#This Row],[дата создания чека]]-Таблица1[[#This Row],[Дата регистрации клента]]</f>
        <v>473</v>
      </c>
      <c r="Q326" s="26">
        <f t="shared" ca="1" si="11"/>
        <v>46059</v>
      </c>
      <c r="R326" s="51">
        <f ca="1">(TODAY()-Таблица1[[#This Row],[Дата регистрации клента]])/30</f>
        <v>49.8</v>
      </c>
      <c r="S326" s="63" t="str">
        <f>VLOOKUP(Таблица1[[#This Row],[id клиента]],Таблица8[[id клиента]:[Страна]],7,0)</f>
        <v>Таджикистан</v>
      </c>
      <c r="T326" s="26"/>
    </row>
    <row r="327" spans="1:20" ht="19.5" x14ac:dyDescent="0.4">
      <c r="A327" s="37">
        <v>326</v>
      </c>
      <c r="B327" s="31">
        <v>486</v>
      </c>
      <c r="C327" s="31">
        <v>213</v>
      </c>
      <c r="D327" s="31">
        <v>1</v>
      </c>
      <c r="E327" s="31">
        <v>213</v>
      </c>
      <c r="F327" s="38">
        <v>45279</v>
      </c>
      <c r="G327" s="31" t="s">
        <v>26</v>
      </c>
      <c r="H327" s="31">
        <v>58</v>
      </c>
      <c r="I327" s="31" t="str">
        <f>VLOOKUP(продажи!$B327,товар!$A$1:$C$433,2)</f>
        <v>Соль</v>
      </c>
      <c r="J327" s="31" t="str">
        <f>VLOOKUP(B327,товар!$A$1:$C$433,3)</f>
        <v>Илецкая</v>
      </c>
      <c r="K327" s="39">
        <f>AVERAGEIF(продажи!$I$2:$I$1001,продажи!$I$2:$I$1001,продажи!$C$2:$C$1001)</f>
        <v>264.8679245283019</v>
      </c>
      <c r="L327" s="40">
        <f>продажи!$C327/продажи!$K327-1</f>
        <v>-0.19582561618464167</v>
      </c>
      <c r="M327" s="33">
        <f t="shared" si="10"/>
        <v>4287</v>
      </c>
      <c r="N327" s="24">
        <f>Таблица1[[#This Row],[цена за шт в рублях]]/Таблица1[[#This Row],[средняя стоимость в категории по поставщику.]]-1</f>
        <v>-0.95031490552834152</v>
      </c>
      <c r="O327" s="26">
        <f>VLOOKUP(Таблица1[[#This Row],[id клиента]],клиенты!$A$2:$E$435,5,0)</f>
        <v>44628</v>
      </c>
      <c r="P327">
        <f>Таблица1[[#This Row],[дата создания чека]]-Таблица1[[#This Row],[Дата регистрации клента]]</f>
        <v>651</v>
      </c>
      <c r="Q327" s="26">
        <f t="shared" ca="1" si="11"/>
        <v>46059</v>
      </c>
      <c r="R327" s="51">
        <f ca="1">(TODAY()-Таблица1[[#This Row],[Дата регистрации клента]])/30</f>
        <v>47.7</v>
      </c>
      <c r="S327" s="63" t="str">
        <f>VLOOKUP(Таблица1[[#This Row],[id клиента]],Таблица8[[id клиента]:[Страна]],7,0)</f>
        <v>Беларусь</v>
      </c>
      <c r="T327" s="26"/>
    </row>
    <row r="328" spans="1:20" ht="19.5" x14ac:dyDescent="0.4">
      <c r="A328" s="41">
        <v>327</v>
      </c>
      <c r="B328" s="42">
        <v>353</v>
      </c>
      <c r="C328" s="42">
        <v>115</v>
      </c>
      <c r="D328" s="42">
        <v>2</v>
      </c>
      <c r="E328" s="42">
        <v>230</v>
      </c>
      <c r="F328" s="43">
        <v>45087</v>
      </c>
      <c r="G328" s="42" t="s">
        <v>21</v>
      </c>
      <c r="H328" s="42">
        <v>446</v>
      </c>
      <c r="I328" s="42" t="str">
        <f>VLOOKUP(продажи!$B328,товар!$A$1:$C$433,2)</f>
        <v>Макароны</v>
      </c>
      <c r="J328" s="42" t="str">
        <f>VLOOKUP(B328,товар!$A$1:$C$433,3)</f>
        <v>Паста Зара</v>
      </c>
      <c r="K328" s="44">
        <f>AVERAGEIF(продажи!$I$2:$I$1001,продажи!$I$2:$I$1001,продажи!$C$2:$C$1001)</f>
        <v>265.47674418604652</v>
      </c>
      <c r="L328" s="45">
        <f>продажи!$C328/продажи!$K328-1</f>
        <v>-0.56681704699750335</v>
      </c>
      <c r="M328" s="33">
        <f t="shared" si="10"/>
        <v>10237</v>
      </c>
      <c r="N328" s="24">
        <f>Таблица1[[#This Row],[цена за шт в рублях]]/Таблица1[[#This Row],[средняя стоимость в категории по поставщику.]]-1</f>
        <v>-0.98876624010940706</v>
      </c>
      <c r="O328" s="26">
        <f>VLOOKUP(Таблица1[[#This Row],[id клиента]],клиенты!$A$2:$E$435,5,0)</f>
        <v>44671</v>
      </c>
      <c r="P328">
        <f>Таблица1[[#This Row],[дата создания чека]]-Таблица1[[#This Row],[Дата регистрации клента]]</f>
        <v>416</v>
      </c>
      <c r="Q328" s="26">
        <f t="shared" ca="1" si="11"/>
        <v>46059</v>
      </c>
      <c r="R328" s="51">
        <f ca="1">(TODAY()-Таблица1[[#This Row],[Дата регистрации клента]])/30</f>
        <v>46.266666666666666</v>
      </c>
      <c r="S328" s="63" t="str">
        <f>VLOOKUP(Таблица1[[#This Row],[id клиента]],Таблица8[[id клиента]:[Страна]],7,0)</f>
        <v>Таджикистан</v>
      </c>
      <c r="T328" s="26"/>
    </row>
    <row r="329" spans="1:20" ht="19.5" x14ac:dyDescent="0.4">
      <c r="A329" s="37">
        <v>328</v>
      </c>
      <c r="B329" s="31">
        <v>65</v>
      </c>
      <c r="C329" s="31">
        <v>455</v>
      </c>
      <c r="D329" s="31">
        <v>5</v>
      </c>
      <c r="E329" s="31">
        <v>2275</v>
      </c>
      <c r="F329" s="38">
        <v>45370</v>
      </c>
      <c r="G329" s="31" t="s">
        <v>17</v>
      </c>
      <c r="H329" s="31">
        <v>117</v>
      </c>
      <c r="I329" s="31" t="str">
        <f>VLOOKUP(продажи!$B329,товар!$A$1:$C$433,2)</f>
        <v>Хлеб</v>
      </c>
      <c r="J329" s="31" t="str">
        <f>VLOOKUP(B329,товар!$A$1:$C$433,3)</f>
        <v>Хлебный Дом</v>
      </c>
      <c r="K329" s="39">
        <f>AVERAGEIF(продажи!$I$2:$I$1001,продажи!$I$2:$I$1001,продажи!$C$2:$C$1001)</f>
        <v>300.31818181818181</v>
      </c>
      <c r="L329" s="40">
        <f>продажи!$C329/продажи!$K329-1</f>
        <v>0.51505978507643402</v>
      </c>
      <c r="M329" s="33">
        <f t="shared" si="10"/>
        <v>4226</v>
      </c>
      <c r="N329" s="24">
        <f>Таблица1[[#This Row],[цена за шт в рублях]]/Таблица1[[#This Row],[средняя стоимость в категории по поставщику.]]-1</f>
        <v>-0.89233317557974445</v>
      </c>
      <c r="O329" s="26">
        <f>VLOOKUP(Таблица1[[#This Row],[id клиента]],клиенты!$A$2:$E$435,5,0)</f>
        <v>44706</v>
      </c>
      <c r="P329">
        <f>Таблица1[[#This Row],[дата создания чека]]-Таблица1[[#This Row],[Дата регистрации клента]]</f>
        <v>664</v>
      </c>
      <c r="Q329" s="26">
        <f t="shared" ca="1" si="11"/>
        <v>46059</v>
      </c>
      <c r="R329" s="51">
        <f ca="1">(TODAY()-Таблица1[[#This Row],[Дата регистрации клента]])/30</f>
        <v>45.1</v>
      </c>
      <c r="S329" s="63" t="str">
        <f>VLOOKUP(Таблица1[[#This Row],[id клиента]],Таблица8[[id клиента]:[Страна]],7,0)</f>
        <v>Украина</v>
      </c>
      <c r="T329" s="26"/>
    </row>
    <row r="330" spans="1:20" ht="19.5" x14ac:dyDescent="0.4">
      <c r="A330" s="41">
        <v>329</v>
      </c>
      <c r="B330" s="42">
        <v>490</v>
      </c>
      <c r="C330" s="42">
        <v>176</v>
      </c>
      <c r="D330" s="42">
        <v>3</v>
      </c>
      <c r="E330" s="42">
        <v>528</v>
      </c>
      <c r="F330" s="43">
        <v>45183</v>
      </c>
      <c r="G330" s="42" t="s">
        <v>23</v>
      </c>
      <c r="H330" s="42">
        <v>32</v>
      </c>
      <c r="I330" s="42" t="str">
        <f>VLOOKUP(продажи!$B330,товар!$A$1:$C$433,2)</f>
        <v>Сыр</v>
      </c>
      <c r="J330" s="42" t="str">
        <f>VLOOKUP(B330,товар!$A$1:$C$433,3)</f>
        <v>Сырная долина</v>
      </c>
      <c r="K330" s="44">
        <f>AVERAGEIF(продажи!$I$2:$I$1001,продажи!$I$2:$I$1001,продажи!$C$2:$C$1001)</f>
        <v>261.03225806451616</v>
      </c>
      <c r="L330" s="45">
        <f>продажи!$C330/продажи!$K330-1</f>
        <v>-0.32575383094414245</v>
      </c>
      <c r="M330" s="33">
        <f t="shared" si="10"/>
        <v>8943</v>
      </c>
      <c r="N330" s="24">
        <f>Таблица1[[#This Row],[цена за шт в рублях]]/Таблица1[[#This Row],[средняя стоимость в категории по поставщику.]]-1</f>
        <v>-0.98031980319803202</v>
      </c>
      <c r="O330" s="26">
        <f>VLOOKUP(Таблица1[[#This Row],[id клиента]],клиенты!$A$2:$E$435,5,0)</f>
        <v>44922</v>
      </c>
      <c r="P330">
        <f>Таблица1[[#This Row],[дата создания чека]]-Таблица1[[#This Row],[Дата регистрации клента]]</f>
        <v>261</v>
      </c>
      <c r="Q330" s="26">
        <f t="shared" ca="1" si="11"/>
        <v>46059</v>
      </c>
      <c r="R330" s="51">
        <f ca="1">(TODAY()-Таблица1[[#This Row],[Дата регистрации клента]])/30</f>
        <v>37.9</v>
      </c>
      <c r="S330" s="63" t="str">
        <f>VLOOKUP(Таблица1[[#This Row],[id клиента]],Таблица8[[id клиента]:[Страна]],7,0)</f>
        <v>Узбекистан</v>
      </c>
      <c r="T330" s="26"/>
    </row>
    <row r="331" spans="1:20" ht="19.5" x14ac:dyDescent="0.4">
      <c r="A331" s="41">
        <v>839</v>
      </c>
      <c r="B331" s="42">
        <v>334</v>
      </c>
      <c r="C331" s="42">
        <v>223</v>
      </c>
      <c r="D331" s="42">
        <v>2</v>
      </c>
      <c r="E331" s="42">
        <v>446</v>
      </c>
      <c r="F331" s="58">
        <v>45234</v>
      </c>
      <c r="G331" s="42" t="s">
        <v>12</v>
      </c>
      <c r="H331" s="56">
        <v>216</v>
      </c>
      <c r="I331" s="42" t="str">
        <f>VLOOKUP(продажи!$B840,товар!$A$1:$C$433,2)</f>
        <v>Молоко</v>
      </c>
      <c r="J331" s="42" t="str">
        <f>VLOOKUP(B331,товар!$A$1:$C$433,3)</f>
        <v>Домик в деревне</v>
      </c>
      <c r="K331" s="44">
        <f>AVERAGEIF(продажи!$I$2:$I$1001,продажи!$I$2:$I$1001,продажи!$C$2:$C$1001)</f>
        <v>294.95238095238096</v>
      </c>
      <c r="L331" s="45">
        <f>продажи!$C840/продажи!$K840-1</f>
        <v>4.7626735550532651E-2</v>
      </c>
      <c r="M331" s="53">
        <f t="shared" si="10"/>
        <v>4946</v>
      </c>
      <c r="N331" s="24">
        <f>Таблица1[[#This Row],[цена за шт в рублях]]/Таблица1[[#This Row],[средняя стоимость в категории по поставщику.]]-1</f>
        <v>-0.95491306105944196</v>
      </c>
      <c r="O331" s="26">
        <f>VLOOKUP(Таблица1[[#This Row],[id клиента]],клиенты!$A$2:$E$435,5,0)</f>
        <v>44655</v>
      </c>
      <c r="P331">
        <f>Таблица1[[#This Row],[дата создания чека]]-Таблица1[[#This Row],[Дата регистрации клента]]</f>
        <v>579</v>
      </c>
      <c r="Q331" s="26">
        <f t="shared" ca="1" si="11"/>
        <v>46059</v>
      </c>
      <c r="R331" s="51">
        <f ca="1">(TODAY()-Таблица1[[#This Row],[Дата регистрации клента]])/30</f>
        <v>46.8</v>
      </c>
      <c r="S331" s="63" t="str">
        <f>VLOOKUP(Таблица1[[#This Row],[id клиента]],Таблица8[[id клиента]:[Страна]],7,0)</f>
        <v>Таджикистан</v>
      </c>
      <c r="T331" s="26"/>
    </row>
    <row r="332" spans="1:20" ht="19.5" x14ac:dyDescent="0.4">
      <c r="A332" s="41">
        <v>331</v>
      </c>
      <c r="B332" s="42">
        <v>17</v>
      </c>
      <c r="C332" s="42">
        <v>212</v>
      </c>
      <c r="D332" s="42">
        <v>3</v>
      </c>
      <c r="E332" s="42">
        <v>636</v>
      </c>
      <c r="F332" s="43">
        <v>45366</v>
      </c>
      <c r="G332" s="42" t="s">
        <v>24</v>
      </c>
      <c r="H332" s="42">
        <v>111</v>
      </c>
      <c r="I332" s="42" t="str">
        <f>VLOOKUP(продажи!$B332,товар!$A$1:$C$433,2)</f>
        <v>Кофе</v>
      </c>
      <c r="J332" s="42" t="str">
        <f>VLOOKUP(B332,товар!$A$1:$C$433,3)</f>
        <v>Jacobs</v>
      </c>
      <c r="K332" s="44">
        <f>AVERAGEIF(продажи!$I$2:$I$1001,продажи!$I$2:$I$1001,продажи!$C$2:$C$1001)</f>
        <v>249.02380952380952</v>
      </c>
      <c r="L332" s="45">
        <f>продажи!$C332/продажи!$K332-1</f>
        <v>-0.14867578162348216</v>
      </c>
      <c r="M332" s="33">
        <f t="shared" si="10"/>
        <v>5248</v>
      </c>
      <c r="N332" s="24">
        <f>Таблица1[[#This Row],[цена за шт в рублях]]/Таблица1[[#This Row],[средняя стоимость в категории по поставщику.]]-1</f>
        <v>-0.95960365853658536</v>
      </c>
      <c r="O332" s="26">
        <f>VLOOKUP(Таблица1[[#This Row],[id клиента]],клиенты!$A$2:$E$435,5,0)</f>
        <v>44804</v>
      </c>
      <c r="P332">
        <f>Таблица1[[#This Row],[дата создания чека]]-Таблица1[[#This Row],[Дата регистрации клента]]</f>
        <v>562</v>
      </c>
      <c r="Q332" s="26">
        <f t="shared" ca="1" si="11"/>
        <v>46059</v>
      </c>
      <c r="R332" s="51">
        <f ca="1">(TODAY()-Таблица1[[#This Row],[Дата регистрации клента]])/30</f>
        <v>41.833333333333336</v>
      </c>
      <c r="S332" s="63" t="str">
        <f>VLOOKUP(Таблица1[[#This Row],[id клиента]],Таблица8[[id клиента]:[Страна]],7,0)</f>
        <v>Узбекистан</v>
      </c>
      <c r="T332" s="26"/>
    </row>
    <row r="333" spans="1:20" ht="19.5" x14ac:dyDescent="0.4">
      <c r="A333" s="37">
        <v>332</v>
      </c>
      <c r="B333" s="31">
        <v>405</v>
      </c>
      <c r="C333" s="31">
        <v>389</v>
      </c>
      <c r="D333" s="31">
        <v>5</v>
      </c>
      <c r="E333" s="31">
        <v>1945</v>
      </c>
      <c r="F333" s="38">
        <v>45009</v>
      </c>
      <c r="G333" s="31" t="s">
        <v>14</v>
      </c>
      <c r="H333" s="31">
        <v>231</v>
      </c>
      <c r="I333" s="31" t="str">
        <f>VLOOKUP(продажи!$B333,товар!$A$1:$C$433,2)</f>
        <v>Хлеб</v>
      </c>
      <c r="J333" s="31" t="str">
        <f>VLOOKUP(B333,товар!$A$1:$C$433,3)</f>
        <v>Каравай</v>
      </c>
      <c r="K333" s="39">
        <f>AVERAGEIF(продажи!$I$2:$I$1001,продажи!$I$2:$I$1001,продажи!$C$2:$C$1001)</f>
        <v>300.31818181818181</v>
      </c>
      <c r="L333" s="40">
        <f>продажи!$C333/продажи!$K333-1</f>
        <v>0.29529287119721515</v>
      </c>
      <c r="M333" s="33">
        <f t="shared" si="10"/>
        <v>3974</v>
      </c>
      <c r="N333" s="24">
        <f>Таблица1[[#This Row],[цена за шт в рублях]]/Таблица1[[#This Row],[средняя стоимость в категории по поставщику.]]-1</f>
        <v>-0.90211373930548566</v>
      </c>
      <c r="O333" s="26">
        <f>VLOOKUP(Таблица1[[#This Row],[id клиента]],клиенты!$A$2:$E$435,5,0)</f>
        <v>44752</v>
      </c>
      <c r="P333">
        <f>Таблица1[[#This Row],[дата создания чека]]-Таблица1[[#This Row],[Дата регистрации клента]]</f>
        <v>257</v>
      </c>
      <c r="Q333" s="26">
        <f t="shared" ca="1" si="11"/>
        <v>46059</v>
      </c>
      <c r="R333" s="51">
        <f ca="1">(TODAY()-Таблица1[[#This Row],[Дата регистрации клента]])/30</f>
        <v>43.56666666666667</v>
      </c>
      <c r="S333" s="63" t="str">
        <f>VLOOKUP(Таблица1[[#This Row],[id клиента]],Таблица8[[id клиента]:[Страна]],7,0)</f>
        <v>Россия</v>
      </c>
      <c r="T333" s="26"/>
    </row>
    <row r="334" spans="1:20" ht="19.5" x14ac:dyDescent="0.4">
      <c r="A334" s="41">
        <v>333</v>
      </c>
      <c r="B334" s="42">
        <v>23</v>
      </c>
      <c r="C334" s="42">
        <v>476</v>
      </c>
      <c r="D334" s="42">
        <v>3</v>
      </c>
      <c r="E334" s="42">
        <v>1428</v>
      </c>
      <c r="F334" s="43">
        <v>45102</v>
      </c>
      <c r="G334" s="42" t="s">
        <v>10</v>
      </c>
      <c r="H334" s="42">
        <v>283</v>
      </c>
      <c r="I334" s="42" t="str">
        <f>VLOOKUP(продажи!$B334,товар!$A$1:$C$433,2)</f>
        <v>Рыба</v>
      </c>
      <c r="J334" s="42" t="str">
        <f>VLOOKUP(B334,товар!$A$1:$C$433,3)</f>
        <v>Санта Бремор</v>
      </c>
      <c r="K334" s="44">
        <f>AVERAGEIF(продажи!$I$2:$I$1001,продажи!$I$2:$I$1001,продажи!$C$2:$C$1001)</f>
        <v>258.5128205128205</v>
      </c>
      <c r="L334" s="45">
        <f>продажи!$C334/продажи!$K334-1</f>
        <v>0.8413013291013689</v>
      </c>
      <c r="M334" s="33">
        <f t="shared" si="10"/>
        <v>2164</v>
      </c>
      <c r="N334" s="24">
        <f>Таблица1[[#This Row],[цена за шт в рублях]]/Таблица1[[#This Row],[средняя стоимость в категории по поставщику.]]-1</f>
        <v>-0.78003696857670979</v>
      </c>
      <c r="O334" s="26">
        <f>VLOOKUP(Таблица1[[#This Row],[id клиента]],клиенты!$A$2:$E$435,5,0)</f>
        <v>44889</v>
      </c>
      <c r="P334">
        <f>Таблица1[[#This Row],[дата создания чека]]-Таблица1[[#This Row],[Дата регистрации клента]]</f>
        <v>213</v>
      </c>
      <c r="Q334" s="26">
        <f t="shared" ca="1" si="11"/>
        <v>46059</v>
      </c>
      <c r="R334" s="51">
        <f ca="1">(TODAY()-Таблица1[[#This Row],[Дата регистрации клента]])/30</f>
        <v>39</v>
      </c>
      <c r="S334" s="63" t="str">
        <f>VLOOKUP(Таблица1[[#This Row],[id клиента]],Таблица8[[id клиента]:[Страна]],7,0)</f>
        <v>Таджикистан</v>
      </c>
      <c r="T334" s="26"/>
    </row>
    <row r="335" spans="1:20" ht="19.5" x14ac:dyDescent="0.4">
      <c r="A335" s="37">
        <v>334</v>
      </c>
      <c r="B335" s="31">
        <v>99</v>
      </c>
      <c r="C335" s="31">
        <v>51</v>
      </c>
      <c r="D335" s="31">
        <v>5</v>
      </c>
      <c r="E335" s="31">
        <v>255</v>
      </c>
      <c r="F335" s="38">
        <v>45423</v>
      </c>
      <c r="G335" s="31" t="s">
        <v>16</v>
      </c>
      <c r="H335" s="31">
        <v>265</v>
      </c>
      <c r="I335" s="31" t="str">
        <f>VLOOKUP(продажи!$B335,товар!$A$1:$C$433,2)</f>
        <v>Овощи</v>
      </c>
      <c r="J335" s="31" t="str">
        <f>VLOOKUP(B335,товар!$A$1:$C$433,3)</f>
        <v>Семко</v>
      </c>
      <c r="K335" s="39">
        <f>AVERAGEIF(продажи!$I$2:$I$1001,продажи!$I$2:$I$1001,продажи!$C$2:$C$1001)</f>
        <v>250.48780487804879</v>
      </c>
      <c r="L335" s="40">
        <f>продажи!$C335/продажи!$K335-1</f>
        <v>-0.79639727361246349</v>
      </c>
      <c r="M335" s="33">
        <f t="shared" si="10"/>
        <v>2080</v>
      </c>
      <c r="N335" s="24">
        <f>Таблица1[[#This Row],[цена за шт в рублях]]/Таблица1[[#This Row],[средняя стоимость в категории по поставщику.]]-1</f>
        <v>-0.97548076923076921</v>
      </c>
      <c r="O335" s="26">
        <f>VLOOKUP(Таблица1[[#This Row],[id клиента]],клиенты!$A$2:$E$435,5,0)</f>
        <v>44756</v>
      </c>
      <c r="P335">
        <f>Таблица1[[#This Row],[дата создания чека]]-Таблица1[[#This Row],[Дата регистрации клента]]</f>
        <v>667</v>
      </c>
      <c r="Q335" s="26">
        <f t="shared" ca="1" si="11"/>
        <v>46059</v>
      </c>
      <c r="R335" s="51">
        <f ca="1">(TODAY()-Таблица1[[#This Row],[Дата регистрации клента]])/30</f>
        <v>43.43333333333333</v>
      </c>
      <c r="S335" s="63" t="str">
        <f>VLOOKUP(Таблица1[[#This Row],[id клиента]],Таблица8[[id клиента]:[Страна]],7,0)</f>
        <v>Узбекистан</v>
      </c>
      <c r="T335" s="26"/>
    </row>
    <row r="336" spans="1:20" ht="19.5" x14ac:dyDescent="0.4">
      <c r="A336" s="41">
        <v>335</v>
      </c>
      <c r="B336" s="42">
        <v>196</v>
      </c>
      <c r="C336" s="42">
        <v>452</v>
      </c>
      <c r="D336" s="42">
        <v>2</v>
      </c>
      <c r="E336" s="42">
        <v>904</v>
      </c>
      <c r="F336" s="43">
        <v>45337</v>
      </c>
      <c r="G336" s="42" t="s">
        <v>8</v>
      </c>
      <c r="H336" s="42">
        <v>136</v>
      </c>
      <c r="I336" s="42" t="str">
        <f>VLOOKUP(продажи!$B336,товар!$A$1:$C$433,2)</f>
        <v>Конфеты</v>
      </c>
      <c r="J336" s="42" t="str">
        <f>VLOOKUP(B336,товар!$A$1:$C$433,3)</f>
        <v>Рот Фронт</v>
      </c>
      <c r="K336" s="44">
        <f>AVERAGEIF(продажи!$I$2:$I$1001,продажи!$I$2:$I$1001,продажи!$C$2:$C$1001)</f>
        <v>267.85483870967744</v>
      </c>
      <c r="L336" s="45">
        <f>продажи!$C336/продажи!$K336-1</f>
        <v>0.68748118263382896</v>
      </c>
      <c r="M336" s="33">
        <f t="shared" si="10"/>
        <v>6053</v>
      </c>
      <c r="N336" s="24">
        <f>Таблица1[[#This Row],[цена за шт в рублях]]/Таблица1[[#This Row],[средняя стоимость в категории по поставщику.]]-1</f>
        <v>-0.92532628448703125</v>
      </c>
      <c r="O336" s="26">
        <f>VLOOKUP(Таблица1[[#This Row],[id клиента]],клиенты!$A$2:$E$435,5,0)</f>
        <v>44860</v>
      </c>
      <c r="P336">
        <f>Таблица1[[#This Row],[дата создания чека]]-Таблица1[[#This Row],[Дата регистрации клента]]</f>
        <v>477</v>
      </c>
      <c r="Q336" s="26">
        <f t="shared" ca="1" si="11"/>
        <v>46059</v>
      </c>
      <c r="R336" s="51">
        <f ca="1">(TODAY()-Таблица1[[#This Row],[Дата регистрации клента]])/30</f>
        <v>39.966666666666669</v>
      </c>
      <c r="S336" s="63" t="str">
        <f>VLOOKUP(Таблица1[[#This Row],[id клиента]],Таблица8[[id клиента]:[Страна]],7,0)</f>
        <v>Украина</v>
      </c>
      <c r="T336" s="26"/>
    </row>
    <row r="337" spans="1:20" ht="19.5" x14ac:dyDescent="0.4">
      <c r="A337" s="37">
        <v>336</v>
      </c>
      <c r="B337" s="31">
        <v>415</v>
      </c>
      <c r="C337" s="31">
        <v>222</v>
      </c>
      <c r="D337" s="31">
        <v>3</v>
      </c>
      <c r="E337" s="31">
        <v>666</v>
      </c>
      <c r="F337" s="38">
        <v>45161</v>
      </c>
      <c r="G337" s="31" t="s">
        <v>25</v>
      </c>
      <c r="H337" s="31">
        <v>395</v>
      </c>
      <c r="I337" s="31" t="str">
        <f>VLOOKUP(продажи!$B337,товар!$A$1:$C$433,2)</f>
        <v>Чипсы</v>
      </c>
      <c r="J337" s="31" t="str">
        <f>VLOOKUP(B337,товар!$A$1:$C$433,3)</f>
        <v>Pringles</v>
      </c>
      <c r="K337" s="39">
        <f>AVERAGEIF(продажи!$I$2:$I$1001,продажи!$I$2:$I$1001,продажи!$C$2:$C$1001)</f>
        <v>273.72549019607845</v>
      </c>
      <c r="L337" s="40">
        <f>продажи!$C337/продажи!$K337-1</f>
        <v>-0.18896848137535827</v>
      </c>
      <c r="M337" s="33">
        <f t="shared" si="10"/>
        <v>5885</v>
      </c>
      <c r="N337" s="24">
        <f>Таблица1[[#This Row],[цена за шт в рублях]]/Таблица1[[#This Row],[средняя стоимость в категории по поставщику.]]-1</f>
        <v>-0.96227697536108747</v>
      </c>
      <c r="O337" s="26">
        <f>VLOOKUP(Таблица1[[#This Row],[id клиента]],клиенты!$A$2:$E$435,5,0)</f>
        <v>44890</v>
      </c>
      <c r="P337">
        <f>Таблица1[[#This Row],[дата создания чека]]-Таблица1[[#This Row],[Дата регистрации клента]]</f>
        <v>271</v>
      </c>
      <c r="Q337" s="26">
        <f t="shared" ca="1" si="11"/>
        <v>46059</v>
      </c>
      <c r="R337" s="51">
        <f ca="1">(TODAY()-Таблица1[[#This Row],[Дата регистрации клента]])/30</f>
        <v>38.966666666666669</v>
      </c>
      <c r="S337" s="63" t="str">
        <f>VLOOKUP(Таблица1[[#This Row],[id клиента]],Таблица8[[id клиента]:[Страна]],7,0)</f>
        <v>Узбекистан</v>
      </c>
      <c r="T337" s="26"/>
    </row>
    <row r="338" spans="1:20" ht="19.5" x14ac:dyDescent="0.4">
      <c r="A338" s="41">
        <v>337</v>
      </c>
      <c r="B338" s="42">
        <v>328</v>
      </c>
      <c r="C338" s="42">
        <v>100</v>
      </c>
      <c r="D338" s="42">
        <v>1</v>
      </c>
      <c r="E338" s="42">
        <v>100</v>
      </c>
      <c r="F338" s="43">
        <v>45077</v>
      </c>
      <c r="G338" s="42" t="s">
        <v>13</v>
      </c>
      <c r="H338" s="42">
        <v>391</v>
      </c>
      <c r="I338" s="42" t="str">
        <f>VLOOKUP(продажи!$B338,товар!$A$1:$C$433,2)</f>
        <v>Чипсы</v>
      </c>
      <c r="J338" s="42" t="str">
        <f>VLOOKUP(B338,товар!$A$1:$C$433,3)</f>
        <v>Русская картошка</v>
      </c>
      <c r="K338" s="44">
        <f>AVERAGEIF(продажи!$I$2:$I$1001,продажи!$I$2:$I$1001,продажи!$C$2:$C$1001)</f>
        <v>273.72549019607845</v>
      </c>
      <c r="L338" s="45">
        <f>продажи!$C338/продажи!$K338-1</f>
        <v>-0.63467048710601714</v>
      </c>
      <c r="M338" s="33">
        <f t="shared" si="10"/>
        <v>2902</v>
      </c>
      <c r="N338" s="24">
        <f>Таблица1[[#This Row],[цена за шт в рублях]]/Таблица1[[#This Row],[средняя стоимость в категории по поставщику.]]-1</f>
        <v>-0.96554100620261885</v>
      </c>
      <c r="O338" s="26">
        <f>VLOOKUP(Таблица1[[#This Row],[id клиента]],клиенты!$A$2:$E$435,5,0)</f>
        <v>44675</v>
      </c>
      <c r="P338">
        <f>Таблица1[[#This Row],[дата создания чека]]-Таблица1[[#This Row],[Дата регистрации клента]]</f>
        <v>402</v>
      </c>
      <c r="Q338" s="26">
        <f t="shared" ca="1" si="11"/>
        <v>46059</v>
      </c>
      <c r="R338" s="51">
        <f ca="1">(TODAY()-Таблица1[[#This Row],[Дата регистрации клента]])/30</f>
        <v>46.133333333333333</v>
      </c>
      <c r="S338" s="63" t="str">
        <f>VLOOKUP(Таблица1[[#This Row],[id клиента]],Таблица8[[id клиента]:[Страна]],7,0)</f>
        <v>Таджикистан</v>
      </c>
      <c r="T338" s="26"/>
    </row>
    <row r="339" spans="1:20" ht="19.5" x14ac:dyDescent="0.4">
      <c r="A339" s="37">
        <v>338</v>
      </c>
      <c r="B339" s="31">
        <v>271</v>
      </c>
      <c r="C339" s="31">
        <v>382</v>
      </c>
      <c r="D339" s="31">
        <v>1</v>
      </c>
      <c r="E339" s="31">
        <v>382</v>
      </c>
      <c r="F339" s="38">
        <v>45182</v>
      </c>
      <c r="G339" s="31" t="s">
        <v>9</v>
      </c>
      <c r="H339" s="31">
        <v>355</v>
      </c>
      <c r="I339" s="31" t="str">
        <f>VLOOKUP(продажи!$B339,товар!$A$1:$C$433,2)</f>
        <v>Сыр</v>
      </c>
      <c r="J339" s="31" t="str">
        <f>VLOOKUP(B339,товар!$A$1:$C$433,3)</f>
        <v>Сырная долина</v>
      </c>
      <c r="K339" s="39">
        <f>AVERAGEIF(продажи!$I$2:$I$1001,продажи!$I$2:$I$1001,продажи!$C$2:$C$1001)</f>
        <v>261.03225806451616</v>
      </c>
      <c r="L339" s="40">
        <f>продажи!$C339/продажи!$K339-1</f>
        <v>0.46342066238260005</v>
      </c>
      <c r="M339" s="33">
        <f t="shared" si="10"/>
        <v>8943</v>
      </c>
      <c r="N339" s="24">
        <f>Таблица1[[#This Row],[цена за шт в рублях]]/Таблица1[[#This Row],[средняя стоимость в категории по поставщику.]]-1</f>
        <v>-0.95728502739572852</v>
      </c>
      <c r="O339" s="26">
        <f>VLOOKUP(Таблица1[[#This Row],[id клиента]],клиенты!$A$2:$E$435,5,0)</f>
        <v>44631</v>
      </c>
      <c r="P339">
        <f>Таблица1[[#This Row],[дата создания чека]]-Таблица1[[#This Row],[Дата регистрации клента]]</f>
        <v>551</v>
      </c>
      <c r="Q339" s="26">
        <f t="shared" ca="1" si="11"/>
        <v>46059</v>
      </c>
      <c r="R339" s="51">
        <f ca="1">(TODAY()-Таблица1[[#This Row],[Дата регистрации клента]])/30</f>
        <v>47.6</v>
      </c>
      <c r="S339" s="63" t="str">
        <f>VLOOKUP(Таблица1[[#This Row],[id клиента]],Таблица8[[id клиента]:[Страна]],7,0)</f>
        <v>Россия</v>
      </c>
      <c r="T339" s="26"/>
    </row>
    <row r="340" spans="1:20" ht="19.5" x14ac:dyDescent="0.4">
      <c r="A340" s="41">
        <v>339</v>
      </c>
      <c r="B340" s="42">
        <v>204</v>
      </c>
      <c r="C340" s="42">
        <v>279</v>
      </c>
      <c r="D340" s="42">
        <v>4</v>
      </c>
      <c r="E340" s="42">
        <v>1116</v>
      </c>
      <c r="F340" s="43">
        <v>45227</v>
      </c>
      <c r="G340" s="42" t="s">
        <v>12</v>
      </c>
      <c r="H340" s="42">
        <v>277</v>
      </c>
      <c r="I340" s="42" t="str">
        <f>VLOOKUP(продажи!$B340,товар!$A$1:$C$433,2)</f>
        <v>Печенье</v>
      </c>
      <c r="J340" s="42" t="str">
        <f>VLOOKUP(B340,товар!$A$1:$C$433,3)</f>
        <v>Юбилейное</v>
      </c>
      <c r="K340" s="44">
        <f>AVERAGEIF(продажи!$I$2:$I$1001,продажи!$I$2:$I$1001,продажи!$C$2:$C$1001)</f>
        <v>283.468085106383</v>
      </c>
      <c r="L340" s="45">
        <f>продажи!$C340/продажи!$K340-1</f>
        <v>-1.5762215717180839E-2</v>
      </c>
      <c r="M340" s="33">
        <f t="shared" si="10"/>
        <v>2092</v>
      </c>
      <c r="N340" s="24">
        <f>Таблица1[[#This Row],[цена за шт в рублях]]/Таблица1[[#This Row],[средняя стоимость в категории по поставщику.]]-1</f>
        <v>-0.86663479923518161</v>
      </c>
      <c r="O340" s="26">
        <f>VLOOKUP(Таблица1[[#This Row],[id клиента]],клиенты!$A$2:$E$435,5,0)</f>
        <v>44750</v>
      </c>
      <c r="P340">
        <f>Таблица1[[#This Row],[дата создания чека]]-Таблица1[[#This Row],[Дата регистрации клента]]</f>
        <v>477</v>
      </c>
      <c r="Q340" s="26">
        <f t="shared" ca="1" si="11"/>
        <v>46059</v>
      </c>
      <c r="R340" s="51">
        <f ca="1">(TODAY()-Таблица1[[#This Row],[Дата регистрации клента]])/30</f>
        <v>43.633333333333333</v>
      </c>
      <c r="S340" s="63" t="str">
        <f>VLOOKUP(Таблица1[[#This Row],[id клиента]],Таблица8[[id клиента]:[Страна]],7,0)</f>
        <v>Россия</v>
      </c>
      <c r="T340" s="26"/>
    </row>
    <row r="341" spans="1:20" ht="19.5" x14ac:dyDescent="0.4">
      <c r="A341" s="37">
        <v>340</v>
      </c>
      <c r="B341" s="31">
        <v>60</v>
      </c>
      <c r="C341" s="31">
        <v>500</v>
      </c>
      <c r="D341" s="31">
        <v>2</v>
      </c>
      <c r="E341" s="31">
        <v>1000</v>
      </c>
      <c r="F341" s="38">
        <v>45125</v>
      </c>
      <c r="G341" s="31" t="s">
        <v>27</v>
      </c>
      <c r="H341" s="31">
        <v>145</v>
      </c>
      <c r="I341" s="31" t="str">
        <f>VLOOKUP(продажи!$B341,товар!$A$1:$C$433,2)</f>
        <v>Кофе</v>
      </c>
      <c r="J341" s="31" t="str">
        <f>VLOOKUP(B341,товар!$A$1:$C$433,3)</f>
        <v>Jacobs</v>
      </c>
      <c r="K341" s="39">
        <f>AVERAGEIF(продажи!$I$2:$I$1001,продажи!$I$2:$I$1001,продажи!$C$2:$C$1001)</f>
        <v>249.02380952380952</v>
      </c>
      <c r="L341" s="40">
        <f>продажи!$C341/продажи!$K341-1</f>
        <v>1.0078401376804664</v>
      </c>
      <c r="M341" s="33">
        <f t="shared" si="10"/>
        <v>5248</v>
      </c>
      <c r="N341" s="24">
        <f>Таблица1[[#This Row],[цена за шт в рублях]]/Таблица1[[#This Row],[средняя стоимость в категории по поставщику.]]-1</f>
        <v>-0.90472560975609762</v>
      </c>
      <c r="O341" s="26">
        <f>VLOOKUP(Таблица1[[#This Row],[id клиента]],клиенты!$A$2:$E$435,5,0)</f>
        <v>44653</v>
      </c>
      <c r="P341">
        <f>Таблица1[[#This Row],[дата создания чека]]-Таблица1[[#This Row],[Дата регистрации клента]]</f>
        <v>472</v>
      </c>
      <c r="Q341" s="26">
        <f t="shared" ca="1" si="11"/>
        <v>46059</v>
      </c>
      <c r="R341" s="51">
        <f ca="1">(TODAY()-Таблица1[[#This Row],[Дата регистрации клента]])/30</f>
        <v>46.866666666666667</v>
      </c>
      <c r="S341" s="63" t="str">
        <f>VLOOKUP(Таблица1[[#This Row],[id клиента]],Таблица8[[id клиента]:[Страна]],7,0)</f>
        <v>Украина</v>
      </c>
      <c r="T341" s="26"/>
    </row>
    <row r="342" spans="1:20" ht="19.5" x14ac:dyDescent="0.4">
      <c r="A342" s="41">
        <v>341</v>
      </c>
      <c r="B342" s="42">
        <v>76</v>
      </c>
      <c r="C342" s="42">
        <v>92</v>
      </c>
      <c r="D342" s="42">
        <v>2</v>
      </c>
      <c r="E342" s="42">
        <v>184</v>
      </c>
      <c r="F342" s="43">
        <v>45232</v>
      </c>
      <c r="G342" s="42" t="s">
        <v>8</v>
      </c>
      <c r="H342" s="42">
        <v>104</v>
      </c>
      <c r="I342" s="42" t="str">
        <f>VLOOKUP(продажи!$B342,товар!$A$1:$C$433,2)</f>
        <v>Печенье</v>
      </c>
      <c r="J342" s="42" t="str">
        <f>VLOOKUP(B342,товар!$A$1:$C$433,3)</f>
        <v>Юбилейное</v>
      </c>
      <c r="K342" s="44">
        <f>AVERAGEIF(продажи!$I$2:$I$1001,продажи!$I$2:$I$1001,продажи!$C$2:$C$1001)</f>
        <v>283.468085106383</v>
      </c>
      <c r="L342" s="45">
        <f>продажи!$C342/продажи!$K342-1</f>
        <v>-0.67544847256623886</v>
      </c>
      <c r="M342" s="33">
        <f t="shared" si="10"/>
        <v>2092</v>
      </c>
      <c r="N342" s="24">
        <f>Таблица1[[#This Row],[цена за шт в рублях]]/Таблица1[[#This Row],[средняя стоимость в категории по поставщику.]]-1</f>
        <v>-0.95602294455066916</v>
      </c>
      <c r="O342" s="26">
        <f>VLOOKUP(Таблица1[[#This Row],[id клиента]],клиенты!$A$2:$E$435,5,0)</f>
        <v>44772</v>
      </c>
      <c r="P342">
        <f>Таблица1[[#This Row],[дата создания чека]]-Таблица1[[#This Row],[Дата регистрации клента]]</f>
        <v>460</v>
      </c>
      <c r="Q342" s="26">
        <f t="shared" ca="1" si="11"/>
        <v>46059</v>
      </c>
      <c r="R342" s="51">
        <f ca="1">(TODAY()-Таблица1[[#This Row],[Дата регистрации клента]])/30</f>
        <v>42.9</v>
      </c>
      <c r="S342" s="63" t="str">
        <f>VLOOKUP(Таблица1[[#This Row],[id клиента]],Таблица8[[id клиента]:[Страна]],7,0)</f>
        <v>Узбекистан</v>
      </c>
      <c r="T342" s="26"/>
    </row>
    <row r="343" spans="1:20" ht="19.5" x14ac:dyDescent="0.4">
      <c r="A343" s="37">
        <v>342</v>
      </c>
      <c r="B343" s="31">
        <v>201</v>
      </c>
      <c r="C343" s="31">
        <v>179</v>
      </c>
      <c r="D343" s="31">
        <v>5</v>
      </c>
      <c r="E343" s="31">
        <v>895</v>
      </c>
      <c r="F343" s="38">
        <v>45091</v>
      </c>
      <c r="G343" s="31" t="s">
        <v>14</v>
      </c>
      <c r="H343" s="31">
        <v>109</v>
      </c>
      <c r="I343" s="31" t="str">
        <f>VLOOKUP(продажи!$B343,товар!$A$1:$C$433,2)</f>
        <v>Печенье</v>
      </c>
      <c r="J343" s="31" t="str">
        <f>VLOOKUP(B343,товар!$A$1:$C$433,3)</f>
        <v>Белогорье</v>
      </c>
      <c r="K343" s="39">
        <f>AVERAGEIF(продажи!$I$2:$I$1001,продажи!$I$2:$I$1001,продажи!$C$2:$C$1001)</f>
        <v>283.468085106383</v>
      </c>
      <c r="L343" s="40">
        <f>продажи!$C343/продажи!$K343-1</f>
        <v>-0.36853561510170385</v>
      </c>
      <c r="M343" s="33">
        <f t="shared" si="10"/>
        <v>3493</v>
      </c>
      <c r="N343" s="24">
        <f>Таблица1[[#This Row],[цена за шт в рублях]]/Таблица1[[#This Row],[средняя стоимость в категории по поставщику.]]-1</f>
        <v>-0.94875465216146582</v>
      </c>
      <c r="O343" s="26">
        <f>VLOOKUP(Таблица1[[#This Row],[id клиента]],клиенты!$A$2:$E$435,5,0)</f>
        <v>44732</v>
      </c>
      <c r="P343">
        <f>Таблица1[[#This Row],[дата создания чека]]-Таблица1[[#This Row],[Дата регистрации клента]]</f>
        <v>359</v>
      </c>
      <c r="Q343" s="26">
        <f t="shared" ca="1" si="11"/>
        <v>46059</v>
      </c>
      <c r="R343" s="51">
        <f ca="1">(TODAY()-Таблица1[[#This Row],[Дата регистрации клента]])/30</f>
        <v>44.233333333333334</v>
      </c>
      <c r="S343" s="63" t="str">
        <f>VLOOKUP(Таблица1[[#This Row],[id клиента]],Таблица8[[id клиента]:[Страна]],7,0)</f>
        <v>Украина</v>
      </c>
      <c r="T343" s="26"/>
    </row>
    <row r="344" spans="1:20" ht="19.5" x14ac:dyDescent="0.4">
      <c r="A344" s="41">
        <v>343</v>
      </c>
      <c r="B344" s="42">
        <v>462</v>
      </c>
      <c r="C344" s="42">
        <v>209</v>
      </c>
      <c r="D344" s="42">
        <v>4</v>
      </c>
      <c r="E344" s="42">
        <v>836</v>
      </c>
      <c r="F344" s="43">
        <v>45116</v>
      </c>
      <c r="G344" s="42" t="s">
        <v>22</v>
      </c>
      <c r="H344" s="42">
        <v>369</v>
      </c>
      <c r="I344" s="42" t="str">
        <f>VLOOKUP(продажи!$B344,товар!$A$1:$C$433,2)</f>
        <v>Рис</v>
      </c>
      <c r="J344" s="42" t="str">
        <f>VLOOKUP(B344,товар!$A$1:$C$433,3)</f>
        <v>Белый Злат</v>
      </c>
      <c r="K344" s="44">
        <f>AVERAGEIF(продажи!$I$2:$I$1001,продажи!$I$2:$I$1001,продажи!$C$2:$C$1001)</f>
        <v>258.375</v>
      </c>
      <c r="L344" s="45">
        <f>продажи!$C344/продажи!$K344-1</f>
        <v>-0.19109820996613447</v>
      </c>
      <c r="M344" s="33">
        <f t="shared" si="10"/>
        <v>4585</v>
      </c>
      <c r="N344" s="24">
        <f>Таблица1[[#This Row],[цена за шт в рублях]]/Таблица1[[#This Row],[средняя стоимость в категории по поставщику.]]-1</f>
        <v>-0.95441657579062156</v>
      </c>
      <c r="O344" s="26">
        <f>VLOOKUP(Таблица1[[#This Row],[id клиента]],клиенты!$A$2:$E$435,5,0)</f>
        <v>44678</v>
      </c>
      <c r="P344">
        <f>Таблица1[[#This Row],[дата создания чека]]-Таблица1[[#This Row],[Дата регистрации клента]]</f>
        <v>438</v>
      </c>
      <c r="Q344" s="26">
        <f t="shared" ca="1" si="11"/>
        <v>46059</v>
      </c>
      <c r="R344" s="51">
        <f ca="1">(TODAY()-Таблица1[[#This Row],[Дата регистрации клента]])/30</f>
        <v>46.033333333333331</v>
      </c>
      <c r="S344" s="63" t="str">
        <f>VLOOKUP(Таблица1[[#This Row],[id клиента]],Таблица8[[id клиента]:[Страна]],7,0)</f>
        <v>Россия</v>
      </c>
      <c r="T344" s="26"/>
    </row>
    <row r="345" spans="1:20" ht="19.5" x14ac:dyDescent="0.4">
      <c r="A345" s="37">
        <v>344</v>
      </c>
      <c r="B345" s="31">
        <v>210</v>
      </c>
      <c r="C345" s="31">
        <v>486</v>
      </c>
      <c r="D345" s="31">
        <v>5</v>
      </c>
      <c r="E345" s="31">
        <v>2430</v>
      </c>
      <c r="F345" s="38">
        <v>45350</v>
      </c>
      <c r="G345" s="31" t="s">
        <v>11</v>
      </c>
      <c r="H345" s="31">
        <v>78</v>
      </c>
      <c r="I345" s="31" t="str">
        <f>VLOOKUP(продажи!$B345,товар!$A$1:$C$433,2)</f>
        <v>Колбаса</v>
      </c>
      <c r="J345" s="31" t="str">
        <f>VLOOKUP(B345,товар!$A$1:$C$433,3)</f>
        <v>Окраина</v>
      </c>
      <c r="K345" s="39">
        <f>AVERAGEIF(продажи!$I$2:$I$1001,продажи!$I$2:$I$1001,продажи!$C$2:$C$1001)</f>
        <v>286.92307692307691</v>
      </c>
      <c r="L345" s="40">
        <f>продажи!$C345/продажи!$K345-1</f>
        <v>0.69383378016085806</v>
      </c>
      <c r="M345" s="33">
        <f t="shared" si="10"/>
        <v>3283</v>
      </c>
      <c r="N345" s="24">
        <f>Таблица1[[#This Row],[цена за шт в рублях]]/Таблица1[[#This Row],[средняя стоимость в категории по поставщику.]]-1</f>
        <v>-0.85196466646360036</v>
      </c>
      <c r="O345" s="26">
        <f>VLOOKUP(Таблица1[[#This Row],[id клиента]],клиенты!$A$2:$E$435,5,0)</f>
        <v>44658</v>
      </c>
      <c r="P345">
        <f>Таблица1[[#This Row],[дата создания чека]]-Таблица1[[#This Row],[Дата регистрации клента]]</f>
        <v>692</v>
      </c>
      <c r="Q345" s="26">
        <f t="shared" ca="1" si="11"/>
        <v>46059</v>
      </c>
      <c r="R345" s="51">
        <f ca="1">(TODAY()-Таблица1[[#This Row],[Дата регистрации клента]])/30</f>
        <v>46.7</v>
      </c>
      <c r="S345" s="63" t="str">
        <f>VLOOKUP(Таблица1[[#This Row],[id клиента]],Таблица8[[id клиента]:[Страна]],7,0)</f>
        <v>Украина</v>
      </c>
      <c r="T345" s="26"/>
    </row>
    <row r="346" spans="1:20" ht="19.5" x14ac:dyDescent="0.4">
      <c r="A346" s="41">
        <v>345</v>
      </c>
      <c r="B346" s="42">
        <v>404</v>
      </c>
      <c r="C346" s="42">
        <v>123</v>
      </c>
      <c r="D346" s="42">
        <v>1</v>
      </c>
      <c r="E346" s="42">
        <v>123</v>
      </c>
      <c r="F346" s="43">
        <v>45346</v>
      </c>
      <c r="G346" s="42" t="s">
        <v>20</v>
      </c>
      <c r="H346" s="42">
        <v>298</v>
      </c>
      <c r="I346" s="42" t="str">
        <f>VLOOKUP(продажи!$B346,товар!$A$1:$C$433,2)</f>
        <v>Йогурт</v>
      </c>
      <c r="J346" s="42" t="str">
        <f>VLOOKUP(B346,товар!$A$1:$C$433,3)</f>
        <v>Ростагроэкспорт</v>
      </c>
      <c r="K346" s="44">
        <f>AVERAGEIF(продажи!$I$2:$I$1001,продажи!$I$2:$I$1001,продажи!$C$2:$C$1001)</f>
        <v>263.25423728813558</v>
      </c>
      <c r="L346" s="45">
        <f>продажи!$C346/продажи!$K346-1</f>
        <v>-0.53277105330929686</v>
      </c>
      <c r="M346" s="33">
        <f t="shared" si="10"/>
        <v>5929</v>
      </c>
      <c r="N346" s="24">
        <f>Таблица1[[#This Row],[цена за шт в рублях]]/Таблица1[[#This Row],[средняя стоимость в категории по поставщику.]]-1</f>
        <v>-0.97925451172204414</v>
      </c>
      <c r="O346" s="26">
        <f>VLOOKUP(Таблица1[[#This Row],[id клиента]],клиенты!$A$2:$E$435,5,0)</f>
        <v>44821</v>
      </c>
      <c r="P346">
        <f>Таблица1[[#This Row],[дата создания чека]]-Таблица1[[#This Row],[Дата регистрации клента]]</f>
        <v>525</v>
      </c>
      <c r="Q346" s="26">
        <f t="shared" ca="1" si="11"/>
        <v>46059</v>
      </c>
      <c r="R346" s="51">
        <f ca="1">(TODAY()-Таблица1[[#This Row],[Дата регистрации клента]])/30</f>
        <v>41.266666666666666</v>
      </c>
      <c r="S346" s="63" t="str">
        <f>VLOOKUP(Таблица1[[#This Row],[id клиента]],Таблица8[[id клиента]:[Страна]],7,0)</f>
        <v>Украина</v>
      </c>
      <c r="T346" s="26"/>
    </row>
    <row r="347" spans="1:20" ht="19.5" x14ac:dyDescent="0.4">
      <c r="A347" s="37">
        <v>346</v>
      </c>
      <c r="B347" s="31">
        <v>178</v>
      </c>
      <c r="C347" s="31">
        <v>179</v>
      </c>
      <c r="D347" s="31">
        <v>1</v>
      </c>
      <c r="E347" s="31">
        <v>179</v>
      </c>
      <c r="F347" s="38">
        <v>44938</v>
      </c>
      <c r="G347" s="31" t="s">
        <v>21</v>
      </c>
      <c r="H347" s="31">
        <v>130</v>
      </c>
      <c r="I347" s="31" t="str">
        <f>VLOOKUP(продажи!$B347,товар!$A$1:$C$433,2)</f>
        <v>Йогурт</v>
      </c>
      <c r="J347" s="31" t="str">
        <f>VLOOKUP(B347,товар!$A$1:$C$433,3)</f>
        <v>Ростагроэкспорт</v>
      </c>
      <c r="K347" s="39">
        <f>AVERAGEIF(продажи!$I$2:$I$1001,продажи!$I$2:$I$1001,продажи!$C$2:$C$1001)</f>
        <v>263.25423728813558</v>
      </c>
      <c r="L347" s="40">
        <f>продажи!$C347/продажи!$K347-1</f>
        <v>-0.3200489312387329</v>
      </c>
      <c r="M347" s="33">
        <f t="shared" si="10"/>
        <v>5929</v>
      </c>
      <c r="N347" s="24">
        <f>Таблица1[[#This Row],[цена за шт в рублях]]/Таблица1[[#This Row],[средняя стоимость в категории по поставщику.]]-1</f>
        <v>-0.96980941136785292</v>
      </c>
      <c r="O347" s="26">
        <f>VLOOKUP(Таблица1[[#This Row],[id клиента]],клиенты!$A$2:$E$435,5,0)</f>
        <v>44863</v>
      </c>
      <c r="P347">
        <f>Таблица1[[#This Row],[дата создания чека]]-Таблица1[[#This Row],[Дата регистрации клента]]</f>
        <v>75</v>
      </c>
      <c r="Q347" s="26">
        <f t="shared" ca="1" si="11"/>
        <v>46059</v>
      </c>
      <c r="R347" s="51">
        <f ca="1">(TODAY()-Таблица1[[#This Row],[Дата регистрации клента]])/30</f>
        <v>39.866666666666667</v>
      </c>
      <c r="S347" s="63" t="str">
        <f>VLOOKUP(Таблица1[[#This Row],[id клиента]],Таблица8[[id клиента]:[Страна]],7,0)</f>
        <v>Таджикистан</v>
      </c>
      <c r="T347" s="26"/>
    </row>
    <row r="348" spans="1:20" ht="19.5" x14ac:dyDescent="0.4">
      <c r="A348" s="41">
        <v>347</v>
      </c>
      <c r="B348" s="42">
        <v>423</v>
      </c>
      <c r="C348" s="42">
        <v>218</v>
      </c>
      <c r="D348" s="42">
        <v>3</v>
      </c>
      <c r="E348" s="42">
        <v>654</v>
      </c>
      <c r="F348" s="43">
        <v>45036</v>
      </c>
      <c r="G348" s="42" t="s">
        <v>16</v>
      </c>
      <c r="H348" s="42">
        <v>66</v>
      </c>
      <c r="I348" s="42" t="str">
        <f>VLOOKUP(продажи!$B348,товар!$A$1:$C$433,2)</f>
        <v>Чипсы</v>
      </c>
      <c r="J348" s="42" t="str">
        <f>VLOOKUP(B348,товар!$A$1:$C$433,3)</f>
        <v>Pringles</v>
      </c>
      <c r="K348" s="44">
        <f>AVERAGEIF(продажи!$I$2:$I$1001,продажи!$I$2:$I$1001,продажи!$C$2:$C$1001)</f>
        <v>273.72549019607845</v>
      </c>
      <c r="L348" s="45">
        <f>продажи!$C348/продажи!$K348-1</f>
        <v>-0.20358166189111759</v>
      </c>
      <c r="M348" s="33">
        <f t="shared" si="10"/>
        <v>5885</v>
      </c>
      <c r="N348" s="24">
        <f>Таблица1[[#This Row],[цена за шт в рублях]]/Таблица1[[#This Row],[средняя стоимость в категории по поставщику.]]-1</f>
        <v>-0.9629566694987256</v>
      </c>
      <c r="O348" s="26">
        <f>VLOOKUP(Таблица1[[#This Row],[id клиента]],клиенты!$A$2:$E$435,5,0)</f>
        <v>44777</v>
      </c>
      <c r="P348">
        <f>Таблица1[[#This Row],[дата создания чека]]-Таблица1[[#This Row],[Дата регистрации клента]]</f>
        <v>259</v>
      </c>
      <c r="Q348" s="26">
        <f t="shared" ca="1" si="11"/>
        <v>46059</v>
      </c>
      <c r="R348" s="51">
        <f ca="1">(TODAY()-Таблица1[[#This Row],[Дата регистрации клента]])/30</f>
        <v>42.733333333333334</v>
      </c>
      <c r="S348" s="63" t="str">
        <f>VLOOKUP(Таблица1[[#This Row],[id клиента]],Таблица8[[id клиента]:[Страна]],7,0)</f>
        <v>Россия</v>
      </c>
      <c r="T348" s="26"/>
    </row>
    <row r="349" spans="1:20" ht="19.5" x14ac:dyDescent="0.4">
      <c r="A349" s="37">
        <v>348</v>
      </c>
      <c r="B349" s="31">
        <v>70</v>
      </c>
      <c r="C349" s="31">
        <v>51</v>
      </c>
      <c r="D349" s="31">
        <v>1</v>
      </c>
      <c r="E349" s="31">
        <v>51</v>
      </c>
      <c r="F349" s="38">
        <v>45314</v>
      </c>
      <c r="G349" s="31" t="s">
        <v>9</v>
      </c>
      <c r="H349" s="31">
        <v>261</v>
      </c>
      <c r="I349" s="31" t="str">
        <f>VLOOKUP(продажи!$B349,товар!$A$1:$C$433,2)</f>
        <v>Рис</v>
      </c>
      <c r="J349" s="31" t="str">
        <f>VLOOKUP(B349,товар!$A$1:$C$433,3)</f>
        <v>Мистраль</v>
      </c>
      <c r="K349" s="39">
        <f>AVERAGEIF(продажи!$I$2:$I$1001,продажи!$I$2:$I$1001,продажи!$C$2:$C$1001)</f>
        <v>258.375</v>
      </c>
      <c r="L349" s="40">
        <f>продажи!$C349/продажи!$K349-1</f>
        <v>-0.8026124818577649</v>
      </c>
      <c r="M349" s="33">
        <f t="shared" si="10"/>
        <v>1271</v>
      </c>
      <c r="N349" s="24">
        <f>Таблица1[[#This Row],[цена за шт в рублях]]/Таблица1[[#This Row],[средняя стоимость в категории по поставщику.]]-1</f>
        <v>-0.95987411487018093</v>
      </c>
      <c r="O349" s="26">
        <f>VLOOKUP(Таблица1[[#This Row],[id клиента]],клиенты!$A$2:$E$435,5,0)</f>
        <v>44848</v>
      </c>
      <c r="P349">
        <f>Таблица1[[#This Row],[дата создания чека]]-Таблица1[[#This Row],[Дата регистрации клента]]</f>
        <v>466</v>
      </c>
      <c r="Q349" s="26">
        <f t="shared" ca="1" si="11"/>
        <v>46059</v>
      </c>
      <c r="R349" s="51">
        <f ca="1">(TODAY()-Таблица1[[#This Row],[Дата регистрации клента]])/30</f>
        <v>40.366666666666667</v>
      </c>
      <c r="S349" s="63" t="str">
        <f>VLOOKUP(Таблица1[[#This Row],[id клиента]],Таблица8[[id клиента]:[Страна]],7,0)</f>
        <v>Россия</v>
      </c>
      <c r="T349" s="26"/>
    </row>
    <row r="350" spans="1:20" ht="19.5" x14ac:dyDescent="0.4">
      <c r="A350" s="41">
        <v>349</v>
      </c>
      <c r="B350" s="42">
        <v>335</v>
      </c>
      <c r="C350" s="42">
        <v>392</v>
      </c>
      <c r="D350" s="42">
        <v>5</v>
      </c>
      <c r="E350" s="42">
        <v>1960</v>
      </c>
      <c r="F350" s="43">
        <v>45217</v>
      </c>
      <c r="G350" s="42" t="s">
        <v>16</v>
      </c>
      <c r="H350" s="42">
        <v>307</v>
      </c>
      <c r="I350" s="42" t="str">
        <f>VLOOKUP(продажи!$B350,товар!$A$1:$C$433,2)</f>
        <v>Хлеб</v>
      </c>
      <c r="J350" s="42" t="str">
        <f>VLOOKUP(B350,товар!$A$1:$C$433,3)</f>
        <v>Каравай</v>
      </c>
      <c r="K350" s="44">
        <f>AVERAGEIF(продажи!$I$2:$I$1001,продажи!$I$2:$I$1001,продажи!$C$2:$C$1001)</f>
        <v>300.31818181818181</v>
      </c>
      <c r="L350" s="45">
        <f>продажи!$C350/продажи!$K350-1</f>
        <v>0.30528227637354322</v>
      </c>
      <c r="M350" s="33">
        <f t="shared" si="10"/>
        <v>3974</v>
      </c>
      <c r="N350" s="24">
        <f>Таблица1[[#This Row],[цена за шт в рублях]]/Таблица1[[#This Row],[средняя стоимость в категории по поставщику.]]-1</f>
        <v>-0.90135883241066939</v>
      </c>
      <c r="O350" s="26">
        <f>VLOOKUP(Таблица1[[#This Row],[id клиента]],клиенты!$A$2:$E$435,5,0)</f>
        <v>44764</v>
      </c>
      <c r="P350">
        <f>Таблица1[[#This Row],[дата создания чека]]-Таблица1[[#This Row],[Дата регистрации клента]]</f>
        <v>453</v>
      </c>
      <c r="Q350" s="26">
        <f t="shared" ca="1" si="11"/>
        <v>46059</v>
      </c>
      <c r="R350" s="51">
        <f ca="1">(TODAY()-Таблица1[[#This Row],[Дата регистрации клента]])/30</f>
        <v>43.166666666666664</v>
      </c>
      <c r="S350" s="63" t="str">
        <f>VLOOKUP(Таблица1[[#This Row],[id клиента]],Таблица8[[id клиента]:[Страна]],7,0)</f>
        <v>Беларусь</v>
      </c>
      <c r="T350" s="26"/>
    </row>
    <row r="351" spans="1:20" ht="19.5" x14ac:dyDescent="0.4">
      <c r="A351" s="37">
        <v>350</v>
      </c>
      <c r="B351" s="31">
        <v>427</v>
      </c>
      <c r="C351" s="31">
        <v>273</v>
      </c>
      <c r="D351" s="31">
        <v>5</v>
      </c>
      <c r="E351" s="31">
        <v>1365</v>
      </c>
      <c r="F351" s="38">
        <v>45398</v>
      </c>
      <c r="G351" s="31" t="s">
        <v>22</v>
      </c>
      <c r="H351" s="31">
        <v>190</v>
      </c>
      <c r="I351" s="31" t="str">
        <f>VLOOKUP(продажи!$B351,товар!$A$1:$C$433,2)</f>
        <v>Хлеб</v>
      </c>
      <c r="J351" s="31" t="str">
        <f>VLOOKUP(B351,товар!$A$1:$C$433,3)</f>
        <v>Русский Хлеб</v>
      </c>
      <c r="K351" s="39">
        <f>AVERAGEIF(продажи!$I$2:$I$1001,продажи!$I$2:$I$1001,продажи!$C$2:$C$1001)</f>
        <v>300.31818181818181</v>
      </c>
      <c r="L351" s="40">
        <f>продажи!$C351/продажи!$K351-1</f>
        <v>-9.0964128954139523E-2</v>
      </c>
      <c r="M351" s="33">
        <f t="shared" si="10"/>
        <v>3166</v>
      </c>
      <c r="N351" s="24">
        <f>Таблица1[[#This Row],[цена за шт в рублях]]/Таблица1[[#This Row],[средняя стоимость в категории по поставщику.]]-1</f>
        <v>-0.91377132027795327</v>
      </c>
      <c r="O351" s="26">
        <f>VLOOKUP(Таблица1[[#This Row],[id клиента]],клиенты!$A$2:$E$435,5,0)</f>
        <v>44689</v>
      </c>
      <c r="P351">
        <f>Таблица1[[#This Row],[дата создания чека]]-Таблица1[[#This Row],[Дата регистрации клента]]</f>
        <v>709</v>
      </c>
      <c r="Q351" s="26">
        <f t="shared" ca="1" si="11"/>
        <v>46059</v>
      </c>
      <c r="R351" s="51">
        <f ca="1">(TODAY()-Таблица1[[#This Row],[Дата регистрации клента]])/30</f>
        <v>45.666666666666664</v>
      </c>
      <c r="S351" s="63" t="str">
        <f>VLOOKUP(Таблица1[[#This Row],[id клиента]],Таблица8[[id клиента]:[Страна]],7,0)</f>
        <v>Беларусь</v>
      </c>
      <c r="T351" s="26"/>
    </row>
    <row r="352" spans="1:20" ht="19.5" x14ac:dyDescent="0.4">
      <c r="A352" s="41">
        <v>351</v>
      </c>
      <c r="B352" s="42">
        <v>137</v>
      </c>
      <c r="C352" s="42">
        <v>154</v>
      </c>
      <c r="D352" s="42">
        <v>1</v>
      </c>
      <c r="E352" s="42">
        <v>154</v>
      </c>
      <c r="F352" s="43">
        <v>45193</v>
      </c>
      <c r="G352" s="42" t="s">
        <v>24</v>
      </c>
      <c r="H352" s="42">
        <v>144</v>
      </c>
      <c r="I352" s="42" t="str">
        <f>VLOOKUP(продажи!$B352,товар!$A$1:$C$433,2)</f>
        <v>Фрукты</v>
      </c>
      <c r="J352" s="42" t="str">
        <f>VLOOKUP(B352,товар!$A$1:$C$433,3)</f>
        <v>Экзотик</v>
      </c>
      <c r="K352" s="44">
        <f>AVERAGEIF(продажи!$I$2:$I$1001,продажи!$I$2:$I$1001,продажи!$C$2:$C$1001)</f>
        <v>274.16279069767444</v>
      </c>
      <c r="L352" s="45">
        <f>продажи!$C352/продажи!$K352-1</f>
        <v>-0.43828993129188232</v>
      </c>
      <c r="M352" s="33">
        <f t="shared" si="10"/>
        <v>4059</v>
      </c>
      <c r="N352" s="24">
        <f>Таблица1[[#This Row],[цена за шт в рублях]]/Таблица1[[#This Row],[средняя стоимость в категории по поставщику.]]-1</f>
        <v>-0.96205962059620598</v>
      </c>
      <c r="O352" s="26">
        <f>VLOOKUP(Таблица1[[#This Row],[id клиента]],клиенты!$A$2:$E$435,5,0)</f>
        <v>44705</v>
      </c>
      <c r="P352">
        <f>Таблица1[[#This Row],[дата создания чека]]-Таблица1[[#This Row],[Дата регистрации клента]]</f>
        <v>488</v>
      </c>
      <c r="Q352" s="26">
        <f t="shared" ca="1" si="11"/>
        <v>46059</v>
      </c>
      <c r="R352" s="51">
        <f ca="1">(TODAY()-Таблица1[[#This Row],[Дата регистрации клента]])/30</f>
        <v>45.133333333333333</v>
      </c>
      <c r="S352" s="63" t="str">
        <f>VLOOKUP(Таблица1[[#This Row],[id клиента]],Таблица8[[id клиента]:[Страна]],7,0)</f>
        <v>Украина</v>
      </c>
      <c r="T352" s="26"/>
    </row>
    <row r="353" spans="1:20" ht="19.5" x14ac:dyDescent="0.4">
      <c r="A353" s="37">
        <v>352</v>
      </c>
      <c r="B353" s="31">
        <v>303</v>
      </c>
      <c r="C353" s="31">
        <v>68</v>
      </c>
      <c r="D353" s="31">
        <v>4</v>
      </c>
      <c r="E353" s="31">
        <v>272</v>
      </c>
      <c r="F353" s="38">
        <v>44947</v>
      </c>
      <c r="G353" s="31" t="s">
        <v>24</v>
      </c>
      <c r="H353" s="31">
        <v>76</v>
      </c>
      <c r="I353" s="31" t="str">
        <f>VLOOKUP(продажи!$B353,товар!$A$1:$C$433,2)</f>
        <v>Фрукты</v>
      </c>
      <c r="J353" s="31" t="str">
        <f>VLOOKUP(B353,товар!$A$1:$C$433,3)</f>
        <v>Фруктовый Рай</v>
      </c>
      <c r="K353" s="39">
        <f>AVERAGEIF(продажи!$I$2:$I$1001,продажи!$I$2:$I$1001,продажи!$C$2:$C$1001)</f>
        <v>274.16279069767444</v>
      </c>
      <c r="L353" s="40">
        <f>продажи!$C353/продажи!$K353-1</f>
        <v>-0.75197217745355838</v>
      </c>
      <c r="M353" s="33">
        <f t="shared" si="10"/>
        <v>3358</v>
      </c>
      <c r="N353" s="24">
        <f>Таблица1[[#This Row],[цена за шт в рублях]]/Таблица1[[#This Row],[средняя стоимость в категории по поставщику.]]-1</f>
        <v>-0.97974985110184631</v>
      </c>
      <c r="O353" s="26">
        <f>VLOOKUP(Таблица1[[#This Row],[id клиента]],клиенты!$A$2:$E$435,5,0)</f>
        <v>44575</v>
      </c>
      <c r="P353">
        <f>Таблица1[[#This Row],[дата создания чека]]-Таблица1[[#This Row],[Дата регистрации клента]]</f>
        <v>372</v>
      </c>
      <c r="Q353" s="26">
        <f t="shared" ca="1" si="11"/>
        <v>46059</v>
      </c>
      <c r="R353" s="51">
        <f ca="1">(TODAY()-Таблица1[[#This Row],[Дата регистрации клента]])/30</f>
        <v>49.466666666666669</v>
      </c>
      <c r="S353" s="63" t="str">
        <f>VLOOKUP(Таблица1[[#This Row],[id клиента]],Таблица8[[id клиента]:[Страна]],7,0)</f>
        <v>Беларусь</v>
      </c>
      <c r="T353" s="26"/>
    </row>
    <row r="354" spans="1:20" ht="19.5" x14ac:dyDescent="0.4">
      <c r="A354" s="41">
        <v>353</v>
      </c>
      <c r="B354" s="42">
        <v>23</v>
      </c>
      <c r="C354" s="42">
        <v>380</v>
      </c>
      <c r="D354" s="42">
        <v>1</v>
      </c>
      <c r="E354" s="42">
        <v>380</v>
      </c>
      <c r="F354" s="43">
        <v>45199</v>
      </c>
      <c r="G354" s="42" t="s">
        <v>16</v>
      </c>
      <c r="H354" s="42">
        <v>84</v>
      </c>
      <c r="I354" s="42" t="str">
        <f>VLOOKUP(продажи!$B354,товар!$A$1:$C$433,2)</f>
        <v>Рыба</v>
      </c>
      <c r="J354" s="42" t="str">
        <f>VLOOKUP(B354,товар!$A$1:$C$433,3)</f>
        <v>Санта Бремор</v>
      </c>
      <c r="K354" s="44">
        <f>AVERAGEIF(продажи!$I$2:$I$1001,продажи!$I$2:$I$1001,продажи!$C$2:$C$1001)</f>
        <v>258.5128205128205</v>
      </c>
      <c r="L354" s="45">
        <f>продажи!$C354/продажи!$K354-1</f>
        <v>0.46994643919857171</v>
      </c>
      <c r="M354" s="33">
        <f t="shared" si="10"/>
        <v>2164</v>
      </c>
      <c r="N354" s="24">
        <f>Таблица1[[#This Row],[цена за шт в рублях]]/Таблица1[[#This Row],[средняя стоимость в категории по поставщику.]]-1</f>
        <v>-0.8243992606284658</v>
      </c>
      <c r="O354" s="26">
        <f>VLOOKUP(Таблица1[[#This Row],[id клиента]],клиенты!$A$2:$E$435,5,0)</f>
        <v>44805</v>
      </c>
      <c r="P354">
        <f>Таблица1[[#This Row],[дата создания чека]]-Таблица1[[#This Row],[Дата регистрации клента]]</f>
        <v>394</v>
      </c>
      <c r="Q354" s="26">
        <f t="shared" ca="1" si="11"/>
        <v>46059</v>
      </c>
      <c r="R354" s="51">
        <f ca="1">(TODAY()-Таблица1[[#This Row],[Дата регистрации клента]])/30</f>
        <v>41.8</v>
      </c>
      <c r="S354" s="63" t="str">
        <f>VLOOKUP(Таблица1[[#This Row],[id клиента]],Таблица8[[id клиента]:[Страна]],7,0)</f>
        <v>Таджикистан</v>
      </c>
      <c r="T354" s="26"/>
    </row>
    <row r="355" spans="1:20" ht="19.5" x14ac:dyDescent="0.4">
      <c r="A355" s="37">
        <v>354</v>
      </c>
      <c r="B355" s="31">
        <v>398</v>
      </c>
      <c r="C355" s="31">
        <v>417</v>
      </c>
      <c r="D355" s="31">
        <v>4</v>
      </c>
      <c r="E355" s="31">
        <v>1668</v>
      </c>
      <c r="F355" s="38">
        <v>45167</v>
      </c>
      <c r="G355" s="31" t="s">
        <v>23</v>
      </c>
      <c r="H355" s="31">
        <v>81</v>
      </c>
      <c r="I355" s="31" t="str">
        <f>VLOOKUP(продажи!$B355,товар!$A$1:$C$433,2)</f>
        <v>Сок</v>
      </c>
      <c r="J355" s="31" t="str">
        <f>VLOOKUP(B355,товар!$A$1:$C$433,3)</f>
        <v>Фруктовый сад</v>
      </c>
      <c r="K355" s="39">
        <f>AVERAGEIF(продажи!$I$2:$I$1001,продажи!$I$2:$I$1001,продажи!$C$2:$C$1001)</f>
        <v>268.60344827586209</v>
      </c>
      <c r="L355" s="40">
        <f>продажи!$C355/продажи!$K355-1</f>
        <v>0.55247448488349682</v>
      </c>
      <c r="M355" s="33">
        <f t="shared" si="10"/>
        <v>9023</v>
      </c>
      <c r="N355" s="24">
        <f>Таблица1[[#This Row],[цена за шт в рублях]]/Таблица1[[#This Row],[средняя стоимость в категории по поставщику.]]-1</f>
        <v>-0.95378477224869773</v>
      </c>
      <c r="O355" s="26">
        <f>VLOOKUP(Таблица1[[#This Row],[id клиента]],клиенты!$A$2:$E$435,5,0)</f>
        <v>44825</v>
      </c>
      <c r="P355">
        <f>Таблица1[[#This Row],[дата создания чека]]-Таблица1[[#This Row],[Дата регистрации клента]]</f>
        <v>342</v>
      </c>
      <c r="Q355" s="26">
        <f t="shared" ca="1" si="11"/>
        <v>46059</v>
      </c>
      <c r="R355" s="51">
        <f ca="1">(TODAY()-Таблица1[[#This Row],[Дата регистрации клента]])/30</f>
        <v>41.133333333333333</v>
      </c>
      <c r="S355" s="63" t="str">
        <f>VLOOKUP(Таблица1[[#This Row],[id клиента]],Таблица8[[id клиента]:[Страна]],7,0)</f>
        <v>Россия</v>
      </c>
      <c r="T355" s="26"/>
    </row>
    <row r="356" spans="1:20" ht="19.5" x14ac:dyDescent="0.4">
      <c r="A356" s="41">
        <v>355</v>
      </c>
      <c r="B356" s="42">
        <v>8</v>
      </c>
      <c r="C356" s="42">
        <v>404</v>
      </c>
      <c r="D356" s="42">
        <v>1</v>
      </c>
      <c r="E356" s="42">
        <v>404</v>
      </c>
      <c r="F356" s="43">
        <v>45077</v>
      </c>
      <c r="G356" s="42" t="s">
        <v>22</v>
      </c>
      <c r="H356" s="42">
        <v>157</v>
      </c>
      <c r="I356" s="42" t="str">
        <f>VLOOKUP(продажи!$B356,товар!$A$1:$C$433,2)</f>
        <v>Макароны</v>
      </c>
      <c r="J356" s="42" t="str">
        <f>VLOOKUP(B356,товар!$A$1:$C$433,3)</f>
        <v>Паста Зара</v>
      </c>
      <c r="K356" s="44">
        <f>AVERAGEIF(продажи!$I$2:$I$1001,продажи!$I$2:$I$1001,продажи!$C$2:$C$1001)</f>
        <v>265.47674418604652</v>
      </c>
      <c r="L356" s="45">
        <f>продажи!$C356/продажи!$K356-1</f>
        <v>0.52179054793920554</v>
      </c>
      <c r="M356" s="33">
        <f t="shared" si="10"/>
        <v>10237</v>
      </c>
      <c r="N356" s="24">
        <f>Таблица1[[#This Row],[цена за шт в рублях]]/Таблица1[[#This Row],[средняя стоимость в категории по поставщику.]]-1</f>
        <v>-0.96053531308000395</v>
      </c>
      <c r="O356" s="26">
        <f>VLOOKUP(Таблица1[[#This Row],[id клиента]],клиенты!$A$2:$E$435,5,0)</f>
        <v>44783</v>
      </c>
      <c r="P356">
        <f>Таблица1[[#This Row],[дата создания чека]]-Таблица1[[#This Row],[Дата регистрации клента]]</f>
        <v>294</v>
      </c>
      <c r="Q356" s="26">
        <f t="shared" ca="1" si="11"/>
        <v>46059</v>
      </c>
      <c r="R356" s="51">
        <f ca="1">(TODAY()-Таблица1[[#This Row],[Дата регистрации клента]])/30</f>
        <v>42.533333333333331</v>
      </c>
      <c r="S356" s="63" t="str">
        <f>VLOOKUP(Таблица1[[#This Row],[id клиента]],Таблица8[[id клиента]:[Страна]],7,0)</f>
        <v>Россия</v>
      </c>
      <c r="T356" s="26"/>
    </row>
    <row r="357" spans="1:20" ht="19.5" x14ac:dyDescent="0.4">
      <c r="A357" s="37">
        <v>356</v>
      </c>
      <c r="B357" s="31">
        <v>485</v>
      </c>
      <c r="C357" s="31">
        <v>193</v>
      </c>
      <c r="D357" s="31">
        <v>1</v>
      </c>
      <c r="E357" s="31">
        <v>193</v>
      </c>
      <c r="F357" s="38">
        <v>45105</v>
      </c>
      <c r="G357" s="31" t="s">
        <v>20</v>
      </c>
      <c r="H357" s="31">
        <v>57</v>
      </c>
      <c r="I357" s="31" t="str">
        <f>VLOOKUP(продажи!$B357,товар!$A$1:$C$433,2)</f>
        <v>Макароны</v>
      </c>
      <c r="J357" s="31" t="str">
        <f>VLOOKUP(B357,товар!$A$1:$C$433,3)</f>
        <v>Борилла</v>
      </c>
      <c r="K357" s="39">
        <f>AVERAGEIF(продажи!$I$2:$I$1001,продажи!$I$2:$I$1001,продажи!$C$2:$C$1001)</f>
        <v>265.47674418604652</v>
      </c>
      <c r="L357" s="40">
        <f>продажи!$C357/продажи!$K357-1</f>
        <v>-0.27300600061320135</v>
      </c>
      <c r="M357" s="33">
        <f t="shared" si="10"/>
        <v>6852</v>
      </c>
      <c r="N357" s="24">
        <f>Таблица1[[#This Row],[цена за шт в рублях]]/Таблица1[[#This Row],[средняя стоимость в категории по поставщику.]]-1</f>
        <v>-0.97183304144775251</v>
      </c>
      <c r="O357" s="26">
        <f>VLOOKUP(Таблица1[[#This Row],[id клиента]],клиенты!$A$2:$E$435,5,0)</f>
        <v>44669</v>
      </c>
      <c r="P357">
        <f>Таблица1[[#This Row],[дата создания чека]]-Таблица1[[#This Row],[Дата регистрации клента]]</f>
        <v>436</v>
      </c>
      <c r="Q357" s="26">
        <f t="shared" ca="1" si="11"/>
        <v>46059</v>
      </c>
      <c r="R357" s="51">
        <f ca="1">(TODAY()-Таблица1[[#This Row],[Дата регистрации клента]])/30</f>
        <v>46.333333333333336</v>
      </c>
      <c r="S357" s="63" t="str">
        <f>VLOOKUP(Таблица1[[#This Row],[id клиента]],Таблица8[[id клиента]:[Страна]],7,0)</f>
        <v>Россия</v>
      </c>
      <c r="T357" s="26"/>
    </row>
    <row r="358" spans="1:20" ht="19.5" x14ac:dyDescent="0.4">
      <c r="A358" s="41">
        <v>357</v>
      </c>
      <c r="B358" s="42">
        <v>60</v>
      </c>
      <c r="C358" s="42">
        <v>320</v>
      </c>
      <c r="D358" s="42">
        <v>4</v>
      </c>
      <c r="E358" s="42">
        <v>1280</v>
      </c>
      <c r="F358" s="43">
        <v>45292</v>
      </c>
      <c r="G358" s="42" t="s">
        <v>18</v>
      </c>
      <c r="H358" s="42">
        <v>273</v>
      </c>
      <c r="I358" s="42" t="str">
        <f>VLOOKUP(продажи!$B358,товар!$A$1:$C$433,2)</f>
        <v>Кофе</v>
      </c>
      <c r="J358" s="42" t="str">
        <f>VLOOKUP(B358,товар!$A$1:$C$433,3)</f>
        <v>Jacobs</v>
      </c>
      <c r="K358" s="44">
        <f>AVERAGEIF(продажи!$I$2:$I$1001,продажи!$I$2:$I$1001,продажи!$C$2:$C$1001)</f>
        <v>249.02380952380952</v>
      </c>
      <c r="L358" s="45">
        <f>продажи!$C358/продажи!$K358-1</f>
        <v>0.28501768811549866</v>
      </c>
      <c r="M358" s="33">
        <f t="shared" si="10"/>
        <v>5248</v>
      </c>
      <c r="N358" s="24">
        <f>Таблица1[[#This Row],[цена за шт в рублях]]/Таблица1[[#This Row],[средняя стоимость в категории по поставщику.]]-1</f>
        <v>-0.93902439024390238</v>
      </c>
      <c r="O358" s="26">
        <f>VLOOKUP(Таблица1[[#This Row],[id клиента]],клиенты!$A$2:$E$435,5,0)</f>
        <v>44599</v>
      </c>
      <c r="P358">
        <f>Таблица1[[#This Row],[дата создания чека]]-Таблица1[[#This Row],[Дата регистрации клента]]</f>
        <v>693</v>
      </c>
      <c r="Q358" s="26">
        <f t="shared" ca="1" si="11"/>
        <v>46059</v>
      </c>
      <c r="R358" s="51">
        <f ca="1">(TODAY()-Таблица1[[#This Row],[Дата регистрации клента]])/30</f>
        <v>48.666666666666664</v>
      </c>
      <c r="S358" s="63" t="str">
        <f>VLOOKUP(Таблица1[[#This Row],[id клиента]],Таблица8[[id клиента]:[Страна]],7,0)</f>
        <v>Узбекистан</v>
      </c>
      <c r="T358" s="26"/>
    </row>
    <row r="359" spans="1:20" ht="19.5" x14ac:dyDescent="0.4">
      <c r="A359" s="37">
        <v>358</v>
      </c>
      <c r="B359" s="31">
        <v>290</v>
      </c>
      <c r="C359" s="31">
        <v>470</v>
      </c>
      <c r="D359" s="31">
        <v>5</v>
      </c>
      <c r="E359" s="31">
        <v>2350</v>
      </c>
      <c r="F359" s="38">
        <v>45039</v>
      </c>
      <c r="G359" s="31" t="s">
        <v>20</v>
      </c>
      <c r="H359" s="31">
        <v>479</v>
      </c>
      <c r="I359" s="31" t="str">
        <f>VLOOKUP(продажи!$B359,товар!$A$1:$C$433,2)</f>
        <v>Сахар</v>
      </c>
      <c r="J359" s="31" t="str">
        <f>VLOOKUP(B359,товар!$A$1:$C$433,3)</f>
        <v>Продимекс</v>
      </c>
      <c r="K359" s="39">
        <f>AVERAGEIF(продажи!$I$2:$I$1001,продажи!$I$2:$I$1001,продажи!$C$2:$C$1001)</f>
        <v>254.58333333333334</v>
      </c>
      <c r="L359" s="40">
        <f>продажи!$C359/продажи!$K359-1</f>
        <v>0.84615384615384603</v>
      </c>
      <c r="M359" s="33">
        <f t="shared" si="10"/>
        <v>5172</v>
      </c>
      <c r="N359" s="24">
        <f>Таблица1[[#This Row],[цена за шт в рублях]]/Таблица1[[#This Row],[средняя стоимость в категории по поставщику.]]-1</f>
        <v>-0.90912606341840685</v>
      </c>
      <c r="O359" s="26">
        <f>VLOOKUP(Таблица1[[#This Row],[id клиента]],клиенты!$A$2:$E$435,5,0)</f>
        <v>44793</v>
      </c>
      <c r="P359">
        <f>Таблица1[[#This Row],[дата создания чека]]-Таблица1[[#This Row],[Дата регистрации клента]]</f>
        <v>246</v>
      </c>
      <c r="Q359" s="26">
        <f t="shared" ca="1" si="11"/>
        <v>46059</v>
      </c>
      <c r="R359" s="51">
        <f ca="1">(TODAY()-Таблица1[[#This Row],[Дата регистрации клента]])/30</f>
        <v>42.2</v>
      </c>
      <c r="S359" s="63" t="str">
        <f>VLOOKUP(Таблица1[[#This Row],[id клиента]],Таблица8[[id клиента]:[Страна]],7,0)</f>
        <v>Россия</v>
      </c>
      <c r="T359" s="26"/>
    </row>
    <row r="360" spans="1:20" ht="19.5" x14ac:dyDescent="0.4">
      <c r="A360" s="41">
        <v>359</v>
      </c>
      <c r="B360" s="42">
        <v>386</v>
      </c>
      <c r="C360" s="42">
        <v>424</v>
      </c>
      <c r="D360" s="42">
        <v>3</v>
      </c>
      <c r="E360" s="42">
        <v>1272</v>
      </c>
      <c r="F360" s="43">
        <v>45166</v>
      </c>
      <c r="G360" s="42" t="s">
        <v>27</v>
      </c>
      <c r="H360" s="42">
        <v>406</v>
      </c>
      <c r="I360" s="42" t="str">
        <f>VLOOKUP(продажи!$B360,товар!$A$1:$C$433,2)</f>
        <v>Крупа</v>
      </c>
      <c r="J360" s="42" t="str">
        <f>VLOOKUP(B360,товар!$A$1:$C$433,3)</f>
        <v>Увелка</v>
      </c>
      <c r="K360" s="44">
        <f>AVERAGEIF(продажи!$I$2:$I$1001,продажи!$I$2:$I$1001,продажи!$C$2:$C$1001)</f>
        <v>255.11627906976744</v>
      </c>
      <c r="L360" s="45">
        <f>продажи!$C360/продажи!$K360-1</f>
        <v>0.6619872379216043</v>
      </c>
      <c r="M360" s="33">
        <f t="shared" si="10"/>
        <v>3023</v>
      </c>
      <c r="N360" s="24">
        <f>Таблица1[[#This Row],[цена за шт в рублях]]/Таблица1[[#This Row],[средняя стоимость в категории по поставщику.]]-1</f>
        <v>-0.8597419781673834</v>
      </c>
      <c r="O360" s="26">
        <f>VLOOKUP(Таблица1[[#This Row],[id клиента]],клиенты!$A$2:$E$435,5,0)</f>
        <v>44895</v>
      </c>
      <c r="P360">
        <f>Таблица1[[#This Row],[дата создания чека]]-Таблица1[[#This Row],[Дата регистрации клента]]</f>
        <v>271</v>
      </c>
      <c r="Q360" s="26">
        <f t="shared" ca="1" si="11"/>
        <v>46059</v>
      </c>
      <c r="R360" s="51">
        <f ca="1">(TODAY()-Таблица1[[#This Row],[Дата регистрации клента]])/30</f>
        <v>38.799999999999997</v>
      </c>
      <c r="S360" s="63" t="str">
        <f>VLOOKUP(Таблица1[[#This Row],[id клиента]],Таблица8[[id клиента]:[Страна]],7,0)</f>
        <v>Украина</v>
      </c>
      <c r="T360" s="26"/>
    </row>
    <row r="361" spans="1:20" ht="19.5" x14ac:dyDescent="0.4">
      <c r="A361" s="37">
        <v>360</v>
      </c>
      <c r="B361" s="31">
        <v>348</v>
      </c>
      <c r="C361" s="31">
        <v>147</v>
      </c>
      <c r="D361" s="31">
        <v>4</v>
      </c>
      <c r="E361" s="31">
        <v>588</v>
      </c>
      <c r="F361" s="38">
        <v>45006</v>
      </c>
      <c r="G361" s="31" t="s">
        <v>22</v>
      </c>
      <c r="H361" s="31">
        <v>157</v>
      </c>
      <c r="I361" s="31" t="str">
        <f>VLOOKUP(продажи!$B361,товар!$A$1:$C$433,2)</f>
        <v>Чипсы</v>
      </c>
      <c r="J361" s="31" t="str">
        <f>VLOOKUP(B361,товар!$A$1:$C$433,3)</f>
        <v>Estrella</v>
      </c>
      <c r="K361" s="39">
        <f>AVERAGEIF(продажи!$I$2:$I$1001,продажи!$I$2:$I$1001,продажи!$C$2:$C$1001)</f>
        <v>273.72549019607845</v>
      </c>
      <c r="L361" s="40">
        <f>продажи!$C361/продажи!$K361-1</f>
        <v>-0.4629656160458453</v>
      </c>
      <c r="M361" s="33">
        <f t="shared" si="10"/>
        <v>2929</v>
      </c>
      <c r="N361" s="24">
        <f>Таблица1[[#This Row],[цена за шт в рублях]]/Таблица1[[#This Row],[средняя стоимость в категории по поставщику.]]-1</f>
        <v>-0.9498122226015705</v>
      </c>
      <c r="O361" s="26">
        <f>VLOOKUP(Таблица1[[#This Row],[id клиента]],клиенты!$A$2:$E$435,5,0)</f>
        <v>44783</v>
      </c>
      <c r="P361">
        <f>Таблица1[[#This Row],[дата создания чека]]-Таблица1[[#This Row],[Дата регистрации клента]]</f>
        <v>223</v>
      </c>
      <c r="Q361" s="26">
        <f t="shared" ca="1" si="11"/>
        <v>46059</v>
      </c>
      <c r="R361" s="51">
        <f ca="1">(TODAY()-Таблица1[[#This Row],[Дата регистрации клента]])/30</f>
        <v>42.533333333333331</v>
      </c>
      <c r="S361" s="63" t="str">
        <f>VLOOKUP(Таблица1[[#This Row],[id клиента]],Таблица8[[id клиента]:[Страна]],7,0)</f>
        <v>Россия</v>
      </c>
      <c r="T361" s="26"/>
    </row>
    <row r="362" spans="1:20" ht="19.5" x14ac:dyDescent="0.4">
      <c r="A362" s="41">
        <v>361</v>
      </c>
      <c r="B362" s="42">
        <v>350</v>
      </c>
      <c r="C362" s="42">
        <v>319</v>
      </c>
      <c r="D362" s="42">
        <v>3</v>
      </c>
      <c r="E362" s="42">
        <v>957</v>
      </c>
      <c r="F362" s="43">
        <v>45385</v>
      </c>
      <c r="G362" s="42" t="s">
        <v>8</v>
      </c>
      <c r="H362" s="42">
        <v>56</v>
      </c>
      <c r="I362" s="42" t="str">
        <f>VLOOKUP(продажи!$B362,товар!$A$1:$C$433,2)</f>
        <v>Фрукты</v>
      </c>
      <c r="J362" s="42" t="str">
        <f>VLOOKUP(B362,товар!$A$1:$C$433,3)</f>
        <v>Фрукты-Ягоды</v>
      </c>
      <c r="K362" s="44">
        <f>AVERAGEIF(продажи!$I$2:$I$1001,продажи!$I$2:$I$1001,продажи!$C$2:$C$1001)</f>
        <v>274.16279069767444</v>
      </c>
      <c r="L362" s="45">
        <f>продажи!$C362/продажи!$K362-1</f>
        <v>0.16354228518110103</v>
      </c>
      <c r="M362" s="33">
        <f t="shared" si="10"/>
        <v>2526</v>
      </c>
      <c r="N362" s="24">
        <f>Таблица1[[#This Row],[цена за шт в рублях]]/Таблица1[[#This Row],[средняя стоимость в категории по поставщику.]]-1</f>
        <v>-0.87371338083927164</v>
      </c>
      <c r="O362" s="26">
        <f>VLOOKUP(Таблица1[[#This Row],[id клиента]],клиенты!$A$2:$E$435,5,0)</f>
        <v>44662</v>
      </c>
      <c r="P362">
        <f>Таблица1[[#This Row],[дата создания чека]]-Таблица1[[#This Row],[Дата регистрации клента]]</f>
        <v>723</v>
      </c>
      <c r="Q362" s="26">
        <f t="shared" ca="1" si="11"/>
        <v>46059</v>
      </c>
      <c r="R362" s="51">
        <f ca="1">(TODAY()-Таблица1[[#This Row],[Дата регистрации клента]])/30</f>
        <v>46.56666666666667</v>
      </c>
      <c r="S362" s="63" t="str">
        <f>VLOOKUP(Таблица1[[#This Row],[id клиента]],Таблица8[[id клиента]:[Страна]],7,0)</f>
        <v>Таджикистан</v>
      </c>
      <c r="T362" s="26"/>
    </row>
    <row r="363" spans="1:20" ht="19.5" x14ac:dyDescent="0.4">
      <c r="A363" s="37">
        <v>362</v>
      </c>
      <c r="B363" s="31">
        <v>126</v>
      </c>
      <c r="C363" s="31">
        <v>479</v>
      </c>
      <c r="D363" s="31">
        <v>2</v>
      </c>
      <c r="E363" s="31">
        <v>958</v>
      </c>
      <c r="F363" s="38">
        <v>45045</v>
      </c>
      <c r="G363" s="31" t="s">
        <v>24</v>
      </c>
      <c r="H363" s="31">
        <v>10</v>
      </c>
      <c r="I363" s="31" t="str">
        <f>VLOOKUP(продажи!$B363,товар!$A$1:$C$433,2)</f>
        <v>Сахар</v>
      </c>
      <c r="J363" s="31" t="str">
        <f>VLOOKUP(B363,товар!$A$1:$C$433,3)</f>
        <v>Русский сахар</v>
      </c>
      <c r="K363" s="39">
        <f>AVERAGEIF(продажи!$I$2:$I$1001,продажи!$I$2:$I$1001,продажи!$C$2:$C$1001)</f>
        <v>254.58333333333334</v>
      </c>
      <c r="L363" s="40">
        <f>продажи!$C363/продажи!$K363-1</f>
        <v>0.8815057283142389</v>
      </c>
      <c r="M363" s="33">
        <f t="shared" si="10"/>
        <v>4988</v>
      </c>
      <c r="N363" s="24">
        <f>Таблица1[[#This Row],[цена за шт в рублях]]/Таблица1[[#This Row],[средняя стоимость в категории по поставщику.]]-1</f>
        <v>-0.90396952686447474</v>
      </c>
      <c r="O363" s="26">
        <f>VLOOKUP(Таблица1[[#This Row],[id клиента]],клиенты!$A$2:$E$435,5,0)</f>
        <v>44881</v>
      </c>
      <c r="P363">
        <f>Таблица1[[#This Row],[дата создания чека]]-Таблица1[[#This Row],[Дата регистрации клента]]</f>
        <v>164</v>
      </c>
      <c r="Q363" s="26">
        <f t="shared" ca="1" si="11"/>
        <v>46059</v>
      </c>
      <c r="R363" s="51">
        <f ca="1">(TODAY()-Таблица1[[#This Row],[Дата регистрации клента]])/30</f>
        <v>39.266666666666666</v>
      </c>
      <c r="S363" s="63" t="str">
        <f>VLOOKUP(Таблица1[[#This Row],[id клиента]],Таблица8[[id клиента]:[Страна]],7,0)</f>
        <v>Украина</v>
      </c>
      <c r="T363" s="26"/>
    </row>
    <row r="364" spans="1:20" ht="19.5" x14ac:dyDescent="0.4">
      <c r="A364" s="41">
        <v>363</v>
      </c>
      <c r="B364" s="42">
        <v>258</v>
      </c>
      <c r="C364" s="42">
        <v>181</v>
      </c>
      <c r="D364" s="42">
        <v>5</v>
      </c>
      <c r="E364" s="42">
        <v>905</v>
      </c>
      <c r="F364" s="43">
        <v>45054</v>
      </c>
      <c r="G364" s="42" t="s">
        <v>27</v>
      </c>
      <c r="H364" s="42">
        <v>174</v>
      </c>
      <c r="I364" s="42" t="str">
        <f>VLOOKUP(продажи!$B364,товар!$A$1:$C$433,2)</f>
        <v>Рыба</v>
      </c>
      <c r="J364" s="42" t="str">
        <f>VLOOKUP(B364,товар!$A$1:$C$433,3)</f>
        <v>Санта Бремор</v>
      </c>
      <c r="K364" s="44">
        <f>AVERAGEIF(продажи!$I$2:$I$1001,продажи!$I$2:$I$1001,продажи!$C$2:$C$1001)</f>
        <v>258.5128205128205</v>
      </c>
      <c r="L364" s="45">
        <f>продажи!$C364/продажи!$K364-1</f>
        <v>-0.29984130132910136</v>
      </c>
      <c r="M364" s="33">
        <f t="shared" si="10"/>
        <v>2164</v>
      </c>
      <c r="N364" s="24">
        <f>Таблица1[[#This Row],[цена за шт в рублях]]/Таблица1[[#This Row],[средняя стоимость в категории по поставщику.]]-1</f>
        <v>-0.91635859519408502</v>
      </c>
      <c r="O364" s="26">
        <f>VLOOKUP(Таблица1[[#This Row],[id клиента]],клиенты!$A$2:$E$435,5,0)</f>
        <v>44779</v>
      </c>
      <c r="P364">
        <f>Таблица1[[#This Row],[дата создания чека]]-Таблица1[[#This Row],[Дата регистрации клента]]</f>
        <v>275</v>
      </c>
      <c r="Q364" s="26">
        <f t="shared" ca="1" si="11"/>
        <v>46059</v>
      </c>
      <c r="R364" s="51">
        <f ca="1">(TODAY()-Таблица1[[#This Row],[Дата регистрации клента]])/30</f>
        <v>42.666666666666664</v>
      </c>
      <c r="S364" s="63" t="str">
        <f>VLOOKUP(Таблица1[[#This Row],[id клиента]],Таблица8[[id клиента]:[Страна]],7,0)</f>
        <v>Таджикистан</v>
      </c>
      <c r="T364" s="26"/>
    </row>
    <row r="365" spans="1:20" ht="19.5" x14ac:dyDescent="0.4">
      <c r="A365" s="37">
        <v>364</v>
      </c>
      <c r="B365" s="31">
        <v>325</v>
      </c>
      <c r="C365" s="31">
        <v>361</v>
      </c>
      <c r="D365" s="31">
        <v>5</v>
      </c>
      <c r="E365" s="31">
        <v>1805</v>
      </c>
      <c r="F365" s="38">
        <v>45243</v>
      </c>
      <c r="G365" s="31" t="s">
        <v>11</v>
      </c>
      <c r="H365" s="31">
        <v>110</v>
      </c>
      <c r="I365" s="31" t="str">
        <f>VLOOKUP(продажи!$B365,товар!$A$1:$C$433,2)</f>
        <v>Сок</v>
      </c>
      <c r="J365" s="31" t="str">
        <f>VLOOKUP(B365,товар!$A$1:$C$433,3)</f>
        <v>Добрый</v>
      </c>
      <c r="K365" s="39">
        <f>AVERAGEIF(продажи!$I$2:$I$1001,продажи!$I$2:$I$1001,продажи!$C$2:$C$1001)</f>
        <v>268.60344827586209</v>
      </c>
      <c r="L365" s="40">
        <f>продажи!$C365/продажи!$K365-1</f>
        <v>0.34398870274086901</v>
      </c>
      <c r="M365" s="33">
        <f t="shared" si="10"/>
        <v>2671</v>
      </c>
      <c r="N365" s="24">
        <f>Таблица1[[#This Row],[цена за шт в рублях]]/Таблица1[[#This Row],[средняя стоимость в категории по поставщику.]]-1</f>
        <v>-0.86484462748034441</v>
      </c>
      <c r="O365" s="26">
        <f>VLOOKUP(Таблица1[[#This Row],[id клиента]],клиенты!$A$2:$E$435,5,0)</f>
        <v>44580</v>
      </c>
      <c r="P365">
        <f>Таблица1[[#This Row],[дата создания чека]]-Таблица1[[#This Row],[Дата регистрации клента]]</f>
        <v>663</v>
      </c>
      <c r="Q365" s="26">
        <f t="shared" ca="1" si="11"/>
        <v>46059</v>
      </c>
      <c r="R365" s="51">
        <f ca="1">(TODAY()-Таблица1[[#This Row],[Дата регистрации клента]])/30</f>
        <v>49.3</v>
      </c>
      <c r="S365" s="63" t="str">
        <f>VLOOKUP(Таблица1[[#This Row],[id клиента]],Таблица8[[id клиента]:[Страна]],7,0)</f>
        <v>Узбекистан</v>
      </c>
      <c r="T365" s="26"/>
    </row>
    <row r="366" spans="1:20" ht="19.5" x14ac:dyDescent="0.4">
      <c r="A366" s="41">
        <v>365</v>
      </c>
      <c r="B366" s="42">
        <v>320</v>
      </c>
      <c r="C366" s="42">
        <v>254</v>
      </c>
      <c r="D366" s="42">
        <v>1</v>
      </c>
      <c r="E366" s="42">
        <v>254</v>
      </c>
      <c r="F366" s="43">
        <v>45316</v>
      </c>
      <c r="G366" s="42" t="s">
        <v>19</v>
      </c>
      <c r="H366" s="42">
        <v>72</v>
      </c>
      <c r="I366" s="42" t="str">
        <f>VLOOKUP(продажи!$B366,товар!$A$1:$C$433,2)</f>
        <v>Конфеты</v>
      </c>
      <c r="J366" s="42" t="str">
        <f>VLOOKUP(B366,товар!$A$1:$C$433,3)</f>
        <v>Бабаевский</v>
      </c>
      <c r="K366" s="44">
        <f>AVERAGEIF(продажи!$I$2:$I$1001,продажи!$I$2:$I$1001,продажи!$C$2:$C$1001)</f>
        <v>267.85483870967744</v>
      </c>
      <c r="L366" s="45">
        <f>продажи!$C366/продажи!$K366-1</f>
        <v>-5.172517613054739E-2</v>
      </c>
      <c r="M366" s="33">
        <f t="shared" si="10"/>
        <v>6757</v>
      </c>
      <c r="N366" s="24">
        <f>Таблица1[[#This Row],[цена за шт в рублях]]/Таблица1[[#This Row],[средняя стоимость в категории по поставщику.]]-1</f>
        <v>-0.96240935326328247</v>
      </c>
      <c r="O366" s="26">
        <f>VLOOKUP(Таблица1[[#This Row],[id клиента]],клиенты!$A$2:$E$435,5,0)</f>
        <v>44906</v>
      </c>
      <c r="P366">
        <f>Таблица1[[#This Row],[дата создания чека]]-Таблица1[[#This Row],[Дата регистрации клента]]</f>
        <v>410</v>
      </c>
      <c r="Q366" s="26">
        <f t="shared" ca="1" si="11"/>
        <v>46059</v>
      </c>
      <c r="R366" s="51">
        <f ca="1">(TODAY()-Таблица1[[#This Row],[Дата регистрации клента]])/30</f>
        <v>38.43333333333333</v>
      </c>
      <c r="S366" s="63" t="str">
        <f>VLOOKUP(Таблица1[[#This Row],[id клиента]],Таблица8[[id клиента]:[Страна]],7,0)</f>
        <v>Таджикистан</v>
      </c>
      <c r="T366" s="26"/>
    </row>
    <row r="367" spans="1:20" ht="19.5" x14ac:dyDescent="0.4">
      <c r="A367" s="37">
        <v>366</v>
      </c>
      <c r="B367" s="31">
        <v>329</v>
      </c>
      <c r="C367" s="31">
        <v>187</v>
      </c>
      <c r="D367" s="31">
        <v>4</v>
      </c>
      <c r="E367" s="31">
        <v>748</v>
      </c>
      <c r="F367" s="38">
        <v>45274</v>
      </c>
      <c r="G367" s="31" t="s">
        <v>20</v>
      </c>
      <c r="H367" s="31">
        <v>307</v>
      </c>
      <c r="I367" s="31" t="str">
        <f>VLOOKUP(продажи!$B367,товар!$A$1:$C$433,2)</f>
        <v>Соль</v>
      </c>
      <c r="J367" s="31" t="str">
        <f>VLOOKUP(B367,товар!$A$1:$C$433,3)</f>
        <v>Славянская</v>
      </c>
      <c r="K367" s="39">
        <f>AVERAGEIF(продажи!$I$2:$I$1001,продажи!$I$2:$I$1001,продажи!$C$2:$C$1001)</f>
        <v>264.8679245283019</v>
      </c>
      <c r="L367" s="40">
        <f>продажи!$C367/продажи!$K367-1</f>
        <v>-0.29398774754238499</v>
      </c>
      <c r="M367" s="33">
        <f t="shared" si="10"/>
        <v>2843</v>
      </c>
      <c r="N367" s="24">
        <f>Таблица1[[#This Row],[цена за шт в рублях]]/Таблица1[[#This Row],[средняя стоимость в категории по поставщику.]]-1</f>
        <v>-0.9342244108336264</v>
      </c>
      <c r="O367" s="26">
        <f>VLOOKUP(Таблица1[[#This Row],[id клиента]],клиенты!$A$2:$E$435,5,0)</f>
        <v>44764</v>
      </c>
      <c r="P367">
        <f>Таблица1[[#This Row],[дата создания чека]]-Таблица1[[#This Row],[Дата регистрации клента]]</f>
        <v>510</v>
      </c>
      <c r="Q367" s="26">
        <f t="shared" ca="1" si="11"/>
        <v>46059</v>
      </c>
      <c r="R367" s="51">
        <f ca="1">(TODAY()-Таблица1[[#This Row],[Дата регистрации клента]])/30</f>
        <v>43.166666666666664</v>
      </c>
      <c r="S367" s="63" t="str">
        <f>VLOOKUP(Таблица1[[#This Row],[id клиента]],Таблица8[[id клиента]:[Страна]],7,0)</f>
        <v>Беларусь</v>
      </c>
      <c r="T367" s="26"/>
    </row>
    <row r="368" spans="1:20" ht="19.5" x14ac:dyDescent="0.4">
      <c r="A368" s="41">
        <v>367</v>
      </c>
      <c r="B368" s="42">
        <v>226</v>
      </c>
      <c r="C368" s="42">
        <v>155</v>
      </c>
      <c r="D368" s="42">
        <v>4</v>
      </c>
      <c r="E368" s="42">
        <v>620</v>
      </c>
      <c r="F368" s="43">
        <v>44967</v>
      </c>
      <c r="G368" s="42" t="s">
        <v>21</v>
      </c>
      <c r="H368" s="42">
        <v>202</v>
      </c>
      <c r="I368" s="42" t="str">
        <f>VLOOKUP(продажи!$B368,товар!$A$1:$C$433,2)</f>
        <v>Сыр</v>
      </c>
      <c r="J368" s="42" t="str">
        <f>VLOOKUP(B368,товар!$A$1:$C$433,3)</f>
        <v>Карат</v>
      </c>
      <c r="K368" s="44">
        <f>AVERAGEIF(продажи!$I$2:$I$1001,продажи!$I$2:$I$1001,продажи!$C$2:$C$1001)</f>
        <v>261.03225806451616</v>
      </c>
      <c r="L368" s="45">
        <f>продажи!$C368/продажи!$K368-1</f>
        <v>-0.40620365793376179</v>
      </c>
      <c r="M368" s="33">
        <f t="shared" si="10"/>
        <v>2802</v>
      </c>
      <c r="N368" s="24">
        <f>Таблица1[[#This Row],[цена за шт в рублях]]/Таблица1[[#This Row],[средняя стоимость в категории по поставщику.]]-1</f>
        <v>-0.94468236973590292</v>
      </c>
      <c r="O368" s="26">
        <f>VLOOKUP(Таблица1[[#This Row],[id клиента]],клиенты!$A$2:$E$435,5,0)</f>
        <v>44766</v>
      </c>
      <c r="P368">
        <f>Таблица1[[#This Row],[дата создания чека]]-Таблица1[[#This Row],[Дата регистрации клента]]</f>
        <v>201</v>
      </c>
      <c r="Q368" s="26">
        <f t="shared" ca="1" si="11"/>
        <v>46059</v>
      </c>
      <c r="R368" s="51">
        <f ca="1">(TODAY()-Таблица1[[#This Row],[Дата регистрации клента]])/30</f>
        <v>43.1</v>
      </c>
      <c r="S368" s="63" t="str">
        <f>VLOOKUP(Таблица1[[#This Row],[id клиента]],Таблица8[[id клиента]:[Страна]],7,0)</f>
        <v>Беларусь</v>
      </c>
      <c r="T368" s="26"/>
    </row>
    <row r="369" spans="1:20" ht="19.5" x14ac:dyDescent="0.4">
      <c r="A369" s="37">
        <v>368</v>
      </c>
      <c r="B369" s="31">
        <v>270</v>
      </c>
      <c r="C369" s="31">
        <v>78</v>
      </c>
      <c r="D369" s="31">
        <v>4</v>
      </c>
      <c r="E369" s="31">
        <v>312</v>
      </c>
      <c r="F369" s="38">
        <v>44932</v>
      </c>
      <c r="G369" s="31" t="s">
        <v>24</v>
      </c>
      <c r="H369" s="31">
        <v>157</v>
      </c>
      <c r="I369" s="31" t="str">
        <f>VLOOKUP(продажи!$B369,товар!$A$1:$C$433,2)</f>
        <v>Соль</v>
      </c>
      <c r="J369" s="31" t="str">
        <f>VLOOKUP(B369,товар!$A$1:$C$433,3)</f>
        <v>Славянская</v>
      </c>
      <c r="K369" s="39">
        <f>AVERAGEIF(продажи!$I$2:$I$1001,продажи!$I$2:$I$1001,продажи!$C$2:$C$1001)</f>
        <v>264.8679245283019</v>
      </c>
      <c r="L369" s="40">
        <f>продажи!$C369/продажи!$K369-1</f>
        <v>-0.70551360592677015</v>
      </c>
      <c r="M369" s="33">
        <f t="shared" si="10"/>
        <v>2843</v>
      </c>
      <c r="N369" s="24">
        <f>Таблица1[[#This Row],[цена за шт в рублях]]/Таблица1[[#This Row],[средняя стоимость в категории по поставщику.]]-1</f>
        <v>-0.97256419275413297</v>
      </c>
      <c r="O369" s="26">
        <f>VLOOKUP(Таблица1[[#This Row],[id клиента]],клиенты!$A$2:$E$435,5,0)</f>
        <v>44783</v>
      </c>
      <c r="P369">
        <f>Таблица1[[#This Row],[дата создания чека]]-Таблица1[[#This Row],[Дата регистрации клента]]</f>
        <v>149</v>
      </c>
      <c r="Q369" s="26">
        <f t="shared" ca="1" si="11"/>
        <v>46059</v>
      </c>
      <c r="R369" s="51">
        <f ca="1">(TODAY()-Таблица1[[#This Row],[Дата регистрации клента]])/30</f>
        <v>42.533333333333331</v>
      </c>
      <c r="S369" s="63" t="str">
        <f>VLOOKUP(Таблица1[[#This Row],[id клиента]],Таблица8[[id клиента]:[Страна]],7,0)</f>
        <v>Россия</v>
      </c>
      <c r="T369" s="26"/>
    </row>
    <row r="370" spans="1:20" ht="19.5" x14ac:dyDescent="0.4">
      <c r="A370" s="41">
        <v>369</v>
      </c>
      <c r="B370" s="42">
        <v>233</v>
      </c>
      <c r="C370" s="42">
        <v>478</v>
      </c>
      <c r="D370" s="42">
        <v>2</v>
      </c>
      <c r="E370" s="42">
        <v>956</v>
      </c>
      <c r="F370" s="43">
        <v>45129</v>
      </c>
      <c r="G370" s="42" t="s">
        <v>22</v>
      </c>
      <c r="H370" s="42">
        <v>270</v>
      </c>
      <c r="I370" s="42" t="str">
        <f>VLOOKUP(продажи!$B370,товар!$A$1:$C$433,2)</f>
        <v>Йогурт</v>
      </c>
      <c r="J370" s="42" t="str">
        <f>VLOOKUP(B370,товар!$A$1:$C$433,3)</f>
        <v>Ростагроэкспорт</v>
      </c>
      <c r="K370" s="44">
        <f>AVERAGEIF(продажи!$I$2:$I$1001,продажи!$I$2:$I$1001,продажи!$C$2:$C$1001)</f>
        <v>263.25423728813558</v>
      </c>
      <c r="L370" s="45">
        <f>продажи!$C370/продажи!$K370-1</f>
        <v>0.8157352562451714</v>
      </c>
      <c r="M370" s="33">
        <f t="shared" si="10"/>
        <v>5929</v>
      </c>
      <c r="N370" s="24">
        <f>Таблица1[[#This Row],[цена за шт в рублях]]/Таблица1[[#This Row],[средняя стоимость в категории по поставщику.]]-1</f>
        <v>-0.91937932197672456</v>
      </c>
      <c r="O370" s="26">
        <f>VLOOKUP(Таблица1[[#This Row],[id клиента]],клиенты!$A$2:$E$435,5,0)</f>
        <v>44827</v>
      </c>
      <c r="P370">
        <f>Таблица1[[#This Row],[дата создания чека]]-Таблица1[[#This Row],[Дата регистрации клента]]</f>
        <v>302</v>
      </c>
      <c r="Q370" s="26">
        <f t="shared" ca="1" si="11"/>
        <v>46059</v>
      </c>
      <c r="R370" s="51">
        <f ca="1">(TODAY()-Таблица1[[#This Row],[Дата регистрации клента]])/30</f>
        <v>41.06666666666667</v>
      </c>
      <c r="S370" s="63" t="str">
        <f>VLOOKUP(Таблица1[[#This Row],[id клиента]],Таблица8[[id клиента]:[Страна]],7,0)</f>
        <v>Таджикистан</v>
      </c>
      <c r="T370" s="26"/>
    </row>
    <row r="371" spans="1:20" ht="19.5" x14ac:dyDescent="0.4">
      <c r="A371" s="37">
        <v>370</v>
      </c>
      <c r="B371" s="31">
        <v>178</v>
      </c>
      <c r="C371" s="31">
        <v>176</v>
      </c>
      <c r="D371" s="31">
        <v>5</v>
      </c>
      <c r="E371" s="31">
        <v>880</v>
      </c>
      <c r="F371" s="38">
        <v>45183</v>
      </c>
      <c r="G371" s="31" t="s">
        <v>17</v>
      </c>
      <c r="H371" s="31">
        <v>65</v>
      </c>
      <c r="I371" s="31" t="str">
        <f>VLOOKUP(продажи!$B371,товар!$A$1:$C$433,2)</f>
        <v>Йогурт</v>
      </c>
      <c r="J371" s="31" t="str">
        <f>VLOOKUP(B371,товар!$A$1:$C$433,3)</f>
        <v>Ростагроэкспорт</v>
      </c>
      <c r="K371" s="39">
        <f>AVERAGEIF(продажи!$I$2:$I$1001,продажи!$I$2:$I$1001,продажи!$C$2:$C$1001)</f>
        <v>263.25423728813558</v>
      </c>
      <c r="L371" s="40">
        <f>продажи!$C371/продажи!$K371-1</f>
        <v>-0.33144475920679883</v>
      </c>
      <c r="M371" s="33">
        <f t="shared" si="10"/>
        <v>5929</v>
      </c>
      <c r="N371" s="24">
        <f>Таблица1[[#This Row],[цена за шт в рублях]]/Таблица1[[#This Row],[средняя стоимость в категории по поставщику.]]-1</f>
        <v>-0.9703153988868275</v>
      </c>
      <c r="O371" s="26">
        <f>VLOOKUP(Таблица1[[#This Row],[id клиента]],клиенты!$A$2:$E$435,5,0)</f>
        <v>44623</v>
      </c>
      <c r="P371">
        <f>Таблица1[[#This Row],[дата создания чека]]-Таблица1[[#This Row],[Дата регистрации клента]]</f>
        <v>560</v>
      </c>
      <c r="Q371" s="26">
        <f t="shared" ca="1" si="11"/>
        <v>46059</v>
      </c>
      <c r="R371" s="51">
        <f ca="1">(TODAY()-Таблица1[[#This Row],[Дата регистрации клента]])/30</f>
        <v>47.866666666666667</v>
      </c>
      <c r="S371" s="63" t="str">
        <f>VLOOKUP(Таблица1[[#This Row],[id клиента]],Таблица8[[id клиента]:[Страна]],7,0)</f>
        <v>Украина</v>
      </c>
      <c r="T371" s="26"/>
    </row>
    <row r="372" spans="1:20" ht="19.5" x14ac:dyDescent="0.4">
      <c r="A372" s="41">
        <v>371</v>
      </c>
      <c r="B372" s="42">
        <v>293</v>
      </c>
      <c r="C372" s="42">
        <v>179</v>
      </c>
      <c r="D372" s="42">
        <v>4</v>
      </c>
      <c r="E372" s="42">
        <v>716</v>
      </c>
      <c r="F372" s="43">
        <v>45258</v>
      </c>
      <c r="G372" s="42" t="s">
        <v>11</v>
      </c>
      <c r="H372" s="42">
        <v>38</v>
      </c>
      <c r="I372" s="42" t="str">
        <f>VLOOKUP(продажи!$B372,товар!$A$1:$C$433,2)</f>
        <v>Конфеты</v>
      </c>
      <c r="J372" s="42" t="str">
        <f>VLOOKUP(B372,товар!$A$1:$C$433,3)</f>
        <v>Бабаевский</v>
      </c>
      <c r="K372" s="44">
        <f>AVERAGEIF(продажи!$I$2:$I$1001,продажи!$I$2:$I$1001,продажи!$C$2:$C$1001)</f>
        <v>267.85483870967744</v>
      </c>
      <c r="L372" s="45">
        <f>продажи!$C372/продажи!$K372-1</f>
        <v>-0.33172758475341724</v>
      </c>
      <c r="M372" s="33">
        <f t="shared" si="10"/>
        <v>6757</v>
      </c>
      <c r="N372" s="24">
        <f>Таблица1[[#This Row],[цена за шт в рублях]]/Таблица1[[#This Row],[средняя стоимость в категории по поставщику.]]-1</f>
        <v>-0.97350895367766765</v>
      </c>
      <c r="O372" s="26">
        <f>VLOOKUP(Таблица1[[#This Row],[id клиента]],клиенты!$A$2:$E$435,5,0)</f>
        <v>44819</v>
      </c>
      <c r="P372">
        <f>Таблица1[[#This Row],[дата создания чека]]-Таблица1[[#This Row],[Дата регистрации клента]]</f>
        <v>439</v>
      </c>
      <c r="Q372" s="26">
        <f t="shared" ca="1" si="11"/>
        <v>46059</v>
      </c>
      <c r="R372" s="51">
        <f ca="1">(TODAY()-Таблица1[[#This Row],[Дата регистрации клента]])/30</f>
        <v>41.333333333333336</v>
      </c>
      <c r="S372" s="63" t="str">
        <f>VLOOKUP(Таблица1[[#This Row],[id клиента]],Таблица8[[id клиента]:[Страна]],7,0)</f>
        <v>Таджикистан</v>
      </c>
      <c r="T372" s="26"/>
    </row>
    <row r="373" spans="1:20" ht="19.5" x14ac:dyDescent="0.4">
      <c r="A373" s="37">
        <v>372</v>
      </c>
      <c r="B373" s="31">
        <v>286</v>
      </c>
      <c r="C373" s="31">
        <v>122</v>
      </c>
      <c r="D373" s="31">
        <v>5</v>
      </c>
      <c r="E373" s="31">
        <v>610</v>
      </c>
      <c r="F373" s="38">
        <v>45147</v>
      </c>
      <c r="G373" s="31" t="s">
        <v>13</v>
      </c>
      <c r="H373" s="31">
        <v>356</v>
      </c>
      <c r="I373" s="31" t="str">
        <f>VLOOKUP(продажи!$B373,товар!$A$1:$C$433,2)</f>
        <v>Йогурт</v>
      </c>
      <c r="J373" s="31" t="str">
        <f>VLOOKUP(B373,товар!$A$1:$C$433,3)</f>
        <v>Ростагроэкспорт</v>
      </c>
      <c r="K373" s="39">
        <f>AVERAGEIF(продажи!$I$2:$I$1001,продажи!$I$2:$I$1001,продажи!$C$2:$C$1001)</f>
        <v>263.25423728813558</v>
      </c>
      <c r="L373" s="40">
        <f>продажи!$C373/продажи!$K373-1</f>
        <v>-0.53656966263198558</v>
      </c>
      <c r="M373" s="33">
        <f t="shared" si="10"/>
        <v>5929</v>
      </c>
      <c r="N373" s="24">
        <f>Таблица1[[#This Row],[цена за шт в рублях]]/Таблица1[[#This Row],[средняя стоимость в категории по поставщику.]]-1</f>
        <v>-0.979423174228369</v>
      </c>
      <c r="O373" s="26">
        <f>VLOOKUP(Таблица1[[#This Row],[id клиента]],клиенты!$A$2:$E$435,5,0)</f>
        <v>44570</v>
      </c>
      <c r="P373">
        <f>Таблица1[[#This Row],[дата создания чека]]-Таблица1[[#This Row],[Дата регистрации клента]]</f>
        <v>577</v>
      </c>
      <c r="Q373" s="26">
        <f t="shared" ca="1" si="11"/>
        <v>46059</v>
      </c>
      <c r="R373" s="51">
        <f ca="1">(TODAY()-Таблица1[[#This Row],[Дата регистрации клента]])/30</f>
        <v>49.633333333333333</v>
      </c>
      <c r="S373" s="63" t="str">
        <f>VLOOKUP(Таблица1[[#This Row],[id клиента]],Таблица8[[id клиента]:[Страна]],7,0)</f>
        <v>Таджикистан</v>
      </c>
      <c r="T373" s="26"/>
    </row>
    <row r="374" spans="1:20" ht="19.5" x14ac:dyDescent="0.4">
      <c r="A374" s="41">
        <v>373</v>
      </c>
      <c r="B374" s="42">
        <v>11</v>
      </c>
      <c r="C374" s="42">
        <v>199</v>
      </c>
      <c r="D374" s="42">
        <v>4</v>
      </c>
      <c r="E374" s="42">
        <v>796</v>
      </c>
      <c r="F374" s="43">
        <v>45374</v>
      </c>
      <c r="G374" s="42" t="s">
        <v>17</v>
      </c>
      <c r="H374" s="42">
        <v>296</v>
      </c>
      <c r="I374" s="42" t="str">
        <f>VLOOKUP(продажи!$B374,товар!$A$1:$C$433,2)</f>
        <v>Хлеб</v>
      </c>
      <c r="J374" s="42" t="str">
        <f>VLOOKUP(B374,товар!$A$1:$C$433,3)</f>
        <v>Русский Хлеб</v>
      </c>
      <c r="K374" s="44">
        <f>AVERAGEIF(продажи!$I$2:$I$1001,продажи!$I$2:$I$1001,продажи!$C$2:$C$1001)</f>
        <v>300.31818181818181</v>
      </c>
      <c r="L374" s="45">
        <f>продажи!$C374/продажи!$K374-1</f>
        <v>-0.33736945663690021</v>
      </c>
      <c r="M374" s="33">
        <f t="shared" si="10"/>
        <v>3166</v>
      </c>
      <c r="N374" s="24">
        <f>Таблица1[[#This Row],[цена за шт в рублях]]/Таблица1[[#This Row],[средняя стоимость в категории по поставщику.]]-1</f>
        <v>-0.9371446620341124</v>
      </c>
      <c r="O374" s="26">
        <f>VLOOKUP(Таблица1[[#This Row],[id клиента]],клиенты!$A$2:$E$435,5,0)</f>
        <v>44758</v>
      </c>
      <c r="P374">
        <f>Таблица1[[#This Row],[дата создания чека]]-Таблица1[[#This Row],[Дата регистрации клента]]</f>
        <v>616</v>
      </c>
      <c r="Q374" s="26">
        <f t="shared" ca="1" si="11"/>
        <v>46059</v>
      </c>
      <c r="R374" s="51">
        <f ca="1">(TODAY()-Таблица1[[#This Row],[Дата регистрации клента]])/30</f>
        <v>43.366666666666667</v>
      </c>
      <c r="S374" s="63" t="str">
        <f>VLOOKUP(Таблица1[[#This Row],[id клиента]],Таблица8[[id клиента]:[Страна]],7,0)</f>
        <v>Узбекистан</v>
      </c>
      <c r="T374" s="26"/>
    </row>
    <row r="375" spans="1:20" ht="19.5" x14ac:dyDescent="0.4">
      <c r="A375" s="37">
        <v>374</v>
      </c>
      <c r="B375" s="31">
        <v>441</v>
      </c>
      <c r="C375" s="31">
        <v>173</v>
      </c>
      <c r="D375" s="31">
        <v>3</v>
      </c>
      <c r="E375" s="31">
        <v>519</v>
      </c>
      <c r="F375" s="38">
        <v>45349</v>
      </c>
      <c r="G375" s="31" t="s">
        <v>14</v>
      </c>
      <c r="H375" s="31">
        <v>62</v>
      </c>
      <c r="I375" s="31" t="str">
        <f>VLOOKUP(продажи!$B375,товар!$A$1:$C$433,2)</f>
        <v>Чай</v>
      </c>
      <c r="J375" s="31" t="str">
        <f>VLOOKUP(B375,товар!$A$1:$C$433,3)</f>
        <v>Lipton</v>
      </c>
      <c r="K375" s="39">
        <f>AVERAGEIF(продажи!$I$2:$I$1001,продажи!$I$2:$I$1001,продажи!$C$2:$C$1001)</f>
        <v>271.18181818181819</v>
      </c>
      <c r="L375" s="40">
        <f>продажи!$C375/продажи!$K375-1</f>
        <v>-0.36205162587998663</v>
      </c>
      <c r="M375" s="33">
        <f t="shared" si="10"/>
        <v>4943</v>
      </c>
      <c r="N375" s="24">
        <f>Таблица1[[#This Row],[цена за шт в рублях]]/Таблица1[[#This Row],[средняя стоимость в категории по поставщику.]]-1</f>
        <v>-0.96500101153145867</v>
      </c>
      <c r="O375" s="26">
        <f>VLOOKUP(Таблица1[[#This Row],[id клиента]],клиенты!$A$2:$E$435,5,0)</f>
        <v>44671</v>
      </c>
      <c r="P375">
        <f>Таблица1[[#This Row],[дата создания чека]]-Таблица1[[#This Row],[Дата регистрации клента]]</f>
        <v>678</v>
      </c>
      <c r="Q375" s="26">
        <f t="shared" ca="1" si="11"/>
        <v>46059</v>
      </c>
      <c r="R375" s="51">
        <f ca="1">(TODAY()-Таблица1[[#This Row],[Дата регистрации клента]])/30</f>
        <v>46.266666666666666</v>
      </c>
      <c r="S375" s="63" t="str">
        <f>VLOOKUP(Таблица1[[#This Row],[id клиента]],Таблица8[[id клиента]:[Страна]],7,0)</f>
        <v>Россия</v>
      </c>
      <c r="T375" s="26"/>
    </row>
    <row r="376" spans="1:20" ht="19.5" x14ac:dyDescent="0.4">
      <c r="A376" s="41">
        <v>375</v>
      </c>
      <c r="B376" s="42">
        <v>19</v>
      </c>
      <c r="C376" s="42">
        <v>142</v>
      </c>
      <c r="D376" s="42">
        <v>3</v>
      </c>
      <c r="E376" s="42">
        <v>426</v>
      </c>
      <c r="F376" s="43">
        <v>45157</v>
      </c>
      <c r="G376" s="42" t="s">
        <v>10</v>
      </c>
      <c r="H376" s="42">
        <v>18</v>
      </c>
      <c r="I376" s="42" t="str">
        <f>VLOOKUP(продажи!$B376,товар!$A$1:$C$433,2)</f>
        <v>Мясо</v>
      </c>
      <c r="J376" s="42" t="str">
        <f>VLOOKUP(B376,товар!$A$1:$C$433,3)</f>
        <v>Снежана</v>
      </c>
      <c r="K376" s="44">
        <f>AVERAGEIF(продажи!$I$2:$I$1001,продажи!$I$2:$I$1001,продажи!$C$2:$C$1001)</f>
        <v>271.74545454545455</v>
      </c>
      <c r="L376" s="45">
        <f>продажи!$C376/продажи!$K376-1</f>
        <v>-0.47745216111334132</v>
      </c>
      <c r="M376" s="33">
        <f t="shared" si="10"/>
        <v>4630</v>
      </c>
      <c r="N376" s="24">
        <f>Таблица1[[#This Row],[цена за шт в рублях]]/Таблица1[[#This Row],[средняя стоимость в категории по поставщику.]]-1</f>
        <v>-0.96933045356371494</v>
      </c>
      <c r="O376" s="26">
        <f>VLOOKUP(Таблица1[[#This Row],[id клиента]],клиенты!$A$2:$E$435,5,0)</f>
        <v>44578</v>
      </c>
      <c r="P376">
        <f>Таблица1[[#This Row],[дата создания чека]]-Таблица1[[#This Row],[Дата регистрации клента]]</f>
        <v>579</v>
      </c>
      <c r="Q376" s="26">
        <f t="shared" ca="1" si="11"/>
        <v>46059</v>
      </c>
      <c r="R376" s="51">
        <f ca="1">(TODAY()-Таблица1[[#This Row],[Дата регистрации клента]])/30</f>
        <v>49.366666666666667</v>
      </c>
      <c r="S376" s="63" t="str">
        <f>VLOOKUP(Таблица1[[#This Row],[id клиента]],Таблица8[[id клиента]:[Страна]],7,0)</f>
        <v>Украина</v>
      </c>
      <c r="T376" s="26"/>
    </row>
    <row r="377" spans="1:20" ht="19.5" x14ac:dyDescent="0.4">
      <c r="A377" s="37">
        <v>376</v>
      </c>
      <c r="B377" s="31">
        <v>340</v>
      </c>
      <c r="C377" s="31">
        <v>157</v>
      </c>
      <c r="D377" s="31">
        <v>2</v>
      </c>
      <c r="E377" s="31">
        <v>314</v>
      </c>
      <c r="F377" s="38">
        <v>45075</v>
      </c>
      <c r="G377" s="31" t="s">
        <v>18</v>
      </c>
      <c r="H377" s="31">
        <v>376</v>
      </c>
      <c r="I377" s="31" t="str">
        <f>VLOOKUP(продажи!$B377,товар!$A$1:$C$433,2)</f>
        <v>Сыр</v>
      </c>
      <c r="J377" s="31" t="str">
        <f>VLOOKUP(B377,товар!$A$1:$C$433,3)</f>
        <v>Карат</v>
      </c>
      <c r="K377" s="39">
        <f>AVERAGEIF(продажи!$I$2:$I$1001,продажи!$I$2:$I$1001,продажи!$C$2:$C$1001)</f>
        <v>261.03225806451616</v>
      </c>
      <c r="L377" s="40">
        <f>продажи!$C377/продажи!$K377-1</f>
        <v>-0.3985417696490362</v>
      </c>
      <c r="M377" s="33">
        <f t="shared" si="10"/>
        <v>2802</v>
      </c>
      <c r="N377" s="24">
        <f>Таблица1[[#This Row],[цена за шт в рублях]]/Таблица1[[#This Row],[средняя стоимость в категории по поставщику.]]-1</f>
        <v>-0.94396859386152743</v>
      </c>
      <c r="O377" s="26">
        <f>VLOOKUP(Таблица1[[#This Row],[id клиента]],клиенты!$A$2:$E$435,5,0)</f>
        <v>44730</v>
      </c>
      <c r="P377">
        <f>Таблица1[[#This Row],[дата создания чека]]-Таблица1[[#This Row],[Дата регистрации клента]]</f>
        <v>345</v>
      </c>
      <c r="Q377" s="26">
        <f t="shared" ca="1" si="11"/>
        <v>46059</v>
      </c>
      <c r="R377" s="51">
        <f ca="1">(TODAY()-Таблица1[[#This Row],[Дата регистрации клента]])/30</f>
        <v>44.3</v>
      </c>
      <c r="S377" s="63" t="str">
        <f>VLOOKUP(Таблица1[[#This Row],[id клиента]],Таблица8[[id клиента]:[Страна]],7,0)</f>
        <v>Беларусь</v>
      </c>
      <c r="T377" s="26"/>
    </row>
    <row r="378" spans="1:20" ht="19.5" x14ac:dyDescent="0.4">
      <c r="A378" s="41">
        <v>377</v>
      </c>
      <c r="B378" s="42">
        <v>142</v>
      </c>
      <c r="C378" s="42">
        <v>160</v>
      </c>
      <c r="D378" s="42">
        <v>4</v>
      </c>
      <c r="E378" s="42">
        <v>640</v>
      </c>
      <c r="F378" s="43">
        <v>45414</v>
      </c>
      <c r="G378" s="42" t="s">
        <v>10</v>
      </c>
      <c r="H378" s="42">
        <v>459</v>
      </c>
      <c r="I378" s="42" t="str">
        <f>VLOOKUP(продажи!$B378,товар!$A$1:$C$433,2)</f>
        <v>Фрукты</v>
      </c>
      <c r="J378" s="42" t="str">
        <f>VLOOKUP(B378,товар!$A$1:$C$433,3)</f>
        <v>Фруктовый Рай</v>
      </c>
      <c r="K378" s="44">
        <f>AVERAGEIF(продажи!$I$2:$I$1001,продажи!$I$2:$I$1001,продажи!$C$2:$C$1001)</f>
        <v>274.16279069767444</v>
      </c>
      <c r="L378" s="45">
        <f>продажи!$C378/продажи!$K378-1</f>
        <v>-0.41640512342013747</v>
      </c>
      <c r="M378" s="33">
        <f t="shared" si="10"/>
        <v>3358</v>
      </c>
      <c r="N378" s="24">
        <f>Таблица1[[#This Row],[цена за шт в рублях]]/Таблица1[[#This Row],[средняя стоимость в категории по поставщику.]]-1</f>
        <v>-0.95235259082787371</v>
      </c>
      <c r="O378" s="26">
        <f>VLOOKUP(Таблица1[[#This Row],[id клиента]],клиенты!$A$2:$E$435,5,0)</f>
        <v>44743</v>
      </c>
      <c r="P378">
        <f>Таблица1[[#This Row],[дата создания чека]]-Таблица1[[#This Row],[Дата регистрации клента]]</f>
        <v>671</v>
      </c>
      <c r="Q378" s="26">
        <f t="shared" ca="1" si="11"/>
        <v>46059</v>
      </c>
      <c r="R378" s="51">
        <f ca="1">(TODAY()-Таблица1[[#This Row],[Дата регистрации клента]])/30</f>
        <v>43.866666666666667</v>
      </c>
      <c r="S378" s="63" t="str">
        <f>VLOOKUP(Таблица1[[#This Row],[id клиента]],Таблица8[[id клиента]:[Страна]],7,0)</f>
        <v>Россия</v>
      </c>
      <c r="T378" s="26"/>
    </row>
    <row r="379" spans="1:20" ht="19.5" x14ac:dyDescent="0.4">
      <c r="A379" s="37">
        <v>378</v>
      </c>
      <c r="B379" s="31">
        <v>452</v>
      </c>
      <c r="C379" s="31">
        <v>325</v>
      </c>
      <c r="D379" s="31">
        <v>2</v>
      </c>
      <c r="E379" s="31">
        <v>650</v>
      </c>
      <c r="F379" s="38">
        <v>45160</v>
      </c>
      <c r="G379" s="31" t="s">
        <v>15</v>
      </c>
      <c r="H379" s="31">
        <v>88</v>
      </c>
      <c r="I379" s="31" t="str">
        <f>VLOOKUP(продажи!$B379,товар!$A$1:$C$433,2)</f>
        <v>Фрукты</v>
      </c>
      <c r="J379" s="31" t="str">
        <f>VLOOKUP(B379,товар!$A$1:$C$433,3)</f>
        <v>Экзотик</v>
      </c>
      <c r="K379" s="39">
        <f>AVERAGEIF(продажи!$I$2:$I$1001,продажи!$I$2:$I$1001,продажи!$C$2:$C$1001)</f>
        <v>274.16279069767444</v>
      </c>
      <c r="L379" s="40">
        <f>продажи!$C379/продажи!$K379-1</f>
        <v>0.18542709305284588</v>
      </c>
      <c r="M379" s="33">
        <f t="shared" si="10"/>
        <v>4059</v>
      </c>
      <c r="N379" s="24">
        <f>Таблица1[[#This Row],[цена за шт в рублях]]/Таблица1[[#This Row],[средняя стоимость в категории по поставщику.]]-1</f>
        <v>-0.91993101749199313</v>
      </c>
      <c r="O379" s="26">
        <f>VLOOKUP(Таблица1[[#This Row],[id клиента]],клиенты!$A$2:$E$435,5,0)</f>
        <v>44630</v>
      </c>
      <c r="P379">
        <f>Таблица1[[#This Row],[дата создания чека]]-Таблица1[[#This Row],[Дата регистрации клента]]</f>
        <v>530</v>
      </c>
      <c r="Q379" s="26">
        <f t="shared" ca="1" si="11"/>
        <v>46059</v>
      </c>
      <c r="R379" s="51">
        <f ca="1">(TODAY()-Таблица1[[#This Row],[Дата регистрации клента]])/30</f>
        <v>47.633333333333333</v>
      </c>
      <c r="S379" s="63" t="str">
        <f>VLOOKUP(Таблица1[[#This Row],[id клиента]],Таблица8[[id клиента]:[Страна]],7,0)</f>
        <v>Украина</v>
      </c>
      <c r="T379" s="26"/>
    </row>
    <row r="380" spans="1:20" ht="19.5" x14ac:dyDescent="0.4">
      <c r="A380" s="41">
        <v>379</v>
      </c>
      <c r="B380" s="42">
        <v>340</v>
      </c>
      <c r="C380" s="42">
        <v>457</v>
      </c>
      <c r="D380" s="42">
        <v>1</v>
      </c>
      <c r="E380" s="42">
        <v>457</v>
      </c>
      <c r="F380" s="43">
        <v>44945</v>
      </c>
      <c r="G380" s="42" t="s">
        <v>13</v>
      </c>
      <c r="H380" s="42">
        <v>325</v>
      </c>
      <c r="I380" s="42" t="str">
        <f>VLOOKUP(продажи!$B380,товар!$A$1:$C$433,2)</f>
        <v>Сыр</v>
      </c>
      <c r="J380" s="42" t="str">
        <f>VLOOKUP(B380,товар!$A$1:$C$433,3)</f>
        <v>Карат</v>
      </c>
      <c r="K380" s="44">
        <f>AVERAGEIF(продажи!$I$2:$I$1001,продажи!$I$2:$I$1001,продажи!$C$2:$C$1001)</f>
        <v>261.03225806451616</v>
      </c>
      <c r="L380" s="45">
        <f>продажи!$C380/продажи!$K380-1</f>
        <v>0.75074147305981187</v>
      </c>
      <c r="M380" s="33">
        <f t="shared" si="10"/>
        <v>2802</v>
      </c>
      <c r="N380" s="24">
        <f>Таблица1[[#This Row],[цена за шт в рублях]]/Таблица1[[#This Row],[средняя стоимость в категории по поставщику.]]-1</f>
        <v>-0.83690221270521059</v>
      </c>
      <c r="O380" s="26">
        <f>VLOOKUP(Таблица1[[#This Row],[id клиента]],клиенты!$A$2:$E$435,5,0)</f>
        <v>44875</v>
      </c>
      <c r="P380">
        <f>Таблица1[[#This Row],[дата создания чека]]-Таблица1[[#This Row],[Дата регистрации клента]]</f>
        <v>70</v>
      </c>
      <c r="Q380" s="26">
        <f t="shared" ca="1" si="11"/>
        <v>46059</v>
      </c>
      <c r="R380" s="51">
        <f ca="1">(TODAY()-Таблица1[[#This Row],[Дата регистрации клента]])/30</f>
        <v>39.466666666666669</v>
      </c>
      <c r="S380" s="63" t="str">
        <f>VLOOKUP(Таблица1[[#This Row],[id клиента]],Таблица8[[id клиента]:[Страна]],7,0)</f>
        <v>Таджикистан</v>
      </c>
      <c r="T380" s="26"/>
    </row>
    <row r="381" spans="1:20" ht="19.5" x14ac:dyDescent="0.4">
      <c r="A381" s="37">
        <v>380</v>
      </c>
      <c r="B381" s="31">
        <v>466</v>
      </c>
      <c r="C381" s="31">
        <v>425</v>
      </c>
      <c r="D381" s="31">
        <v>5</v>
      </c>
      <c r="E381" s="31">
        <v>2125</v>
      </c>
      <c r="F381" s="38">
        <v>45132</v>
      </c>
      <c r="G381" s="31" t="s">
        <v>21</v>
      </c>
      <c r="H381" s="31">
        <v>129</v>
      </c>
      <c r="I381" s="31" t="str">
        <f>VLOOKUP(продажи!$B381,товар!$A$1:$C$433,2)</f>
        <v>Фрукты</v>
      </c>
      <c r="J381" s="31" t="str">
        <f>VLOOKUP(B381,товар!$A$1:$C$433,3)</f>
        <v>Green Garden</v>
      </c>
      <c r="K381" s="39">
        <f>AVERAGEIF(продажи!$I$2:$I$1001,продажи!$I$2:$I$1001,продажи!$C$2:$C$1001)</f>
        <v>274.16279069767444</v>
      </c>
      <c r="L381" s="40">
        <f>продажи!$C381/продажи!$K381-1</f>
        <v>0.55017389091525981</v>
      </c>
      <c r="M381" s="33">
        <f t="shared" si="10"/>
        <v>1846</v>
      </c>
      <c r="N381" s="24">
        <f>Таблица1[[#This Row],[цена за шт в рублях]]/Таблица1[[#This Row],[средняя стоимость в категории по поставщику.]]-1</f>
        <v>-0.76977248104008666</v>
      </c>
      <c r="O381" s="26">
        <f>VLOOKUP(Таблица1[[#This Row],[id клиента]],клиенты!$A$2:$E$435,5,0)</f>
        <v>44868</v>
      </c>
      <c r="P381">
        <f>Таблица1[[#This Row],[дата создания чека]]-Таблица1[[#This Row],[Дата регистрации клента]]</f>
        <v>264</v>
      </c>
      <c r="Q381" s="26">
        <f t="shared" ca="1" si="11"/>
        <v>46059</v>
      </c>
      <c r="R381" s="51">
        <f ca="1">(TODAY()-Таблица1[[#This Row],[Дата регистрации клента]])/30</f>
        <v>39.700000000000003</v>
      </c>
      <c r="S381" s="63" t="str">
        <f>VLOOKUP(Таблица1[[#This Row],[id клиента]],Таблица8[[id клиента]:[Страна]],7,0)</f>
        <v>Беларусь</v>
      </c>
      <c r="T381" s="26"/>
    </row>
    <row r="382" spans="1:20" ht="19.5" x14ac:dyDescent="0.4">
      <c r="A382" s="41">
        <v>381</v>
      </c>
      <c r="B382" s="42">
        <v>71</v>
      </c>
      <c r="C382" s="42">
        <v>125</v>
      </c>
      <c r="D382" s="42">
        <v>4</v>
      </c>
      <c r="E382" s="42">
        <v>500</v>
      </c>
      <c r="F382" s="43">
        <v>45182</v>
      </c>
      <c r="G382" s="42" t="s">
        <v>17</v>
      </c>
      <c r="H382" s="42">
        <v>19</v>
      </c>
      <c r="I382" s="42" t="str">
        <f>VLOOKUP(продажи!$B382,товар!$A$1:$C$433,2)</f>
        <v>Печенье</v>
      </c>
      <c r="J382" s="42" t="str">
        <f>VLOOKUP(B382,товар!$A$1:$C$433,3)</f>
        <v>Белогорье</v>
      </c>
      <c r="K382" s="44">
        <f>AVERAGEIF(продажи!$I$2:$I$1001,продажи!$I$2:$I$1001,продажи!$C$2:$C$1001)</f>
        <v>283.468085106383</v>
      </c>
      <c r="L382" s="45">
        <f>продажи!$C382/продажи!$K382-1</f>
        <v>-0.55903325076934629</v>
      </c>
      <c r="M382" s="33">
        <f t="shared" si="10"/>
        <v>3493</v>
      </c>
      <c r="N382" s="24">
        <f>Таблица1[[#This Row],[цена за шт в рублях]]/Таблица1[[#This Row],[средняя стоимость в категории по поставщику.]]-1</f>
        <v>-0.96421414257085603</v>
      </c>
      <c r="O382" s="26">
        <f>VLOOKUP(Таблица1[[#This Row],[id клиента]],клиенты!$A$2:$E$435,5,0)</f>
        <v>44902</v>
      </c>
      <c r="P382">
        <f>Таблица1[[#This Row],[дата создания чека]]-Таблица1[[#This Row],[Дата регистрации клента]]</f>
        <v>280</v>
      </c>
      <c r="Q382" s="26">
        <f t="shared" ca="1" si="11"/>
        <v>46059</v>
      </c>
      <c r="R382" s="51">
        <f ca="1">(TODAY()-Таблица1[[#This Row],[Дата регистрации клента]])/30</f>
        <v>38.56666666666667</v>
      </c>
      <c r="S382" s="63" t="str">
        <f>VLOOKUP(Таблица1[[#This Row],[id клиента]],Таблица8[[id клиента]:[Страна]],7,0)</f>
        <v>Россия</v>
      </c>
      <c r="T382" s="26"/>
    </row>
    <row r="383" spans="1:20" ht="19.5" x14ac:dyDescent="0.4">
      <c r="A383" s="37">
        <v>382</v>
      </c>
      <c r="B383" s="31">
        <v>451</v>
      </c>
      <c r="C383" s="31">
        <v>227</v>
      </c>
      <c r="D383" s="31">
        <v>3</v>
      </c>
      <c r="E383" s="31">
        <v>681</v>
      </c>
      <c r="F383" s="38">
        <v>45098</v>
      </c>
      <c r="G383" s="31" t="s">
        <v>18</v>
      </c>
      <c r="H383" s="31">
        <v>304</v>
      </c>
      <c r="I383" s="31" t="str">
        <f>VLOOKUP(продажи!$B383,товар!$A$1:$C$433,2)</f>
        <v>Рис</v>
      </c>
      <c r="J383" s="31" t="str">
        <f>VLOOKUP(B383,товар!$A$1:$C$433,3)</f>
        <v>Белый Злат</v>
      </c>
      <c r="K383" s="39">
        <f>AVERAGEIF(продажи!$I$2:$I$1001,продажи!$I$2:$I$1001,продажи!$C$2:$C$1001)</f>
        <v>258.375</v>
      </c>
      <c r="L383" s="40">
        <f>продажи!$C383/продажи!$K383-1</f>
        <v>-0.12143202709240442</v>
      </c>
      <c r="M383" s="33">
        <f t="shared" si="10"/>
        <v>4585</v>
      </c>
      <c r="N383" s="24">
        <f>Таблица1[[#This Row],[цена за шт в рублях]]/Таблица1[[#This Row],[средняя стоимость в категории по поставщику.]]-1</f>
        <v>-0.95049073064340239</v>
      </c>
      <c r="O383" s="26">
        <f>VLOOKUP(Таблица1[[#This Row],[id клиента]],клиенты!$A$2:$E$435,5,0)</f>
        <v>44886</v>
      </c>
      <c r="P383">
        <f>Таблица1[[#This Row],[дата создания чека]]-Таблица1[[#This Row],[Дата регистрации клента]]</f>
        <v>212</v>
      </c>
      <c r="Q383" s="26">
        <f t="shared" ca="1" si="11"/>
        <v>46059</v>
      </c>
      <c r="R383" s="51">
        <f ca="1">(TODAY()-Таблица1[[#This Row],[Дата регистрации клента]])/30</f>
        <v>39.1</v>
      </c>
      <c r="S383" s="63" t="str">
        <f>VLOOKUP(Таблица1[[#This Row],[id клиента]],Таблица8[[id клиента]:[Страна]],7,0)</f>
        <v>Россия</v>
      </c>
      <c r="T383" s="26"/>
    </row>
    <row r="384" spans="1:20" ht="19.5" x14ac:dyDescent="0.4">
      <c r="A384" s="41">
        <v>383</v>
      </c>
      <c r="B384" s="42">
        <v>116</v>
      </c>
      <c r="C384" s="42">
        <v>426</v>
      </c>
      <c r="D384" s="42">
        <v>5</v>
      </c>
      <c r="E384" s="42">
        <v>2130</v>
      </c>
      <c r="F384" s="43">
        <v>44993</v>
      </c>
      <c r="G384" s="42" t="s">
        <v>25</v>
      </c>
      <c r="H384" s="42">
        <v>285</v>
      </c>
      <c r="I384" s="42" t="str">
        <f>VLOOKUP(продажи!$B384,товар!$A$1:$C$433,2)</f>
        <v>Соль</v>
      </c>
      <c r="J384" s="42" t="str">
        <f>VLOOKUP(B384,товар!$A$1:$C$433,3)</f>
        <v>Экстра</v>
      </c>
      <c r="K384" s="44">
        <f>AVERAGEIF(продажи!$I$2:$I$1001,продажи!$I$2:$I$1001,продажи!$C$2:$C$1001)</f>
        <v>264.8679245283019</v>
      </c>
      <c r="L384" s="45">
        <f>продажи!$C384/продажи!$K384-1</f>
        <v>0.60834876763071666</v>
      </c>
      <c r="M384" s="33">
        <f t="shared" si="10"/>
        <v>4171</v>
      </c>
      <c r="N384" s="24">
        <f>Таблица1[[#This Row],[цена за шт в рублях]]/Таблица1[[#This Row],[средняя стоимость в категории по поставщику.]]-1</f>
        <v>-0.89786621913210263</v>
      </c>
      <c r="O384" s="26">
        <f>VLOOKUP(Таблица1[[#This Row],[id клиента]],клиенты!$A$2:$E$435,5,0)</f>
        <v>44922</v>
      </c>
      <c r="P384">
        <f>Таблица1[[#This Row],[дата создания чека]]-Таблица1[[#This Row],[Дата регистрации клента]]</f>
        <v>71</v>
      </c>
      <c r="Q384" s="26">
        <f t="shared" ca="1" si="11"/>
        <v>46059</v>
      </c>
      <c r="R384" s="51">
        <f ca="1">(TODAY()-Таблица1[[#This Row],[Дата регистрации клента]])/30</f>
        <v>37.9</v>
      </c>
      <c r="S384" s="63" t="str">
        <f>VLOOKUP(Таблица1[[#This Row],[id клиента]],Таблица8[[id клиента]:[Страна]],7,0)</f>
        <v>Таджикистан</v>
      </c>
      <c r="T384" s="26"/>
    </row>
    <row r="385" spans="1:20" ht="19.5" x14ac:dyDescent="0.4">
      <c r="A385" s="41">
        <v>929</v>
      </c>
      <c r="B385" s="42">
        <v>498</v>
      </c>
      <c r="C385" s="42">
        <v>244</v>
      </c>
      <c r="D385" s="42">
        <v>2</v>
      </c>
      <c r="E385" s="42">
        <v>488</v>
      </c>
      <c r="F385" s="58">
        <v>45238</v>
      </c>
      <c r="G385" s="42" t="s">
        <v>11</v>
      </c>
      <c r="H385" s="56">
        <v>49</v>
      </c>
      <c r="I385" s="42" t="str">
        <f>VLOOKUP(продажи!$B930,товар!$A$1:$C$433,2)</f>
        <v>Молоко</v>
      </c>
      <c r="J385" s="42" t="str">
        <f>VLOOKUP(B385,товар!$A$1:$C$433,3)</f>
        <v>Домик в деревне</v>
      </c>
      <c r="K385" s="44">
        <f>AVERAGEIF(продажи!$I$2:$I$1001,продажи!$I$2:$I$1001,продажи!$C$2:$C$1001)</f>
        <v>294.95238095238096</v>
      </c>
      <c r="L385" s="45">
        <f>продажи!$C930/продажи!$K930-1</f>
        <v>0.21375524701323867</v>
      </c>
      <c r="M385" s="53">
        <f t="shared" si="10"/>
        <v>4946</v>
      </c>
      <c r="N385" s="24">
        <f>Таблица1[[#This Row],[цена за шт в рублях]]/Таблица1[[#This Row],[средняя стоимость в категории по поставщику.]]-1</f>
        <v>-0.95066720582288722</v>
      </c>
      <c r="O385" s="26">
        <f>VLOOKUP(Таблица1[[#This Row],[id клиента]],клиенты!$A$2:$E$435,5,0)</f>
        <v>44672</v>
      </c>
      <c r="P385">
        <f>Таблица1[[#This Row],[дата создания чека]]-Таблица1[[#This Row],[Дата регистрации клента]]</f>
        <v>566</v>
      </c>
      <c r="Q385" s="26">
        <f t="shared" ca="1" si="11"/>
        <v>46059</v>
      </c>
      <c r="R385" s="51">
        <f ca="1">(TODAY()-Таблица1[[#This Row],[Дата регистрации клента]])/30</f>
        <v>46.233333333333334</v>
      </c>
      <c r="S385" s="63" t="str">
        <f>VLOOKUP(Таблица1[[#This Row],[id клиента]],Таблица8[[id клиента]:[Страна]],7,0)</f>
        <v>Таджикистан</v>
      </c>
      <c r="T385" s="26"/>
    </row>
    <row r="386" spans="1:20" ht="19.5" x14ac:dyDescent="0.4">
      <c r="A386" s="41">
        <v>385</v>
      </c>
      <c r="B386" s="42">
        <v>409</v>
      </c>
      <c r="C386" s="42">
        <v>386</v>
      </c>
      <c r="D386" s="42">
        <v>1</v>
      </c>
      <c r="E386" s="42">
        <v>386</v>
      </c>
      <c r="F386" s="43">
        <v>45192</v>
      </c>
      <c r="G386" s="42" t="s">
        <v>13</v>
      </c>
      <c r="H386" s="42">
        <v>461</v>
      </c>
      <c r="I386" s="42" t="str">
        <f>VLOOKUP(продажи!$B386,товар!$A$1:$C$433,2)</f>
        <v>Фрукты</v>
      </c>
      <c r="J386" s="42" t="str">
        <f>VLOOKUP(B386,товар!$A$1:$C$433,3)</f>
        <v>Фруктовый Рай</v>
      </c>
      <c r="K386" s="44">
        <f>AVERAGEIF(продажи!$I$2:$I$1001,продажи!$I$2:$I$1001,продажи!$C$2:$C$1001)</f>
        <v>274.16279069767444</v>
      </c>
      <c r="L386" s="45">
        <f>продажи!$C386/продажи!$K386-1</f>
        <v>0.4079226397489184</v>
      </c>
      <c r="M386" s="33">
        <f t="shared" ref="M386:M449" si="12">SUMIFS($C$2:$C$1001,$I$2:$I$1001,I386,$J$2:$J$1001,J386)</f>
        <v>3358</v>
      </c>
      <c r="N386" s="24">
        <f>Таблица1[[#This Row],[цена за шт в рублях]]/Таблица1[[#This Row],[средняя стоимость в категории по поставщику.]]-1</f>
        <v>-0.88505062537224544</v>
      </c>
      <c r="O386" s="26">
        <f>VLOOKUP(Таблица1[[#This Row],[id клиента]],клиенты!$A$2:$E$435,5,0)</f>
        <v>44667</v>
      </c>
      <c r="P386">
        <f>Таблица1[[#This Row],[дата создания чека]]-Таблица1[[#This Row],[Дата регистрации клента]]</f>
        <v>525</v>
      </c>
      <c r="Q386" s="26">
        <f t="shared" ref="Q386:Q449" ca="1" si="13">TODAY()</f>
        <v>46059</v>
      </c>
      <c r="R386" s="51">
        <f ca="1">(TODAY()-Таблица1[[#This Row],[Дата регистрации клента]])/30</f>
        <v>46.4</v>
      </c>
      <c r="S386" s="63" t="str">
        <f>VLOOKUP(Таблица1[[#This Row],[id клиента]],Таблица8[[id клиента]:[Страна]],7,0)</f>
        <v>Узбекистан</v>
      </c>
      <c r="T386" s="26"/>
    </row>
    <row r="387" spans="1:20" ht="19.5" x14ac:dyDescent="0.4">
      <c r="A387" s="37">
        <v>386</v>
      </c>
      <c r="B387" s="31">
        <v>129</v>
      </c>
      <c r="C387" s="31">
        <v>235</v>
      </c>
      <c r="D387" s="31">
        <v>2</v>
      </c>
      <c r="E387" s="31">
        <v>470</v>
      </c>
      <c r="F387" s="38">
        <v>45207</v>
      </c>
      <c r="G387" s="31" t="s">
        <v>10</v>
      </c>
      <c r="H387" s="31">
        <v>149</v>
      </c>
      <c r="I387" s="31" t="str">
        <f>VLOOKUP(продажи!$B387,товар!$A$1:$C$433,2)</f>
        <v>Мясо</v>
      </c>
      <c r="J387" s="31" t="str">
        <f>VLOOKUP(B387,товар!$A$1:$C$433,3)</f>
        <v>Агрокомплекс</v>
      </c>
      <c r="K387" s="39">
        <f>AVERAGEIF(продажи!$I$2:$I$1001,продажи!$I$2:$I$1001,продажи!$C$2:$C$1001)</f>
        <v>271.74545454545455</v>
      </c>
      <c r="L387" s="40">
        <f>продажи!$C387/продажи!$K387-1</f>
        <v>-0.13522012578616349</v>
      </c>
      <c r="M387" s="33">
        <f t="shared" si="12"/>
        <v>3112</v>
      </c>
      <c r="N387" s="24">
        <f>Таблица1[[#This Row],[цена за шт в рублях]]/Таблица1[[#This Row],[средняя стоимость в категории по поставщику.]]-1</f>
        <v>-0.9244858611825193</v>
      </c>
      <c r="O387" s="26">
        <f>VLOOKUP(Таблица1[[#This Row],[id клиента]],клиенты!$A$2:$E$435,5,0)</f>
        <v>44882</v>
      </c>
      <c r="P387">
        <f>Таблица1[[#This Row],[дата создания чека]]-Таблица1[[#This Row],[Дата регистрации клента]]</f>
        <v>325</v>
      </c>
      <c r="Q387" s="26">
        <f t="shared" ca="1" si="13"/>
        <v>46059</v>
      </c>
      <c r="R387" s="51">
        <f ca="1">(TODAY()-Таблица1[[#This Row],[Дата регистрации клента]])/30</f>
        <v>39.233333333333334</v>
      </c>
      <c r="S387" s="63" t="str">
        <f>VLOOKUP(Таблица1[[#This Row],[id клиента]],Таблица8[[id клиента]:[Страна]],7,0)</f>
        <v>Таджикистан</v>
      </c>
      <c r="T387" s="26"/>
    </row>
    <row r="388" spans="1:20" ht="19.5" x14ac:dyDescent="0.4">
      <c r="A388" s="41">
        <v>387</v>
      </c>
      <c r="B388" s="42">
        <v>283</v>
      </c>
      <c r="C388" s="42">
        <v>107</v>
      </c>
      <c r="D388" s="42">
        <v>3</v>
      </c>
      <c r="E388" s="42">
        <v>321</v>
      </c>
      <c r="F388" s="43">
        <v>45413</v>
      </c>
      <c r="G388" s="42" t="s">
        <v>18</v>
      </c>
      <c r="H388" s="42">
        <v>222</v>
      </c>
      <c r="I388" s="42" t="str">
        <f>VLOOKUP(продажи!$B388,товар!$A$1:$C$433,2)</f>
        <v>Конфеты</v>
      </c>
      <c r="J388" s="42" t="str">
        <f>VLOOKUP(B388,товар!$A$1:$C$433,3)</f>
        <v>Рот Фронт</v>
      </c>
      <c r="K388" s="44">
        <f>AVERAGEIF(продажи!$I$2:$I$1001,продажи!$I$2:$I$1001,продажи!$C$2:$C$1001)</f>
        <v>267.85483870967744</v>
      </c>
      <c r="L388" s="45">
        <f>продажи!$C388/продажи!$K388-1</f>
        <v>-0.60052989703137238</v>
      </c>
      <c r="M388" s="33">
        <f t="shared" si="12"/>
        <v>6053</v>
      </c>
      <c r="N388" s="24">
        <f>Таблица1[[#This Row],[цена за шт в рублях]]/Таблица1[[#This Row],[средняя стоимость в категории по поставщику.]]-1</f>
        <v>-0.98232281513299191</v>
      </c>
      <c r="O388" s="26">
        <f>VLOOKUP(Таблица1[[#This Row],[id клиента]],клиенты!$A$2:$E$435,5,0)</f>
        <v>44694</v>
      </c>
      <c r="P388">
        <f>Таблица1[[#This Row],[дата создания чека]]-Таблица1[[#This Row],[Дата регистрации клента]]</f>
        <v>719</v>
      </c>
      <c r="Q388" s="26">
        <f t="shared" ca="1" si="13"/>
        <v>46059</v>
      </c>
      <c r="R388" s="51">
        <f ca="1">(TODAY()-Таблица1[[#This Row],[Дата регистрации клента]])/30</f>
        <v>45.5</v>
      </c>
      <c r="S388" s="63" t="str">
        <f>VLOOKUP(Таблица1[[#This Row],[id клиента]],Таблица8[[id клиента]:[Страна]],7,0)</f>
        <v>Украина</v>
      </c>
      <c r="T388" s="26"/>
    </row>
    <row r="389" spans="1:20" ht="19.5" x14ac:dyDescent="0.4">
      <c r="A389" s="37">
        <v>388</v>
      </c>
      <c r="B389" s="31">
        <v>36</v>
      </c>
      <c r="C389" s="31">
        <v>83</v>
      </c>
      <c r="D389" s="31">
        <v>4</v>
      </c>
      <c r="E389" s="31">
        <v>332</v>
      </c>
      <c r="F389" s="38">
        <v>45265</v>
      </c>
      <c r="G389" s="31" t="s">
        <v>13</v>
      </c>
      <c r="H389" s="31">
        <v>333</v>
      </c>
      <c r="I389" s="31" t="str">
        <f>VLOOKUP(продажи!$B389,товар!$A$1:$C$433,2)</f>
        <v>Макароны</v>
      </c>
      <c r="J389" s="31" t="str">
        <f>VLOOKUP(B389,товар!$A$1:$C$433,3)</f>
        <v>Роллтон</v>
      </c>
      <c r="K389" s="39">
        <f>AVERAGEIF(продажи!$I$2:$I$1001,продажи!$I$2:$I$1001,продажи!$C$2:$C$1001)</f>
        <v>265.47674418604652</v>
      </c>
      <c r="L389" s="40">
        <f>продажи!$C389/продажи!$K389-1</f>
        <v>-0.6873549121808068</v>
      </c>
      <c r="M389" s="33">
        <f t="shared" si="12"/>
        <v>2120</v>
      </c>
      <c r="N389" s="24">
        <f>Таблица1[[#This Row],[цена за шт в рублях]]/Таблица1[[#This Row],[средняя стоимость в категории по поставщику.]]-1</f>
        <v>-0.96084905660377362</v>
      </c>
      <c r="O389" s="26">
        <f>VLOOKUP(Таблица1[[#This Row],[id клиента]],клиенты!$A$2:$E$435,5,0)</f>
        <v>44857</v>
      </c>
      <c r="P389">
        <f>Таблица1[[#This Row],[дата создания чека]]-Таблица1[[#This Row],[Дата регистрации клента]]</f>
        <v>408</v>
      </c>
      <c r="Q389" s="26">
        <f t="shared" ca="1" si="13"/>
        <v>46059</v>
      </c>
      <c r="R389" s="51">
        <f ca="1">(TODAY()-Таблица1[[#This Row],[Дата регистрации клента]])/30</f>
        <v>40.06666666666667</v>
      </c>
      <c r="S389" s="63" t="str">
        <f>VLOOKUP(Таблица1[[#This Row],[id клиента]],Таблица8[[id клиента]:[Страна]],7,0)</f>
        <v>Россия</v>
      </c>
      <c r="T389" s="26"/>
    </row>
    <row r="390" spans="1:20" ht="19.5" x14ac:dyDescent="0.4">
      <c r="A390" s="41">
        <v>389</v>
      </c>
      <c r="B390" s="42">
        <v>290</v>
      </c>
      <c r="C390" s="42">
        <v>50</v>
      </c>
      <c r="D390" s="42">
        <v>5</v>
      </c>
      <c r="E390" s="42">
        <v>250</v>
      </c>
      <c r="F390" s="43">
        <v>45052</v>
      </c>
      <c r="G390" s="42" t="s">
        <v>17</v>
      </c>
      <c r="H390" s="42">
        <v>495</v>
      </c>
      <c r="I390" s="42" t="str">
        <f>VLOOKUP(продажи!$B390,товар!$A$1:$C$433,2)</f>
        <v>Сахар</v>
      </c>
      <c r="J390" s="42" t="str">
        <f>VLOOKUP(B390,товар!$A$1:$C$433,3)</f>
        <v>Продимекс</v>
      </c>
      <c r="K390" s="44">
        <f>AVERAGEIF(продажи!$I$2:$I$1001,продажи!$I$2:$I$1001,продажи!$C$2:$C$1001)</f>
        <v>254.58333333333334</v>
      </c>
      <c r="L390" s="45">
        <f>продажи!$C390/продажи!$K390-1</f>
        <v>-0.80360065466448449</v>
      </c>
      <c r="M390" s="33">
        <f t="shared" si="12"/>
        <v>5172</v>
      </c>
      <c r="N390" s="24">
        <f>Таблица1[[#This Row],[цена за шт в рублях]]/Таблица1[[#This Row],[средняя стоимость в категории по поставщику.]]-1</f>
        <v>-0.99033255993812841</v>
      </c>
      <c r="O390" s="26">
        <f>VLOOKUP(Таблица1[[#This Row],[id клиента]],клиенты!$A$2:$E$435,5,0)</f>
        <v>44654</v>
      </c>
      <c r="P390">
        <f>Таблица1[[#This Row],[дата создания чека]]-Таблица1[[#This Row],[Дата регистрации клента]]</f>
        <v>398</v>
      </c>
      <c r="Q390" s="26">
        <f t="shared" ca="1" si="13"/>
        <v>46059</v>
      </c>
      <c r="R390" s="51">
        <f ca="1">(TODAY()-Таблица1[[#This Row],[Дата регистрации клента]])/30</f>
        <v>46.833333333333336</v>
      </c>
      <c r="S390" s="63" t="str">
        <f>VLOOKUP(Таблица1[[#This Row],[id клиента]],Таблица8[[id клиента]:[Страна]],7,0)</f>
        <v>Узбекистан</v>
      </c>
      <c r="T390" s="26"/>
    </row>
    <row r="391" spans="1:20" ht="19.5" x14ac:dyDescent="0.4">
      <c r="A391" s="37">
        <v>390</v>
      </c>
      <c r="B391" s="31">
        <v>229</v>
      </c>
      <c r="C391" s="31">
        <v>269</v>
      </c>
      <c r="D391" s="31">
        <v>5</v>
      </c>
      <c r="E391" s="31">
        <v>1345</v>
      </c>
      <c r="F391" s="38">
        <v>45011</v>
      </c>
      <c r="G391" s="31" t="s">
        <v>14</v>
      </c>
      <c r="H391" s="31">
        <v>278</v>
      </c>
      <c r="I391" s="31" t="str">
        <f>VLOOKUP(продажи!$B391,товар!$A$1:$C$433,2)</f>
        <v>Мясо</v>
      </c>
      <c r="J391" s="31" t="str">
        <f>VLOOKUP(B391,товар!$A$1:$C$433,3)</f>
        <v>Сава</v>
      </c>
      <c r="K391" s="39">
        <f>AVERAGEIF(продажи!$I$2:$I$1001,продажи!$I$2:$I$1001,продажи!$C$2:$C$1001)</f>
        <v>271.74545454545455</v>
      </c>
      <c r="L391" s="40">
        <f>продажи!$C391/продажи!$K391-1</f>
        <v>-1.0103037602034015E-2</v>
      </c>
      <c r="M391" s="33">
        <f t="shared" si="12"/>
        <v>3405</v>
      </c>
      <c r="N391" s="24">
        <f>Таблица1[[#This Row],[цена за шт в рублях]]/Таблица1[[#This Row],[средняя стоимость в категории по поставщику.]]-1</f>
        <v>-0.9209985315712188</v>
      </c>
      <c r="O391" s="26">
        <f>VLOOKUP(Таблица1[[#This Row],[id клиента]],клиенты!$A$2:$E$435,5,0)</f>
        <v>44920</v>
      </c>
      <c r="P391">
        <f>Таблица1[[#This Row],[дата создания чека]]-Таблица1[[#This Row],[Дата регистрации клента]]</f>
        <v>91</v>
      </c>
      <c r="Q391" s="26">
        <f t="shared" ca="1" si="13"/>
        <v>46059</v>
      </c>
      <c r="R391" s="51">
        <f ca="1">(TODAY()-Таблица1[[#This Row],[Дата регистрации клента]])/30</f>
        <v>37.966666666666669</v>
      </c>
      <c r="S391" s="63" t="str">
        <f>VLOOKUP(Таблица1[[#This Row],[id клиента]],Таблица8[[id клиента]:[Страна]],7,0)</f>
        <v>Узбекистан</v>
      </c>
      <c r="T391" s="26"/>
    </row>
    <row r="392" spans="1:20" ht="19.5" x14ac:dyDescent="0.4">
      <c r="A392" s="41">
        <v>391</v>
      </c>
      <c r="B392" s="42">
        <v>313</v>
      </c>
      <c r="C392" s="42">
        <v>385</v>
      </c>
      <c r="D392" s="42">
        <v>4</v>
      </c>
      <c r="E392" s="42">
        <v>1540</v>
      </c>
      <c r="F392" s="43">
        <v>44982</v>
      </c>
      <c r="G392" s="42" t="s">
        <v>18</v>
      </c>
      <c r="H392" s="42">
        <v>246</v>
      </c>
      <c r="I392" s="42" t="str">
        <f>VLOOKUP(продажи!$B392,товар!$A$1:$C$433,2)</f>
        <v>Конфеты</v>
      </c>
      <c r="J392" s="42" t="str">
        <f>VLOOKUP(B392,товар!$A$1:$C$433,3)</f>
        <v>Бабаевский</v>
      </c>
      <c r="K392" s="44">
        <f>AVERAGEIF(продажи!$I$2:$I$1001,продажи!$I$2:$I$1001,продажи!$C$2:$C$1001)</f>
        <v>267.85483870967744</v>
      </c>
      <c r="L392" s="45">
        <f>продажи!$C392/продажи!$K392-1</f>
        <v>0.43734569759739861</v>
      </c>
      <c r="M392" s="33">
        <f t="shared" si="12"/>
        <v>6757</v>
      </c>
      <c r="N392" s="24">
        <f>Таблица1[[#This Row],[цена за шт в рублях]]/Таблица1[[#This Row],[средняя стоимость в категории по поставщику.]]-1</f>
        <v>-0.94302205120615656</v>
      </c>
      <c r="O392" s="26">
        <f>VLOOKUP(Таблица1[[#This Row],[id клиента]],клиенты!$A$2:$E$435,5,0)</f>
        <v>44805</v>
      </c>
      <c r="P392">
        <f>Таблица1[[#This Row],[дата создания чека]]-Таблица1[[#This Row],[Дата регистрации клента]]</f>
        <v>177</v>
      </c>
      <c r="Q392" s="26">
        <f t="shared" ca="1" si="13"/>
        <v>46059</v>
      </c>
      <c r="R392" s="51">
        <f ca="1">(TODAY()-Таблица1[[#This Row],[Дата регистрации клента]])/30</f>
        <v>41.8</v>
      </c>
      <c r="S392" s="63" t="str">
        <f>VLOOKUP(Таблица1[[#This Row],[id клиента]],Таблица8[[id клиента]:[Страна]],7,0)</f>
        <v>Узбекистан</v>
      </c>
      <c r="T392" s="26"/>
    </row>
    <row r="393" spans="1:20" ht="19.5" x14ac:dyDescent="0.4">
      <c r="A393" s="37">
        <v>392</v>
      </c>
      <c r="B393" s="31">
        <v>368</v>
      </c>
      <c r="C393" s="31">
        <v>64</v>
      </c>
      <c r="D393" s="31">
        <v>5</v>
      </c>
      <c r="E393" s="31">
        <v>320</v>
      </c>
      <c r="F393" s="38">
        <v>45340</v>
      </c>
      <c r="G393" s="31" t="s">
        <v>12</v>
      </c>
      <c r="H393" s="31">
        <v>480</v>
      </c>
      <c r="I393" s="31" t="str">
        <f>VLOOKUP(продажи!$B393,товар!$A$1:$C$433,2)</f>
        <v>Сыр</v>
      </c>
      <c r="J393" s="31" t="str">
        <f>VLOOKUP(B393,товар!$A$1:$C$433,3)</f>
        <v>Сырная долина</v>
      </c>
      <c r="K393" s="39">
        <f>AVERAGEIF(продажи!$I$2:$I$1001,продажи!$I$2:$I$1001,продажи!$C$2:$C$1001)</f>
        <v>261.03225806451616</v>
      </c>
      <c r="L393" s="40">
        <f>продажи!$C393/продажи!$K393-1</f>
        <v>-0.75481957488877904</v>
      </c>
      <c r="M393" s="33">
        <f t="shared" si="12"/>
        <v>8943</v>
      </c>
      <c r="N393" s="24">
        <f>Таблица1[[#This Row],[цена за шт в рублях]]/Таблица1[[#This Row],[средняя стоимость в категории по поставщику.]]-1</f>
        <v>-0.99284356479928437</v>
      </c>
      <c r="O393" s="26">
        <f>VLOOKUP(Таблица1[[#This Row],[id клиента]],клиенты!$A$2:$E$435,5,0)</f>
        <v>44568</v>
      </c>
      <c r="P393">
        <f>Таблица1[[#This Row],[дата создания чека]]-Таблица1[[#This Row],[Дата регистрации клента]]</f>
        <v>772</v>
      </c>
      <c r="Q393" s="26">
        <f t="shared" ca="1" si="13"/>
        <v>46059</v>
      </c>
      <c r="R393" s="51">
        <f ca="1">(TODAY()-Таблица1[[#This Row],[Дата регистрации клента]])/30</f>
        <v>49.7</v>
      </c>
      <c r="S393" s="63" t="str">
        <f>VLOOKUP(Таблица1[[#This Row],[id клиента]],Таблица8[[id клиента]:[Страна]],7,0)</f>
        <v>Узбекистан</v>
      </c>
      <c r="T393" s="26"/>
    </row>
    <row r="394" spans="1:20" ht="19.5" x14ac:dyDescent="0.4">
      <c r="A394" s="41">
        <v>393</v>
      </c>
      <c r="B394" s="42">
        <v>322</v>
      </c>
      <c r="C394" s="42">
        <v>223</v>
      </c>
      <c r="D394" s="42">
        <v>2</v>
      </c>
      <c r="E394" s="42">
        <v>446</v>
      </c>
      <c r="F394" s="43">
        <v>45254</v>
      </c>
      <c r="G394" s="42" t="s">
        <v>15</v>
      </c>
      <c r="H394" s="42">
        <v>205</v>
      </c>
      <c r="I394" s="42" t="str">
        <f>VLOOKUP(продажи!$B394,товар!$A$1:$C$433,2)</f>
        <v>Крупа</v>
      </c>
      <c r="J394" s="42" t="str">
        <f>VLOOKUP(B394,товар!$A$1:$C$433,3)</f>
        <v>Увелка</v>
      </c>
      <c r="K394" s="44">
        <f>AVERAGEIF(продажи!$I$2:$I$1001,продажи!$I$2:$I$1001,продажи!$C$2:$C$1001)</f>
        <v>255.11627906976744</v>
      </c>
      <c r="L394" s="45">
        <f>продажи!$C394/продажи!$K394-1</f>
        <v>-0.1258887876025524</v>
      </c>
      <c r="M394" s="33">
        <f t="shared" si="12"/>
        <v>3023</v>
      </c>
      <c r="N394" s="24">
        <f>Таблица1[[#This Row],[цена за шт в рублях]]/Таблица1[[#This Row],[средняя стоимость в категории по поставщику.]]-1</f>
        <v>-0.92623221964935498</v>
      </c>
      <c r="O394" s="26">
        <f>VLOOKUP(Таблица1[[#This Row],[id клиента]],клиенты!$A$2:$E$435,5,0)</f>
        <v>44918</v>
      </c>
      <c r="P394">
        <f>Таблица1[[#This Row],[дата создания чека]]-Таблица1[[#This Row],[Дата регистрации клента]]</f>
        <v>336</v>
      </c>
      <c r="Q394" s="26">
        <f t="shared" ca="1" si="13"/>
        <v>46059</v>
      </c>
      <c r="R394" s="51">
        <f ca="1">(TODAY()-Таблица1[[#This Row],[Дата регистрации клента]])/30</f>
        <v>38.033333333333331</v>
      </c>
      <c r="S394" s="63" t="str">
        <f>VLOOKUP(Таблица1[[#This Row],[id клиента]],Таблица8[[id клиента]:[Страна]],7,0)</f>
        <v>Россия</v>
      </c>
      <c r="T394" s="26"/>
    </row>
    <row r="395" spans="1:20" ht="19.5" x14ac:dyDescent="0.4">
      <c r="A395" s="41">
        <v>673</v>
      </c>
      <c r="B395" s="42">
        <v>400</v>
      </c>
      <c r="C395" s="42">
        <v>345</v>
      </c>
      <c r="D395" s="42">
        <v>2</v>
      </c>
      <c r="E395" s="42">
        <v>690</v>
      </c>
      <c r="F395" s="58">
        <v>45143</v>
      </c>
      <c r="G395" s="42" t="s">
        <v>22</v>
      </c>
      <c r="H395" s="56">
        <v>18</v>
      </c>
      <c r="I395" s="42" t="str">
        <f>VLOOKUP(продажи!$B674,товар!$A$1:$C$433,2)</f>
        <v>Молоко</v>
      </c>
      <c r="J395" s="42" t="str">
        <f>VLOOKUP(B395,товар!$A$1:$C$433,3)</f>
        <v>Беллакт</v>
      </c>
      <c r="K395" s="44">
        <f>AVERAGEIF(продажи!$I$2:$I$1001,продажи!$I$2:$I$1001,продажи!$C$2:$C$1001)</f>
        <v>294.95238095238096</v>
      </c>
      <c r="L395" s="45">
        <f>продажи!$C674/продажи!$K674-1</f>
        <v>0.60025831449790124</v>
      </c>
      <c r="M395" s="53">
        <f t="shared" si="12"/>
        <v>3548</v>
      </c>
      <c r="N395" s="24">
        <f>Таблица1[[#This Row],[цена за шт в рублях]]/Таблица1[[#This Row],[средняя стоимость в категории по поставщику.]]-1</f>
        <v>-0.90276211950394591</v>
      </c>
      <c r="O395" s="26">
        <f>VLOOKUP(Таблица1[[#This Row],[id клиента]],клиенты!$A$2:$E$435,5,0)</f>
        <v>44578</v>
      </c>
      <c r="P395">
        <f>Таблица1[[#This Row],[дата создания чека]]-Таблица1[[#This Row],[Дата регистрации клента]]</f>
        <v>565</v>
      </c>
      <c r="Q395" s="26">
        <f t="shared" ca="1" si="13"/>
        <v>46059</v>
      </c>
      <c r="R395" s="51">
        <f ca="1">(TODAY()-Таблица1[[#This Row],[Дата регистрации клента]])/30</f>
        <v>49.366666666666667</v>
      </c>
      <c r="S395" s="63" t="str">
        <f>VLOOKUP(Таблица1[[#This Row],[id клиента]],Таблица8[[id клиента]:[Страна]],7,0)</f>
        <v>Украина</v>
      </c>
      <c r="T395" s="26"/>
    </row>
    <row r="396" spans="1:20" ht="19.5" x14ac:dyDescent="0.4">
      <c r="A396" s="41">
        <v>395</v>
      </c>
      <c r="B396" s="42">
        <v>18</v>
      </c>
      <c r="C396" s="42">
        <v>459</v>
      </c>
      <c r="D396" s="42">
        <v>3</v>
      </c>
      <c r="E396" s="42">
        <v>1377</v>
      </c>
      <c r="F396" s="43">
        <v>45342</v>
      </c>
      <c r="G396" s="42" t="s">
        <v>16</v>
      </c>
      <c r="H396" s="42">
        <v>152</v>
      </c>
      <c r="I396" s="42" t="str">
        <f>VLOOKUP(продажи!$B396,товар!$A$1:$C$433,2)</f>
        <v>Рыба</v>
      </c>
      <c r="J396" s="42" t="str">
        <f>VLOOKUP(B396,товар!$A$1:$C$433,3)</f>
        <v>Меридиан</v>
      </c>
      <c r="K396" s="44">
        <f>AVERAGEIF(продажи!$I$2:$I$1001,продажи!$I$2:$I$1001,продажи!$C$2:$C$1001)</f>
        <v>258.5128205128205</v>
      </c>
      <c r="L396" s="45">
        <f>продажи!$C396/продажи!$K396-1</f>
        <v>0.77554056734774868</v>
      </c>
      <c r="M396" s="33">
        <f t="shared" si="12"/>
        <v>4431</v>
      </c>
      <c r="N396" s="24">
        <f>Таблица1[[#This Row],[цена за шт в рублях]]/Таблица1[[#This Row],[средняя стоимость в категории по поставщику.]]-1</f>
        <v>-0.89641164522681116</v>
      </c>
      <c r="O396" s="26">
        <f>VLOOKUP(Таблица1[[#This Row],[id клиента]],клиенты!$A$2:$E$435,5,0)</f>
        <v>44791</v>
      </c>
      <c r="P396">
        <f>Таблица1[[#This Row],[дата создания чека]]-Таблица1[[#This Row],[Дата регистрации клента]]</f>
        <v>551</v>
      </c>
      <c r="Q396" s="26">
        <f t="shared" ca="1" si="13"/>
        <v>46059</v>
      </c>
      <c r="R396" s="51">
        <f ca="1">(TODAY()-Таблица1[[#This Row],[Дата регистрации клента]])/30</f>
        <v>42.266666666666666</v>
      </c>
      <c r="S396" s="63" t="str">
        <f>VLOOKUP(Таблица1[[#This Row],[id клиента]],Таблица8[[id клиента]:[Страна]],7,0)</f>
        <v>Беларусь</v>
      </c>
      <c r="T396" s="26"/>
    </row>
    <row r="397" spans="1:20" ht="19.5" x14ac:dyDescent="0.4">
      <c r="A397" s="37">
        <v>396</v>
      </c>
      <c r="B397" s="31">
        <v>145</v>
      </c>
      <c r="C397" s="31">
        <v>455</v>
      </c>
      <c r="D397" s="31">
        <v>3</v>
      </c>
      <c r="E397" s="31">
        <v>1365</v>
      </c>
      <c r="F397" s="38">
        <v>45373</v>
      </c>
      <c r="G397" s="31" t="s">
        <v>22</v>
      </c>
      <c r="H397" s="31">
        <v>323</v>
      </c>
      <c r="I397" s="31" t="str">
        <f>VLOOKUP(продажи!$B397,товар!$A$1:$C$433,2)</f>
        <v>Овощи</v>
      </c>
      <c r="J397" s="31" t="str">
        <f>VLOOKUP(B397,товар!$A$1:$C$433,3)</f>
        <v>Семко</v>
      </c>
      <c r="K397" s="39">
        <f>AVERAGEIF(продажи!$I$2:$I$1001,продажи!$I$2:$I$1001,продажи!$C$2:$C$1001)</f>
        <v>250.48780487804879</v>
      </c>
      <c r="L397" s="40">
        <f>продажи!$C397/продажи!$K397-1</f>
        <v>0.81645569620253156</v>
      </c>
      <c r="M397" s="33">
        <f t="shared" si="12"/>
        <v>2080</v>
      </c>
      <c r="N397" s="24">
        <f>Таблица1[[#This Row],[цена за шт в рублях]]/Таблица1[[#This Row],[средняя стоимость в категории по поставщику.]]-1</f>
        <v>-0.78125</v>
      </c>
      <c r="O397" s="26">
        <f>VLOOKUP(Таблица1[[#This Row],[id клиента]],клиенты!$A$2:$E$435,5,0)</f>
        <v>44821</v>
      </c>
      <c r="P397">
        <f>Таблица1[[#This Row],[дата создания чека]]-Таблица1[[#This Row],[Дата регистрации клента]]</f>
        <v>552</v>
      </c>
      <c r="Q397" s="26">
        <f t="shared" ca="1" si="13"/>
        <v>46059</v>
      </c>
      <c r="R397" s="51">
        <f ca="1">(TODAY()-Таблица1[[#This Row],[Дата регистрации клента]])/30</f>
        <v>41.266666666666666</v>
      </c>
      <c r="S397" s="63" t="str">
        <f>VLOOKUP(Таблица1[[#This Row],[id клиента]],Таблица8[[id клиента]:[Страна]],7,0)</f>
        <v>Таджикистан</v>
      </c>
      <c r="T397" s="26"/>
    </row>
    <row r="398" spans="1:20" ht="19.5" x14ac:dyDescent="0.4">
      <c r="A398" s="41">
        <v>397</v>
      </c>
      <c r="B398" s="42">
        <v>491</v>
      </c>
      <c r="C398" s="42">
        <v>193</v>
      </c>
      <c r="D398" s="42">
        <v>1</v>
      </c>
      <c r="E398" s="42">
        <v>193</v>
      </c>
      <c r="F398" s="43">
        <v>45332</v>
      </c>
      <c r="G398" s="42" t="s">
        <v>14</v>
      </c>
      <c r="H398" s="42">
        <v>185</v>
      </c>
      <c r="I398" s="42" t="str">
        <f>VLOOKUP(продажи!$B398,товар!$A$1:$C$433,2)</f>
        <v>Овощи</v>
      </c>
      <c r="J398" s="42" t="str">
        <f>VLOOKUP(B398,товар!$A$1:$C$433,3)</f>
        <v>Зеленая грядка</v>
      </c>
      <c r="K398" s="44">
        <f>AVERAGEIF(продажи!$I$2:$I$1001,продажи!$I$2:$I$1001,продажи!$C$2:$C$1001)</f>
        <v>250.48780487804879</v>
      </c>
      <c r="L398" s="45">
        <f>продажи!$C398/продажи!$K398-1</f>
        <v>-0.2295034079844207</v>
      </c>
      <c r="M398" s="33">
        <f t="shared" si="12"/>
        <v>796</v>
      </c>
      <c r="N398" s="24">
        <f>Таблица1[[#This Row],[цена за шт в рублях]]/Таблица1[[#This Row],[средняя стоимость в категории по поставщику.]]-1</f>
        <v>-0.75753768844221103</v>
      </c>
      <c r="O398" s="26">
        <f>VLOOKUP(Таблица1[[#This Row],[id клиента]],клиенты!$A$2:$E$435,5,0)</f>
        <v>44683</v>
      </c>
      <c r="P398">
        <f>Таблица1[[#This Row],[дата создания чека]]-Таблица1[[#This Row],[Дата регистрации клента]]</f>
        <v>649</v>
      </c>
      <c r="Q398" s="26">
        <f t="shared" ca="1" si="13"/>
        <v>46059</v>
      </c>
      <c r="R398" s="51">
        <f ca="1">(TODAY()-Таблица1[[#This Row],[Дата регистрации клента]])/30</f>
        <v>45.866666666666667</v>
      </c>
      <c r="S398" s="63" t="str">
        <f>VLOOKUP(Таблица1[[#This Row],[id клиента]],Таблица8[[id клиента]:[Страна]],7,0)</f>
        <v>Узбекистан</v>
      </c>
      <c r="T398" s="26"/>
    </row>
    <row r="399" spans="1:20" ht="19.5" x14ac:dyDescent="0.4">
      <c r="A399" s="37">
        <v>398</v>
      </c>
      <c r="B399" s="31">
        <v>258</v>
      </c>
      <c r="C399" s="31">
        <v>113</v>
      </c>
      <c r="D399" s="31">
        <v>1</v>
      </c>
      <c r="E399" s="31">
        <v>113</v>
      </c>
      <c r="F399" s="38">
        <v>45289</v>
      </c>
      <c r="G399" s="31" t="s">
        <v>24</v>
      </c>
      <c r="H399" s="31">
        <v>314</v>
      </c>
      <c r="I399" s="31" t="str">
        <f>VLOOKUP(продажи!$B399,товар!$A$1:$C$433,2)</f>
        <v>Рыба</v>
      </c>
      <c r="J399" s="31" t="str">
        <f>VLOOKUP(B399,товар!$A$1:$C$433,3)</f>
        <v>Санта Бремор</v>
      </c>
      <c r="K399" s="39">
        <f>AVERAGEIF(продажи!$I$2:$I$1001,продажи!$I$2:$I$1001,продажи!$C$2:$C$1001)</f>
        <v>258.5128205128205</v>
      </c>
      <c r="L399" s="40">
        <f>продажи!$C399/продажи!$K399-1</f>
        <v>-0.56288434834358259</v>
      </c>
      <c r="M399" s="33">
        <f t="shared" si="12"/>
        <v>2164</v>
      </c>
      <c r="N399" s="24">
        <f>Таблица1[[#This Row],[цена за шт в рублях]]/Таблица1[[#This Row],[средняя стоимость в категории по поставщику.]]-1</f>
        <v>-0.94778188539741215</v>
      </c>
      <c r="O399" s="26">
        <f>VLOOKUP(Таблица1[[#This Row],[id клиента]],клиенты!$A$2:$E$435,5,0)</f>
        <v>44899</v>
      </c>
      <c r="P399">
        <f>Таблица1[[#This Row],[дата создания чека]]-Таблица1[[#This Row],[Дата регистрации клента]]</f>
        <v>390</v>
      </c>
      <c r="Q399" s="26">
        <f t="shared" ca="1" si="13"/>
        <v>46059</v>
      </c>
      <c r="R399" s="51">
        <f ca="1">(TODAY()-Таблица1[[#This Row],[Дата регистрации клента]])/30</f>
        <v>38.666666666666664</v>
      </c>
      <c r="S399" s="63" t="str">
        <f>VLOOKUP(Таблица1[[#This Row],[id клиента]],Таблица8[[id клиента]:[Страна]],7,0)</f>
        <v>Россия</v>
      </c>
      <c r="T399" s="26"/>
    </row>
    <row r="400" spans="1:20" ht="19.5" x14ac:dyDescent="0.4">
      <c r="A400" s="41">
        <v>399</v>
      </c>
      <c r="B400" s="42">
        <v>29</v>
      </c>
      <c r="C400" s="42">
        <v>91</v>
      </c>
      <c r="D400" s="42">
        <v>5</v>
      </c>
      <c r="E400" s="42">
        <v>455</v>
      </c>
      <c r="F400" s="43">
        <v>45375</v>
      </c>
      <c r="G400" s="42" t="s">
        <v>8</v>
      </c>
      <c r="H400" s="42">
        <v>476</v>
      </c>
      <c r="I400" s="42" t="str">
        <f>VLOOKUP(продажи!$B400,товар!$A$1:$C$433,2)</f>
        <v>Соль</v>
      </c>
      <c r="J400" s="42" t="str">
        <f>VLOOKUP(B400,товар!$A$1:$C$433,3)</f>
        <v>Илецкая</v>
      </c>
      <c r="K400" s="44">
        <f>AVERAGEIF(продажи!$I$2:$I$1001,продажи!$I$2:$I$1001,продажи!$C$2:$C$1001)</f>
        <v>264.8679245283019</v>
      </c>
      <c r="L400" s="45">
        <f>продажи!$C400/продажи!$K400-1</f>
        <v>-0.65643254024789854</v>
      </c>
      <c r="M400" s="33">
        <f t="shared" si="12"/>
        <v>4287</v>
      </c>
      <c r="N400" s="24">
        <f>Таблица1[[#This Row],[цена за шт в рублях]]/Таблица1[[#This Row],[средняя стоимость в категории по поставщику.]]-1</f>
        <v>-0.97877303475623978</v>
      </c>
      <c r="O400" s="26">
        <f>VLOOKUP(Таблица1[[#This Row],[id клиента]],клиенты!$A$2:$E$435,5,0)</f>
        <v>44703</v>
      </c>
      <c r="P400">
        <f>Таблица1[[#This Row],[дата создания чека]]-Таблица1[[#This Row],[Дата регистрации клента]]</f>
        <v>672</v>
      </c>
      <c r="Q400" s="26">
        <f t="shared" ca="1" si="13"/>
        <v>46059</v>
      </c>
      <c r="R400" s="51">
        <f ca="1">(TODAY()-Таблица1[[#This Row],[Дата регистрации клента]])/30</f>
        <v>45.2</v>
      </c>
      <c r="S400" s="63" t="str">
        <f>VLOOKUP(Таблица1[[#This Row],[id клиента]],Таблица8[[id клиента]:[Страна]],7,0)</f>
        <v>Украина</v>
      </c>
      <c r="T400" s="26"/>
    </row>
    <row r="401" spans="1:20" ht="19.5" x14ac:dyDescent="0.4">
      <c r="A401" s="37">
        <v>400</v>
      </c>
      <c r="B401" s="31">
        <v>321</v>
      </c>
      <c r="C401" s="31">
        <v>61</v>
      </c>
      <c r="D401" s="31">
        <v>5</v>
      </c>
      <c r="E401" s="31">
        <v>305</v>
      </c>
      <c r="F401" s="38">
        <v>45104</v>
      </c>
      <c r="G401" s="31" t="s">
        <v>20</v>
      </c>
      <c r="H401" s="31">
        <v>375</v>
      </c>
      <c r="I401" s="31" t="str">
        <f>VLOOKUP(продажи!$B401,товар!$A$1:$C$433,2)</f>
        <v>Мясо</v>
      </c>
      <c r="J401" s="31" t="str">
        <f>VLOOKUP(B401,товар!$A$1:$C$433,3)</f>
        <v>Сава</v>
      </c>
      <c r="K401" s="39">
        <f>AVERAGEIF(продажи!$I$2:$I$1001,продажи!$I$2:$I$1001,продажи!$C$2:$C$1001)</f>
        <v>271.74545454545455</v>
      </c>
      <c r="L401" s="40">
        <f>продажи!$C401/продажи!$K401-1</f>
        <v>-0.77552522414023817</v>
      </c>
      <c r="M401" s="33">
        <f t="shared" si="12"/>
        <v>3405</v>
      </c>
      <c r="N401" s="24">
        <f>Таблица1[[#This Row],[цена за шт в рублях]]/Таблица1[[#This Row],[средняя стоимость в категории по поставщику.]]-1</f>
        <v>-0.98208516886930985</v>
      </c>
      <c r="O401" s="26">
        <f>VLOOKUP(Таблица1[[#This Row],[id клиента]],клиенты!$A$2:$E$435,5,0)</f>
        <v>44674</v>
      </c>
      <c r="P401">
        <f>Таблица1[[#This Row],[дата создания чека]]-Таблица1[[#This Row],[Дата регистрации клента]]</f>
        <v>430</v>
      </c>
      <c r="Q401" s="26">
        <f t="shared" ca="1" si="13"/>
        <v>46059</v>
      </c>
      <c r="R401" s="51">
        <f ca="1">(TODAY()-Таблица1[[#This Row],[Дата регистрации клента]])/30</f>
        <v>46.166666666666664</v>
      </c>
      <c r="S401" s="63" t="str">
        <f>VLOOKUP(Таблица1[[#This Row],[id клиента]],Таблица8[[id клиента]:[Страна]],7,0)</f>
        <v>Россия</v>
      </c>
      <c r="T401" s="26"/>
    </row>
    <row r="402" spans="1:20" ht="19.5" x14ac:dyDescent="0.4">
      <c r="A402" s="41">
        <v>401</v>
      </c>
      <c r="B402" s="42">
        <v>50</v>
      </c>
      <c r="C402" s="42">
        <v>95</v>
      </c>
      <c r="D402" s="42">
        <v>4</v>
      </c>
      <c r="E402" s="42">
        <v>380</v>
      </c>
      <c r="F402" s="43">
        <v>45069</v>
      </c>
      <c r="G402" s="42" t="s">
        <v>20</v>
      </c>
      <c r="H402" s="42">
        <v>376</v>
      </c>
      <c r="I402" s="42" t="str">
        <f>VLOOKUP(продажи!$B402,товар!$A$1:$C$433,2)</f>
        <v>Сок</v>
      </c>
      <c r="J402" s="42" t="str">
        <f>VLOOKUP(B402,товар!$A$1:$C$433,3)</f>
        <v>Добрый</v>
      </c>
      <c r="K402" s="44">
        <f>AVERAGEIF(продажи!$I$2:$I$1001,продажи!$I$2:$I$1001,продажи!$C$2:$C$1001)</f>
        <v>268.60344827586209</v>
      </c>
      <c r="L402" s="45">
        <f>продажи!$C402/продажи!$K402-1</f>
        <v>-0.64631876243661335</v>
      </c>
      <c r="M402" s="33">
        <f t="shared" si="12"/>
        <v>2671</v>
      </c>
      <c r="N402" s="24">
        <f>Таблица1[[#This Row],[цена за шт в рублях]]/Таблица1[[#This Row],[средняя стоимость в категории по поставщику.]]-1</f>
        <v>-0.96443279670535376</v>
      </c>
      <c r="O402" s="26">
        <f>VLOOKUP(Таблица1[[#This Row],[id клиента]],клиенты!$A$2:$E$435,5,0)</f>
        <v>44730</v>
      </c>
      <c r="P402">
        <f>Таблица1[[#This Row],[дата создания чека]]-Таблица1[[#This Row],[Дата регистрации клента]]</f>
        <v>339</v>
      </c>
      <c r="Q402" s="26">
        <f t="shared" ca="1" si="13"/>
        <v>46059</v>
      </c>
      <c r="R402" s="51">
        <f ca="1">(TODAY()-Таблица1[[#This Row],[Дата регистрации клента]])/30</f>
        <v>44.3</v>
      </c>
      <c r="S402" s="63" t="str">
        <f>VLOOKUP(Таблица1[[#This Row],[id клиента]],Таблица8[[id клиента]:[Страна]],7,0)</f>
        <v>Беларусь</v>
      </c>
      <c r="T402" s="26"/>
    </row>
    <row r="403" spans="1:20" ht="19.5" x14ac:dyDescent="0.4">
      <c r="A403" s="37">
        <v>402</v>
      </c>
      <c r="B403" s="31">
        <v>495</v>
      </c>
      <c r="C403" s="31">
        <v>469</v>
      </c>
      <c r="D403" s="31">
        <v>2</v>
      </c>
      <c r="E403" s="31">
        <v>938</v>
      </c>
      <c r="F403" s="38">
        <v>45368</v>
      </c>
      <c r="G403" s="31" t="s">
        <v>24</v>
      </c>
      <c r="H403" s="31">
        <v>233</v>
      </c>
      <c r="I403" s="31" t="str">
        <f>VLOOKUP(продажи!$B403,товар!$A$1:$C$433,2)</f>
        <v>Чай</v>
      </c>
      <c r="J403" s="31" t="str">
        <f>VLOOKUP(B403,товар!$A$1:$C$433,3)</f>
        <v>Greenfield</v>
      </c>
      <c r="K403" s="39">
        <f>AVERAGEIF(продажи!$I$2:$I$1001,продажи!$I$2:$I$1001,продажи!$C$2:$C$1001)</f>
        <v>271.18181818181819</v>
      </c>
      <c r="L403" s="40">
        <f>продажи!$C403/продажи!$K403-1</f>
        <v>0.72946697955078776</v>
      </c>
      <c r="M403" s="33">
        <f t="shared" si="12"/>
        <v>6412</v>
      </c>
      <c r="N403" s="24">
        <f>Таблица1[[#This Row],[цена за шт в рублях]]/Таблица1[[#This Row],[средняя стоимость в категории по поставщику.]]-1</f>
        <v>-0.92685589519650657</v>
      </c>
      <c r="O403" s="26">
        <f>VLOOKUP(Таблица1[[#This Row],[id клиента]],клиенты!$A$2:$E$435,5,0)</f>
        <v>44616</v>
      </c>
      <c r="P403">
        <f>Таблица1[[#This Row],[дата создания чека]]-Таблица1[[#This Row],[Дата регистрации клента]]</f>
        <v>752</v>
      </c>
      <c r="Q403" s="26">
        <f t="shared" ca="1" si="13"/>
        <v>46059</v>
      </c>
      <c r="R403" s="51">
        <f ca="1">(TODAY()-Таблица1[[#This Row],[Дата регистрации клента]])/30</f>
        <v>48.1</v>
      </c>
      <c r="S403" s="63" t="str">
        <f>VLOOKUP(Таблица1[[#This Row],[id клиента]],Таблица8[[id клиента]:[Страна]],7,0)</f>
        <v>Таджикистан</v>
      </c>
      <c r="T403" s="26"/>
    </row>
    <row r="404" spans="1:20" ht="19.5" x14ac:dyDescent="0.4">
      <c r="A404" s="41">
        <v>403</v>
      </c>
      <c r="B404" s="42">
        <v>207</v>
      </c>
      <c r="C404" s="42">
        <v>237</v>
      </c>
      <c r="D404" s="42">
        <v>2</v>
      </c>
      <c r="E404" s="42">
        <v>474</v>
      </c>
      <c r="F404" s="43">
        <v>45081</v>
      </c>
      <c r="G404" s="42" t="s">
        <v>11</v>
      </c>
      <c r="H404" s="42">
        <v>69</v>
      </c>
      <c r="I404" s="42" t="str">
        <f>VLOOKUP(продажи!$B404,товар!$A$1:$C$433,2)</f>
        <v>Сахар</v>
      </c>
      <c r="J404" s="42" t="str">
        <f>VLOOKUP(B404,товар!$A$1:$C$433,3)</f>
        <v>Агросахар</v>
      </c>
      <c r="K404" s="44">
        <f>AVERAGEIF(продажи!$I$2:$I$1001,продажи!$I$2:$I$1001,продажи!$C$2:$C$1001)</f>
        <v>254.58333333333334</v>
      </c>
      <c r="L404" s="45">
        <f>продажи!$C404/продажи!$K404-1</f>
        <v>-6.9067103109656358E-2</v>
      </c>
      <c r="M404" s="33">
        <f t="shared" si="12"/>
        <v>1511</v>
      </c>
      <c r="N404" s="24">
        <f>Таблица1[[#This Row],[цена за шт в рублях]]/Таблица1[[#This Row],[средняя стоимость в категории по поставщику.]]-1</f>
        <v>-0.84315023163467906</v>
      </c>
      <c r="O404" s="26">
        <f>VLOOKUP(Таблица1[[#This Row],[id клиента]],клиенты!$A$2:$E$435,5,0)</f>
        <v>44587</v>
      </c>
      <c r="P404">
        <f>Таблица1[[#This Row],[дата создания чека]]-Таблица1[[#This Row],[Дата регистрации клента]]</f>
        <v>494</v>
      </c>
      <c r="Q404" s="26">
        <f t="shared" ca="1" si="13"/>
        <v>46059</v>
      </c>
      <c r="R404" s="51">
        <f ca="1">(TODAY()-Таблица1[[#This Row],[Дата регистрации клента]])/30</f>
        <v>49.06666666666667</v>
      </c>
      <c r="S404" s="63" t="str">
        <f>VLOOKUP(Таблица1[[#This Row],[id клиента]],Таблица8[[id клиента]:[Страна]],7,0)</f>
        <v>Таджикистан</v>
      </c>
      <c r="T404" s="26"/>
    </row>
    <row r="405" spans="1:20" ht="19.5" x14ac:dyDescent="0.4">
      <c r="A405" s="37">
        <v>404</v>
      </c>
      <c r="B405" s="31">
        <v>145</v>
      </c>
      <c r="C405" s="31">
        <v>356</v>
      </c>
      <c r="D405" s="31">
        <v>3</v>
      </c>
      <c r="E405" s="31">
        <v>1068</v>
      </c>
      <c r="F405" s="38">
        <v>44928</v>
      </c>
      <c r="G405" s="31" t="s">
        <v>8</v>
      </c>
      <c r="H405" s="31">
        <v>254</v>
      </c>
      <c r="I405" s="31" t="str">
        <f>VLOOKUP(продажи!$B405,товар!$A$1:$C$433,2)</f>
        <v>Овощи</v>
      </c>
      <c r="J405" s="31" t="str">
        <f>VLOOKUP(B405,товар!$A$1:$C$433,3)</f>
        <v>Семко</v>
      </c>
      <c r="K405" s="39">
        <f>AVERAGEIF(продажи!$I$2:$I$1001,продажи!$I$2:$I$1001,продажи!$C$2:$C$1001)</f>
        <v>250.48780487804879</v>
      </c>
      <c r="L405" s="40">
        <f>продажи!$C405/продажи!$K405-1</f>
        <v>0.42122687439143136</v>
      </c>
      <c r="M405" s="33">
        <f t="shared" si="12"/>
        <v>2080</v>
      </c>
      <c r="N405" s="24">
        <f>Таблица1[[#This Row],[цена за шт в рублях]]/Таблица1[[#This Row],[средняя стоимость в категории по поставщику.]]-1</f>
        <v>-0.82884615384615379</v>
      </c>
      <c r="O405" s="26">
        <f>VLOOKUP(Таблица1[[#This Row],[id клиента]],клиенты!$A$2:$E$435,5,0)</f>
        <v>44862</v>
      </c>
      <c r="P405">
        <f>Таблица1[[#This Row],[дата создания чека]]-Таблица1[[#This Row],[Дата регистрации клента]]</f>
        <v>66</v>
      </c>
      <c r="Q405" s="26">
        <f t="shared" ca="1" si="13"/>
        <v>46059</v>
      </c>
      <c r="R405" s="51">
        <f ca="1">(TODAY()-Таблица1[[#This Row],[Дата регистрации клента]])/30</f>
        <v>39.9</v>
      </c>
      <c r="S405" s="63" t="str">
        <f>VLOOKUP(Таблица1[[#This Row],[id клиента]],Таблица8[[id клиента]:[Страна]],7,0)</f>
        <v>Беларусь</v>
      </c>
      <c r="T405" s="26"/>
    </row>
    <row r="406" spans="1:20" ht="19.5" x14ac:dyDescent="0.4">
      <c r="A406" s="41">
        <v>405</v>
      </c>
      <c r="B406" s="42">
        <v>249</v>
      </c>
      <c r="C406" s="42">
        <v>275</v>
      </c>
      <c r="D406" s="42">
        <v>3</v>
      </c>
      <c r="E406" s="42">
        <v>825</v>
      </c>
      <c r="F406" s="43">
        <v>45039</v>
      </c>
      <c r="G406" s="42" t="s">
        <v>23</v>
      </c>
      <c r="H406" s="42">
        <v>219</v>
      </c>
      <c r="I406" s="42" t="str">
        <f>VLOOKUP(продажи!$B406,товар!$A$1:$C$433,2)</f>
        <v>Чай</v>
      </c>
      <c r="J406" s="42" t="str">
        <f>VLOOKUP(B406,товар!$A$1:$C$433,3)</f>
        <v>Lipton</v>
      </c>
      <c r="K406" s="44">
        <f>AVERAGEIF(продажи!$I$2:$I$1001,продажи!$I$2:$I$1001,продажи!$C$2:$C$1001)</f>
        <v>271.18181818181819</v>
      </c>
      <c r="L406" s="45">
        <f>продажи!$C406/продажи!$K406-1</f>
        <v>1.4079785450888282E-2</v>
      </c>
      <c r="M406" s="33">
        <f t="shared" si="12"/>
        <v>4943</v>
      </c>
      <c r="N406" s="24">
        <f>Таблица1[[#This Row],[цена за шт в рублях]]/Таблица1[[#This Row],[средняя стоимость в категории по поставщику.]]-1</f>
        <v>-0.94436576977544007</v>
      </c>
      <c r="O406" s="26">
        <f>VLOOKUP(Таблица1[[#This Row],[id клиента]],клиенты!$A$2:$E$435,5,0)</f>
        <v>44585</v>
      </c>
      <c r="P406">
        <f>Таблица1[[#This Row],[дата создания чека]]-Таблица1[[#This Row],[Дата регистрации клента]]</f>
        <v>454</v>
      </c>
      <c r="Q406" s="26">
        <f t="shared" ca="1" si="13"/>
        <v>46059</v>
      </c>
      <c r="R406" s="51">
        <f ca="1">(TODAY()-Таблица1[[#This Row],[Дата регистрации клента]])/30</f>
        <v>49.133333333333333</v>
      </c>
      <c r="S406" s="63" t="str">
        <f>VLOOKUP(Таблица1[[#This Row],[id клиента]],Таблица8[[id клиента]:[Страна]],7,0)</f>
        <v>Таджикистан</v>
      </c>
      <c r="T406" s="26"/>
    </row>
    <row r="407" spans="1:20" ht="19.5" x14ac:dyDescent="0.4">
      <c r="A407" s="37">
        <v>406</v>
      </c>
      <c r="B407" s="31">
        <v>377</v>
      </c>
      <c r="C407" s="31">
        <v>129</v>
      </c>
      <c r="D407" s="31">
        <v>1</v>
      </c>
      <c r="E407" s="31">
        <v>129</v>
      </c>
      <c r="F407" s="38">
        <v>45231</v>
      </c>
      <c r="G407" s="31" t="s">
        <v>12</v>
      </c>
      <c r="H407" s="31">
        <v>456</v>
      </c>
      <c r="I407" s="31" t="str">
        <f>VLOOKUP(продажи!$B407,товар!$A$1:$C$433,2)</f>
        <v>Колбаса</v>
      </c>
      <c r="J407" s="31" t="str">
        <f>VLOOKUP(B407,товар!$A$1:$C$433,3)</f>
        <v>Окраина</v>
      </c>
      <c r="K407" s="39">
        <f>AVERAGEIF(продажи!$I$2:$I$1001,продажи!$I$2:$I$1001,продажи!$C$2:$C$1001)</f>
        <v>286.92307692307691</v>
      </c>
      <c r="L407" s="40">
        <f>продажи!$C407/продажи!$K407-1</f>
        <v>-0.55040214477211791</v>
      </c>
      <c r="M407" s="33">
        <f t="shared" si="12"/>
        <v>3283</v>
      </c>
      <c r="N407" s="24">
        <f>Таблица1[[#This Row],[цена за шт в рублях]]/Таблица1[[#This Row],[средняя стоимость в категории по поставщику.]]-1</f>
        <v>-0.96070667072799265</v>
      </c>
      <c r="O407" s="26">
        <f>VLOOKUP(Таблица1[[#This Row],[id клиента]],клиенты!$A$2:$E$435,5,0)</f>
        <v>44618</v>
      </c>
      <c r="P407">
        <f>Таблица1[[#This Row],[дата создания чека]]-Таблица1[[#This Row],[Дата регистрации клента]]</f>
        <v>613</v>
      </c>
      <c r="Q407" s="26">
        <f t="shared" ca="1" si="13"/>
        <v>46059</v>
      </c>
      <c r="R407" s="51">
        <f ca="1">(TODAY()-Таблица1[[#This Row],[Дата регистрации клента]])/30</f>
        <v>48.033333333333331</v>
      </c>
      <c r="S407" s="63" t="str">
        <f>VLOOKUP(Таблица1[[#This Row],[id клиента]],Таблица8[[id клиента]:[Страна]],7,0)</f>
        <v>Россия</v>
      </c>
      <c r="T407" s="26"/>
    </row>
    <row r="408" spans="1:20" ht="19.5" x14ac:dyDescent="0.4">
      <c r="A408" s="41">
        <v>407</v>
      </c>
      <c r="B408" s="42">
        <v>427</v>
      </c>
      <c r="C408" s="42">
        <v>499</v>
      </c>
      <c r="D408" s="42">
        <v>4</v>
      </c>
      <c r="E408" s="42">
        <v>1996</v>
      </c>
      <c r="F408" s="43">
        <v>45368</v>
      </c>
      <c r="G408" s="42" t="s">
        <v>23</v>
      </c>
      <c r="H408" s="42">
        <v>283</v>
      </c>
      <c r="I408" s="42" t="str">
        <f>VLOOKUP(продажи!$B408,товар!$A$1:$C$433,2)</f>
        <v>Хлеб</v>
      </c>
      <c r="J408" s="42" t="str">
        <f>VLOOKUP(B408,товар!$A$1:$C$433,3)</f>
        <v>Русский Хлеб</v>
      </c>
      <c r="K408" s="44">
        <f>AVERAGEIF(продажи!$I$2:$I$1001,продажи!$I$2:$I$1001,продажи!$C$2:$C$1001)</f>
        <v>300.31818181818181</v>
      </c>
      <c r="L408" s="45">
        <f>продажи!$C408/продажи!$K408-1</f>
        <v>0.66157106099591356</v>
      </c>
      <c r="M408" s="33">
        <f t="shared" si="12"/>
        <v>3166</v>
      </c>
      <c r="N408" s="24">
        <f>Таблица1[[#This Row],[цена за шт в рублях]]/Таблица1[[#This Row],[средняя стоимость в категории по поставщику.]]-1</f>
        <v>-0.84238787113076441</v>
      </c>
      <c r="O408" s="26">
        <f>VLOOKUP(Таблица1[[#This Row],[id клиента]],клиенты!$A$2:$E$435,5,0)</f>
        <v>44889</v>
      </c>
      <c r="P408">
        <f>Таблица1[[#This Row],[дата создания чека]]-Таблица1[[#This Row],[Дата регистрации клента]]</f>
        <v>479</v>
      </c>
      <c r="Q408" s="26">
        <f t="shared" ca="1" si="13"/>
        <v>46059</v>
      </c>
      <c r="R408" s="51">
        <f ca="1">(TODAY()-Таблица1[[#This Row],[Дата регистрации клента]])/30</f>
        <v>39</v>
      </c>
      <c r="S408" s="63" t="str">
        <f>VLOOKUP(Таблица1[[#This Row],[id клиента]],Таблица8[[id клиента]:[Страна]],7,0)</f>
        <v>Таджикистан</v>
      </c>
      <c r="T408" s="26"/>
    </row>
    <row r="409" spans="1:20" ht="19.5" x14ac:dyDescent="0.4">
      <c r="A409" s="37">
        <v>408</v>
      </c>
      <c r="B409" s="31">
        <v>445</v>
      </c>
      <c r="C409" s="31">
        <v>164</v>
      </c>
      <c r="D409" s="31">
        <v>2</v>
      </c>
      <c r="E409" s="31">
        <v>328</v>
      </c>
      <c r="F409" s="38">
        <v>45258</v>
      </c>
      <c r="G409" s="31" t="s">
        <v>15</v>
      </c>
      <c r="H409" s="31">
        <v>232</v>
      </c>
      <c r="I409" s="31" t="str">
        <f>VLOOKUP(продажи!$B409,товар!$A$1:$C$433,2)</f>
        <v>Сахар</v>
      </c>
      <c r="J409" s="31" t="str">
        <f>VLOOKUP(B409,товар!$A$1:$C$433,3)</f>
        <v>Сладов</v>
      </c>
      <c r="K409" s="39">
        <f>AVERAGEIF(продажи!$I$2:$I$1001,продажи!$I$2:$I$1001,продажи!$C$2:$C$1001)</f>
        <v>254.58333333333334</v>
      </c>
      <c r="L409" s="40">
        <f>продажи!$C409/продажи!$K409-1</f>
        <v>-0.35581014729950899</v>
      </c>
      <c r="M409" s="33">
        <f t="shared" si="12"/>
        <v>3604</v>
      </c>
      <c r="N409" s="24">
        <f>Таблица1[[#This Row],[цена за шт в рублях]]/Таблица1[[#This Row],[средняя стоимость в категории по поставщику.]]-1</f>
        <v>-0.9544950055493896</v>
      </c>
      <c r="O409" s="26">
        <f>VLOOKUP(Таблица1[[#This Row],[id клиента]],клиенты!$A$2:$E$435,5,0)</f>
        <v>44923</v>
      </c>
      <c r="P409">
        <f>Таблица1[[#This Row],[дата создания чека]]-Таблица1[[#This Row],[Дата регистрации клента]]</f>
        <v>335</v>
      </c>
      <c r="Q409" s="26">
        <f t="shared" ca="1" si="13"/>
        <v>46059</v>
      </c>
      <c r="R409" s="51">
        <f ca="1">(TODAY()-Таблица1[[#This Row],[Дата регистрации клента]])/30</f>
        <v>37.866666666666667</v>
      </c>
      <c r="S409" s="63" t="str">
        <f>VLOOKUP(Таблица1[[#This Row],[id клиента]],Таблица8[[id клиента]:[Страна]],7,0)</f>
        <v>Таджикистан</v>
      </c>
      <c r="T409" s="26"/>
    </row>
    <row r="410" spans="1:20" ht="19.5" x14ac:dyDescent="0.4">
      <c r="A410" s="41">
        <v>409</v>
      </c>
      <c r="B410" s="42">
        <v>336</v>
      </c>
      <c r="C410" s="42">
        <v>265</v>
      </c>
      <c r="D410" s="42">
        <v>3</v>
      </c>
      <c r="E410" s="42">
        <v>795</v>
      </c>
      <c r="F410" s="43">
        <v>45124</v>
      </c>
      <c r="G410" s="42" t="s">
        <v>9</v>
      </c>
      <c r="H410" s="42">
        <v>434</v>
      </c>
      <c r="I410" s="42" t="str">
        <f>VLOOKUP(продажи!$B410,товар!$A$1:$C$433,2)</f>
        <v>Чипсы</v>
      </c>
      <c r="J410" s="42" t="str">
        <f>VLOOKUP(B410,товар!$A$1:$C$433,3)</f>
        <v>Estrella</v>
      </c>
      <c r="K410" s="44">
        <f>AVERAGEIF(продажи!$I$2:$I$1001,продажи!$I$2:$I$1001,продажи!$C$2:$C$1001)</f>
        <v>273.72549019607845</v>
      </c>
      <c r="L410" s="45">
        <f>продажи!$C410/продажи!$K410-1</f>
        <v>-3.1876790830945634E-2</v>
      </c>
      <c r="M410" s="33">
        <f t="shared" si="12"/>
        <v>2929</v>
      </c>
      <c r="N410" s="24">
        <f>Таблица1[[#This Row],[цена за шт в рублях]]/Таблица1[[#This Row],[средняя стоимость в категории по поставщику.]]-1</f>
        <v>-0.90952543530215091</v>
      </c>
      <c r="O410" s="26">
        <f>VLOOKUP(Таблица1[[#This Row],[id клиента]],клиенты!$A$2:$E$435,5,0)</f>
        <v>44730</v>
      </c>
      <c r="P410">
        <f>Таблица1[[#This Row],[дата создания чека]]-Таблица1[[#This Row],[Дата регистрации клента]]</f>
        <v>394</v>
      </c>
      <c r="Q410" s="26">
        <f t="shared" ca="1" si="13"/>
        <v>46059</v>
      </c>
      <c r="R410" s="51">
        <f ca="1">(TODAY()-Таблица1[[#This Row],[Дата регистрации клента]])/30</f>
        <v>44.3</v>
      </c>
      <c r="S410" s="63" t="str">
        <f>VLOOKUP(Таблица1[[#This Row],[id клиента]],Таблица8[[id клиента]:[Страна]],7,0)</f>
        <v>Украина</v>
      </c>
      <c r="T410" s="26"/>
    </row>
    <row r="411" spans="1:20" ht="19.5" x14ac:dyDescent="0.4">
      <c r="A411" s="37">
        <v>410</v>
      </c>
      <c r="B411" s="31">
        <v>96</v>
      </c>
      <c r="C411" s="31">
        <v>386</v>
      </c>
      <c r="D411" s="31">
        <v>4</v>
      </c>
      <c r="E411" s="31">
        <v>1544</v>
      </c>
      <c r="F411" s="38">
        <v>45145</v>
      </c>
      <c r="G411" s="31" t="s">
        <v>17</v>
      </c>
      <c r="H411" s="31">
        <v>252</v>
      </c>
      <c r="I411" s="31" t="str">
        <f>VLOOKUP(продажи!$B411,товар!$A$1:$C$433,2)</f>
        <v>Соль</v>
      </c>
      <c r="J411" s="31" t="str">
        <f>VLOOKUP(B411,товар!$A$1:$C$433,3)</f>
        <v>Салта</v>
      </c>
      <c r="K411" s="39">
        <f>AVERAGEIF(продажи!$I$2:$I$1001,продажи!$I$2:$I$1001,продажи!$C$2:$C$1001)</f>
        <v>264.8679245283019</v>
      </c>
      <c r="L411" s="40">
        <f>продажи!$C411/продажи!$K411-1</f>
        <v>0.45733010400341922</v>
      </c>
      <c r="M411" s="33">
        <f t="shared" si="12"/>
        <v>2737</v>
      </c>
      <c r="N411" s="24">
        <f>Таблица1[[#This Row],[цена за шт в рублях]]/Таблица1[[#This Row],[средняя стоимость в категории по поставщику.]]-1</f>
        <v>-0.85896967482645237</v>
      </c>
      <c r="O411" s="26">
        <f>VLOOKUP(Таблица1[[#This Row],[id клиента]],клиенты!$A$2:$E$435,5,0)</f>
        <v>44643</v>
      </c>
      <c r="P411">
        <f>Таблица1[[#This Row],[дата создания чека]]-Таблица1[[#This Row],[Дата регистрации клента]]</f>
        <v>502</v>
      </c>
      <c r="Q411" s="26">
        <f t="shared" ca="1" si="13"/>
        <v>46059</v>
      </c>
      <c r="R411" s="51">
        <f ca="1">(TODAY()-Таблица1[[#This Row],[Дата регистрации клента]])/30</f>
        <v>47.2</v>
      </c>
      <c r="S411" s="63" t="str">
        <f>VLOOKUP(Таблица1[[#This Row],[id клиента]],Таблица8[[id клиента]:[Страна]],7,0)</f>
        <v>Россия</v>
      </c>
      <c r="T411" s="26"/>
    </row>
    <row r="412" spans="1:20" ht="19.5" x14ac:dyDescent="0.4">
      <c r="A412" s="41">
        <v>411</v>
      </c>
      <c r="B412" s="42">
        <v>117</v>
      </c>
      <c r="C412" s="42">
        <v>288</v>
      </c>
      <c r="D412" s="42">
        <v>5</v>
      </c>
      <c r="E412" s="42">
        <v>1440</v>
      </c>
      <c r="F412" s="43">
        <v>45348</v>
      </c>
      <c r="G412" s="42" t="s">
        <v>19</v>
      </c>
      <c r="H412" s="42">
        <v>372</v>
      </c>
      <c r="I412" s="42" t="str">
        <f>VLOOKUP(продажи!$B412,товар!$A$1:$C$433,2)</f>
        <v>Макароны</v>
      </c>
      <c r="J412" s="42" t="str">
        <f>VLOOKUP(B412,товар!$A$1:$C$433,3)</f>
        <v>Роллтон</v>
      </c>
      <c r="K412" s="44">
        <f>AVERAGEIF(продажи!$I$2:$I$1001,продажи!$I$2:$I$1001,продажи!$C$2:$C$1001)</f>
        <v>265.47674418604652</v>
      </c>
      <c r="L412" s="45">
        <f>продажи!$C412/продажи!$K412-1</f>
        <v>8.4840786649730715E-2</v>
      </c>
      <c r="M412" s="33">
        <f t="shared" si="12"/>
        <v>2120</v>
      </c>
      <c r="N412" s="24">
        <f>Таблица1[[#This Row],[цена за шт в рублях]]/Таблица1[[#This Row],[средняя стоимость в категории по поставщику.]]-1</f>
        <v>-0.86415094339622645</v>
      </c>
      <c r="O412" s="26">
        <f>VLOOKUP(Таблица1[[#This Row],[id клиента]],клиенты!$A$2:$E$435,5,0)</f>
        <v>44772</v>
      </c>
      <c r="P412">
        <f>Таблица1[[#This Row],[дата создания чека]]-Таблица1[[#This Row],[Дата регистрации клента]]</f>
        <v>576</v>
      </c>
      <c r="Q412" s="26">
        <f t="shared" ca="1" si="13"/>
        <v>46059</v>
      </c>
      <c r="R412" s="51">
        <f ca="1">(TODAY()-Таблица1[[#This Row],[Дата регистрации клента]])/30</f>
        <v>42.9</v>
      </c>
      <c r="S412" s="63" t="str">
        <f>VLOOKUP(Таблица1[[#This Row],[id клиента]],Таблица8[[id клиента]:[Страна]],7,0)</f>
        <v>Таджикистан</v>
      </c>
      <c r="T412" s="26"/>
    </row>
    <row r="413" spans="1:20" ht="19.5" x14ac:dyDescent="0.4">
      <c r="A413" s="37">
        <v>412</v>
      </c>
      <c r="B413" s="31">
        <v>440</v>
      </c>
      <c r="C413" s="31">
        <v>201</v>
      </c>
      <c r="D413" s="31">
        <v>5</v>
      </c>
      <c r="E413" s="31">
        <v>1005</v>
      </c>
      <c r="F413" s="38">
        <v>45233</v>
      </c>
      <c r="G413" s="31" t="s">
        <v>22</v>
      </c>
      <c r="H413" s="31">
        <v>432</v>
      </c>
      <c r="I413" s="31" t="str">
        <f>VLOOKUP(продажи!$B413,товар!$A$1:$C$433,2)</f>
        <v>Фрукты</v>
      </c>
      <c r="J413" s="31" t="str">
        <f>VLOOKUP(B413,товар!$A$1:$C$433,3)</f>
        <v>Фруктовый Рай</v>
      </c>
      <c r="K413" s="39">
        <f>AVERAGEIF(продажи!$I$2:$I$1001,продажи!$I$2:$I$1001,продажи!$C$2:$C$1001)</f>
        <v>274.16279069767444</v>
      </c>
      <c r="L413" s="40">
        <f>продажи!$C413/продажи!$K413-1</f>
        <v>-0.26685893629654767</v>
      </c>
      <c r="M413" s="33">
        <f t="shared" si="12"/>
        <v>3358</v>
      </c>
      <c r="N413" s="24">
        <f>Таблица1[[#This Row],[цена за шт в рублях]]/Таблица1[[#This Row],[средняя стоимость в категории по поставщику.]]-1</f>
        <v>-0.94014294222751638</v>
      </c>
      <c r="O413" s="26">
        <f>VLOOKUP(Таблица1[[#This Row],[id клиента]],клиенты!$A$2:$E$435,5,0)</f>
        <v>44718</v>
      </c>
      <c r="P413">
        <f>Таблица1[[#This Row],[дата создания чека]]-Таблица1[[#This Row],[Дата регистрации клента]]</f>
        <v>515</v>
      </c>
      <c r="Q413" s="26">
        <f t="shared" ca="1" si="13"/>
        <v>46059</v>
      </c>
      <c r="R413" s="51">
        <f ca="1">(TODAY()-Таблица1[[#This Row],[Дата регистрации клента]])/30</f>
        <v>44.7</v>
      </c>
      <c r="S413" s="63" t="str">
        <f>VLOOKUP(Таблица1[[#This Row],[id клиента]],Таблица8[[id клиента]:[Страна]],7,0)</f>
        <v>Таджикистан</v>
      </c>
      <c r="T413" s="26"/>
    </row>
    <row r="414" spans="1:20" ht="19.5" x14ac:dyDescent="0.4">
      <c r="A414" s="41">
        <v>413</v>
      </c>
      <c r="B414" s="42">
        <v>51</v>
      </c>
      <c r="C414" s="42">
        <v>271</v>
      </c>
      <c r="D414" s="42">
        <v>4</v>
      </c>
      <c r="E414" s="42">
        <v>1084</v>
      </c>
      <c r="F414" s="43">
        <v>45205</v>
      </c>
      <c r="G414" s="42" t="s">
        <v>15</v>
      </c>
      <c r="H414" s="42">
        <v>221</v>
      </c>
      <c r="I414" s="42" t="str">
        <f>VLOOKUP(продажи!$B414,товар!$A$1:$C$433,2)</f>
        <v>Колбаса</v>
      </c>
      <c r="J414" s="42" t="str">
        <f>VLOOKUP(B414,товар!$A$1:$C$433,3)</f>
        <v>Дымов</v>
      </c>
      <c r="K414" s="44">
        <f>AVERAGEIF(продажи!$I$2:$I$1001,продажи!$I$2:$I$1001,продажи!$C$2:$C$1001)</f>
        <v>286.92307692307691</v>
      </c>
      <c r="L414" s="45">
        <f>продажи!$C414/продажи!$K414-1</f>
        <v>-5.5495978552278724E-2</v>
      </c>
      <c r="M414" s="33">
        <f t="shared" si="12"/>
        <v>2814</v>
      </c>
      <c r="N414" s="24">
        <f>Таблица1[[#This Row],[цена за шт в рублях]]/Таблица1[[#This Row],[средняя стоимость в категории по поставщику.]]-1</f>
        <v>-0.90369580668088134</v>
      </c>
      <c r="O414" s="26">
        <f>VLOOKUP(Таблица1[[#This Row],[id клиента]],клиенты!$A$2:$E$435,5,0)</f>
        <v>44820</v>
      </c>
      <c r="P414">
        <f>Таблица1[[#This Row],[дата создания чека]]-Таблица1[[#This Row],[Дата регистрации клента]]</f>
        <v>385</v>
      </c>
      <c r="Q414" s="26">
        <f t="shared" ca="1" si="13"/>
        <v>46059</v>
      </c>
      <c r="R414" s="51">
        <f ca="1">(TODAY()-Таблица1[[#This Row],[Дата регистрации клента]])/30</f>
        <v>41.3</v>
      </c>
      <c r="S414" s="63" t="str">
        <f>VLOOKUP(Таблица1[[#This Row],[id клиента]],Таблица8[[id клиента]:[Страна]],7,0)</f>
        <v>Таджикистан</v>
      </c>
      <c r="T414" s="26"/>
    </row>
    <row r="415" spans="1:20" ht="19.5" x14ac:dyDescent="0.4">
      <c r="A415" s="37">
        <v>414</v>
      </c>
      <c r="B415" s="31">
        <v>398</v>
      </c>
      <c r="C415" s="31">
        <v>419</v>
      </c>
      <c r="D415" s="31">
        <v>2</v>
      </c>
      <c r="E415" s="31">
        <v>838</v>
      </c>
      <c r="F415" s="38">
        <v>45335</v>
      </c>
      <c r="G415" s="31" t="s">
        <v>24</v>
      </c>
      <c r="H415" s="31">
        <v>164</v>
      </c>
      <c r="I415" s="31" t="str">
        <f>VLOOKUP(продажи!$B415,товар!$A$1:$C$433,2)</f>
        <v>Сок</v>
      </c>
      <c r="J415" s="31" t="str">
        <f>VLOOKUP(B415,товар!$A$1:$C$433,3)</f>
        <v>Фруктовый сад</v>
      </c>
      <c r="K415" s="39">
        <f>AVERAGEIF(продажи!$I$2:$I$1001,продажи!$I$2:$I$1001,продажи!$C$2:$C$1001)</f>
        <v>268.60344827586209</v>
      </c>
      <c r="L415" s="40">
        <f>продажи!$C415/продажи!$K415-1</f>
        <v>0.55992040567430501</v>
      </c>
      <c r="M415" s="33">
        <f t="shared" si="12"/>
        <v>9023</v>
      </c>
      <c r="N415" s="24">
        <f>Таблица1[[#This Row],[цена за шт в рублях]]/Таблица1[[#This Row],[средняя стоимость в категории по поставщику.]]-1</f>
        <v>-0.95356311648010639</v>
      </c>
      <c r="O415" s="26">
        <f>VLOOKUP(Таблица1[[#This Row],[id клиента]],клиенты!$A$2:$E$435,5,0)</f>
        <v>44678</v>
      </c>
      <c r="P415">
        <f>Таблица1[[#This Row],[дата создания чека]]-Таблица1[[#This Row],[Дата регистрации клента]]</f>
        <v>657</v>
      </c>
      <c r="Q415" s="26">
        <f t="shared" ca="1" si="13"/>
        <v>46059</v>
      </c>
      <c r="R415" s="51">
        <f ca="1">(TODAY()-Таблица1[[#This Row],[Дата регистрации клента]])/30</f>
        <v>46.033333333333331</v>
      </c>
      <c r="S415" s="63" t="str">
        <f>VLOOKUP(Таблица1[[#This Row],[id клиента]],Таблица8[[id клиента]:[Страна]],7,0)</f>
        <v>Россия</v>
      </c>
      <c r="T415" s="26"/>
    </row>
    <row r="416" spans="1:20" ht="19.5" x14ac:dyDescent="0.4">
      <c r="A416" s="41">
        <v>415</v>
      </c>
      <c r="B416" s="42">
        <v>443</v>
      </c>
      <c r="C416" s="42">
        <v>192</v>
      </c>
      <c r="D416" s="42">
        <v>5</v>
      </c>
      <c r="E416" s="42">
        <v>960</v>
      </c>
      <c r="F416" s="43">
        <v>45241</v>
      </c>
      <c r="G416" s="42" t="s">
        <v>22</v>
      </c>
      <c r="H416" s="42">
        <v>413</v>
      </c>
      <c r="I416" s="42" t="str">
        <f>VLOOKUP(продажи!$B416,товар!$A$1:$C$433,2)</f>
        <v>Кофе</v>
      </c>
      <c r="J416" s="42" t="str">
        <f>VLOOKUP(B416,товар!$A$1:$C$433,3)</f>
        <v>Jacobs</v>
      </c>
      <c r="K416" s="44">
        <f>AVERAGEIF(продажи!$I$2:$I$1001,продажи!$I$2:$I$1001,продажи!$C$2:$C$1001)</f>
        <v>249.02380952380952</v>
      </c>
      <c r="L416" s="45">
        <f>продажи!$C416/продажи!$K416-1</f>
        <v>-0.22898938713070083</v>
      </c>
      <c r="M416" s="33">
        <f t="shared" si="12"/>
        <v>5248</v>
      </c>
      <c r="N416" s="24">
        <f>Таблица1[[#This Row],[цена за шт в рублях]]/Таблица1[[#This Row],[средняя стоимость в категории по поставщику.]]-1</f>
        <v>-0.96341463414634143</v>
      </c>
      <c r="O416" s="26">
        <f>VLOOKUP(Таблица1[[#This Row],[id клиента]],клиенты!$A$2:$E$435,5,0)</f>
        <v>44699</v>
      </c>
      <c r="P416">
        <f>Таблица1[[#This Row],[дата создания чека]]-Таблица1[[#This Row],[Дата регистрации клента]]</f>
        <v>542</v>
      </c>
      <c r="Q416" s="26">
        <f t="shared" ca="1" si="13"/>
        <v>46059</v>
      </c>
      <c r="R416" s="51">
        <f ca="1">(TODAY()-Таблица1[[#This Row],[Дата регистрации клента]])/30</f>
        <v>45.333333333333336</v>
      </c>
      <c r="S416" s="63" t="str">
        <f>VLOOKUP(Таблица1[[#This Row],[id клиента]],Таблица8[[id клиента]:[Страна]],7,0)</f>
        <v>Россия</v>
      </c>
      <c r="T416" s="26"/>
    </row>
    <row r="417" spans="1:20" ht="19.5" x14ac:dyDescent="0.4">
      <c r="A417" s="37">
        <v>416</v>
      </c>
      <c r="B417" s="31">
        <v>118</v>
      </c>
      <c r="C417" s="31">
        <v>193</v>
      </c>
      <c r="D417" s="31">
        <v>2</v>
      </c>
      <c r="E417" s="31">
        <v>386</v>
      </c>
      <c r="F417" s="38">
        <v>45356</v>
      </c>
      <c r="G417" s="31" t="s">
        <v>11</v>
      </c>
      <c r="H417" s="31">
        <v>148</v>
      </c>
      <c r="I417" s="31" t="str">
        <f>VLOOKUP(продажи!$B417,товар!$A$1:$C$433,2)</f>
        <v>Сахар</v>
      </c>
      <c r="J417" s="31" t="str">
        <f>VLOOKUP(B417,товар!$A$1:$C$433,3)</f>
        <v>Продимекс</v>
      </c>
      <c r="K417" s="39">
        <f>AVERAGEIF(продажи!$I$2:$I$1001,продажи!$I$2:$I$1001,продажи!$C$2:$C$1001)</f>
        <v>254.58333333333334</v>
      </c>
      <c r="L417" s="40">
        <f>продажи!$C417/продажи!$K417-1</f>
        <v>-0.24189852700490999</v>
      </c>
      <c r="M417" s="33">
        <f t="shared" si="12"/>
        <v>5172</v>
      </c>
      <c r="N417" s="24">
        <f>Таблица1[[#This Row],[цена за шт в рублях]]/Таблица1[[#This Row],[средняя стоимость в категории по поставщику.]]-1</f>
        <v>-0.96268368136117555</v>
      </c>
      <c r="O417" s="26">
        <f>VLOOKUP(Таблица1[[#This Row],[id клиента]],клиенты!$A$2:$E$435,5,0)</f>
        <v>44700</v>
      </c>
      <c r="P417">
        <f>Таблица1[[#This Row],[дата создания чека]]-Таблица1[[#This Row],[Дата регистрации клента]]</f>
        <v>656</v>
      </c>
      <c r="Q417" s="26">
        <f t="shared" ca="1" si="13"/>
        <v>46059</v>
      </c>
      <c r="R417" s="51">
        <f ca="1">(TODAY()-Таблица1[[#This Row],[Дата регистрации клента]])/30</f>
        <v>45.3</v>
      </c>
      <c r="S417" s="63" t="str">
        <f>VLOOKUP(Таблица1[[#This Row],[id клиента]],Таблица8[[id клиента]:[Страна]],7,0)</f>
        <v>Россия</v>
      </c>
      <c r="T417" s="26"/>
    </row>
    <row r="418" spans="1:20" ht="19.5" x14ac:dyDescent="0.4">
      <c r="A418" s="41">
        <v>417</v>
      </c>
      <c r="B418" s="42">
        <v>371</v>
      </c>
      <c r="C418" s="42">
        <v>245</v>
      </c>
      <c r="D418" s="42">
        <v>1</v>
      </c>
      <c r="E418" s="42">
        <v>245</v>
      </c>
      <c r="F418" s="43">
        <v>44985</v>
      </c>
      <c r="G418" s="42" t="s">
        <v>27</v>
      </c>
      <c r="H418" s="42">
        <v>209</v>
      </c>
      <c r="I418" s="42" t="str">
        <f>VLOOKUP(продажи!$B418,товар!$A$1:$C$433,2)</f>
        <v>Сахар</v>
      </c>
      <c r="J418" s="42" t="str">
        <f>VLOOKUP(B418,товар!$A$1:$C$433,3)</f>
        <v>Русский сахар</v>
      </c>
      <c r="K418" s="44">
        <f>AVERAGEIF(продажи!$I$2:$I$1001,продажи!$I$2:$I$1001,продажи!$C$2:$C$1001)</f>
        <v>254.58333333333334</v>
      </c>
      <c r="L418" s="45">
        <f>продажи!$C418/продажи!$K418-1</f>
        <v>-3.7643207855973859E-2</v>
      </c>
      <c r="M418" s="33">
        <f t="shared" si="12"/>
        <v>4988</v>
      </c>
      <c r="N418" s="24">
        <f>Таблица1[[#This Row],[цена за шт в рублях]]/Таблица1[[#This Row],[средняя стоимость в категории по поставщику.]]-1</f>
        <v>-0.95088211708099435</v>
      </c>
      <c r="O418" s="26">
        <f>VLOOKUP(Таблица1[[#This Row],[id клиента]],клиенты!$A$2:$E$435,5,0)</f>
        <v>44628</v>
      </c>
      <c r="P418">
        <f>Таблица1[[#This Row],[дата создания чека]]-Таблица1[[#This Row],[Дата регистрации клента]]</f>
        <v>357</v>
      </c>
      <c r="Q418" s="26">
        <f t="shared" ca="1" si="13"/>
        <v>46059</v>
      </c>
      <c r="R418" s="51">
        <f ca="1">(TODAY()-Таблица1[[#This Row],[Дата регистрации клента]])/30</f>
        <v>47.7</v>
      </c>
      <c r="S418" s="63" t="str">
        <f>VLOOKUP(Таблица1[[#This Row],[id клиента]],Таблица8[[id клиента]:[Страна]],7,0)</f>
        <v>Россия</v>
      </c>
      <c r="T418" s="26"/>
    </row>
    <row r="419" spans="1:20" ht="19.5" x14ac:dyDescent="0.4">
      <c r="A419" s="37">
        <v>418</v>
      </c>
      <c r="B419" s="31">
        <v>216</v>
      </c>
      <c r="C419" s="31">
        <v>209</v>
      </c>
      <c r="D419" s="31">
        <v>3</v>
      </c>
      <c r="E419" s="31">
        <v>627</v>
      </c>
      <c r="F419" s="38">
        <v>45357</v>
      </c>
      <c r="G419" s="31" t="s">
        <v>16</v>
      </c>
      <c r="H419" s="31">
        <v>263</v>
      </c>
      <c r="I419" s="31" t="str">
        <f>VLOOKUP(продажи!$B419,товар!$A$1:$C$433,2)</f>
        <v>Кофе</v>
      </c>
      <c r="J419" s="31" t="str">
        <f>VLOOKUP(B419,товар!$A$1:$C$433,3)</f>
        <v>Черная Карта</v>
      </c>
      <c r="K419" s="39">
        <f>AVERAGEIF(продажи!$I$2:$I$1001,продажи!$I$2:$I$1001,продажи!$C$2:$C$1001)</f>
        <v>249.02380952380952</v>
      </c>
      <c r="L419" s="40">
        <f>продажи!$C419/продажи!$K419-1</f>
        <v>-0.16072282244956493</v>
      </c>
      <c r="M419" s="33">
        <f t="shared" si="12"/>
        <v>2222</v>
      </c>
      <c r="N419" s="24">
        <f>Таблица1[[#This Row],[цена за шт в рублях]]/Таблица1[[#This Row],[средняя стоимость в категории по поставщику.]]-1</f>
        <v>-0.90594059405940597</v>
      </c>
      <c r="O419" s="26">
        <f>VLOOKUP(Таблица1[[#This Row],[id клиента]],клиенты!$A$2:$E$435,5,0)</f>
        <v>44612</v>
      </c>
      <c r="P419">
        <f>Таблица1[[#This Row],[дата создания чека]]-Таблица1[[#This Row],[Дата регистрации клента]]</f>
        <v>745</v>
      </c>
      <c r="Q419" s="26">
        <f t="shared" ca="1" si="13"/>
        <v>46059</v>
      </c>
      <c r="R419" s="51">
        <f ca="1">(TODAY()-Таблица1[[#This Row],[Дата регистрации клента]])/30</f>
        <v>48.233333333333334</v>
      </c>
      <c r="S419" s="63" t="str">
        <f>VLOOKUP(Таблица1[[#This Row],[id клиента]],Таблица8[[id клиента]:[Страна]],7,0)</f>
        <v>Таджикистан</v>
      </c>
      <c r="T419" s="26"/>
    </row>
    <row r="420" spans="1:20" ht="19.5" x14ac:dyDescent="0.4">
      <c r="A420" s="41">
        <v>419</v>
      </c>
      <c r="B420" s="42">
        <v>390</v>
      </c>
      <c r="C420" s="42">
        <v>120</v>
      </c>
      <c r="D420" s="42">
        <v>1</v>
      </c>
      <c r="E420" s="42">
        <v>120</v>
      </c>
      <c r="F420" s="43">
        <v>45176</v>
      </c>
      <c r="G420" s="42" t="s">
        <v>14</v>
      </c>
      <c r="H420" s="42">
        <v>449</v>
      </c>
      <c r="I420" s="42" t="str">
        <f>VLOOKUP(продажи!$B420,товар!$A$1:$C$433,2)</f>
        <v>Сок</v>
      </c>
      <c r="J420" s="42" t="str">
        <f>VLOOKUP(B420,товар!$A$1:$C$433,3)</f>
        <v>Сады Придонья</v>
      </c>
      <c r="K420" s="44">
        <f>AVERAGEIF(продажи!$I$2:$I$1001,продажи!$I$2:$I$1001,продажи!$C$2:$C$1001)</f>
        <v>268.60344827586209</v>
      </c>
      <c r="L420" s="45">
        <f>продажи!$C420/продажи!$K420-1</f>
        <v>-0.55324475255151162</v>
      </c>
      <c r="M420" s="33">
        <f t="shared" si="12"/>
        <v>2796</v>
      </c>
      <c r="N420" s="24">
        <f>Таблица1[[#This Row],[цена за шт в рублях]]/Таблица1[[#This Row],[средняя стоимость в категории по поставщику.]]-1</f>
        <v>-0.9570815450643777</v>
      </c>
      <c r="O420" s="26">
        <f>VLOOKUP(Таблица1[[#This Row],[id клиента]],клиенты!$A$2:$E$435,5,0)</f>
        <v>44645</v>
      </c>
      <c r="P420">
        <f>Таблица1[[#This Row],[дата создания чека]]-Таблица1[[#This Row],[Дата регистрации клента]]</f>
        <v>531</v>
      </c>
      <c r="Q420" s="26">
        <f t="shared" ca="1" si="13"/>
        <v>46059</v>
      </c>
      <c r="R420" s="51">
        <f ca="1">(TODAY()-Таблица1[[#This Row],[Дата регистрации клента]])/30</f>
        <v>47.133333333333333</v>
      </c>
      <c r="S420" s="63" t="str">
        <f>VLOOKUP(Таблица1[[#This Row],[id клиента]],Таблица8[[id клиента]:[Страна]],7,0)</f>
        <v>Таджикистан</v>
      </c>
      <c r="T420" s="26"/>
    </row>
    <row r="421" spans="1:20" ht="19.5" x14ac:dyDescent="0.4">
      <c r="A421" s="37">
        <v>420</v>
      </c>
      <c r="B421" s="31">
        <v>14</v>
      </c>
      <c r="C421" s="31">
        <v>251</v>
      </c>
      <c r="D421" s="31">
        <v>1</v>
      </c>
      <c r="E421" s="31">
        <v>251</v>
      </c>
      <c r="F421" s="38">
        <v>45272</v>
      </c>
      <c r="G421" s="31" t="s">
        <v>23</v>
      </c>
      <c r="H421" s="31">
        <v>321</v>
      </c>
      <c r="I421" s="31" t="str">
        <f>VLOOKUP(продажи!$B421,товар!$A$1:$C$433,2)</f>
        <v>Сок</v>
      </c>
      <c r="J421" s="31" t="str">
        <f>VLOOKUP(B421,товар!$A$1:$C$433,3)</f>
        <v>Rich</v>
      </c>
      <c r="K421" s="39">
        <f>AVERAGEIF(продажи!$I$2:$I$1001,продажи!$I$2:$I$1001,продажи!$C$2:$C$1001)</f>
        <v>268.60344827586209</v>
      </c>
      <c r="L421" s="40">
        <f>продажи!$C421/продажи!$K421-1</f>
        <v>-6.5536940753578632E-2</v>
      </c>
      <c r="M421" s="33">
        <f t="shared" si="12"/>
        <v>1089</v>
      </c>
      <c r="N421" s="24">
        <f>Таблица1[[#This Row],[цена за шт в рублях]]/Таблица1[[#This Row],[средняя стоимость в категории по поставщику.]]-1</f>
        <v>-0.76951331496786046</v>
      </c>
      <c r="O421" s="26">
        <f>VLOOKUP(Таблица1[[#This Row],[id клиента]],клиенты!$A$2:$E$435,5,0)</f>
        <v>44756</v>
      </c>
      <c r="P421">
        <f>Таблица1[[#This Row],[дата создания чека]]-Таблица1[[#This Row],[Дата регистрации клента]]</f>
        <v>516</v>
      </c>
      <c r="Q421" s="26">
        <f t="shared" ca="1" si="13"/>
        <v>46059</v>
      </c>
      <c r="R421" s="51">
        <f ca="1">(TODAY()-Таблица1[[#This Row],[Дата регистрации клента]])/30</f>
        <v>43.43333333333333</v>
      </c>
      <c r="S421" s="63" t="str">
        <f>VLOOKUP(Таблица1[[#This Row],[id клиента]],Таблица8[[id клиента]:[Страна]],7,0)</f>
        <v>Таджикистан</v>
      </c>
      <c r="T421" s="26"/>
    </row>
    <row r="422" spans="1:20" ht="19.5" x14ac:dyDescent="0.4">
      <c r="A422" s="41">
        <v>421</v>
      </c>
      <c r="B422" s="42">
        <v>451</v>
      </c>
      <c r="C422" s="42">
        <v>443</v>
      </c>
      <c r="D422" s="42">
        <v>4</v>
      </c>
      <c r="E422" s="42">
        <v>1772</v>
      </c>
      <c r="F422" s="43">
        <v>45210</v>
      </c>
      <c r="G422" s="42" t="s">
        <v>26</v>
      </c>
      <c r="H422" s="42">
        <v>101</v>
      </c>
      <c r="I422" s="42" t="str">
        <f>VLOOKUP(продажи!$B422,товар!$A$1:$C$433,2)</f>
        <v>Рис</v>
      </c>
      <c r="J422" s="42" t="str">
        <f>VLOOKUP(B422,товар!$A$1:$C$433,3)</f>
        <v>Белый Злат</v>
      </c>
      <c r="K422" s="44">
        <f>AVERAGEIF(продажи!$I$2:$I$1001,продажи!$I$2:$I$1001,продажи!$C$2:$C$1001)</f>
        <v>258.375</v>
      </c>
      <c r="L422" s="45">
        <f>продажи!$C422/продажи!$K422-1</f>
        <v>0.71456216739235612</v>
      </c>
      <c r="M422" s="33">
        <f t="shared" si="12"/>
        <v>4585</v>
      </c>
      <c r="N422" s="24">
        <f>Таблица1[[#This Row],[цена за шт в рублях]]/Таблица1[[#This Row],[средняя стоимость в категории по поставщику.]]-1</f>
        <v>-0.90338058887677208</v>
      </c>
      <c r="O422" s="26">
        <f>VLOOKUP(Таблица1[[#This Row],[id клиента]],клиенты!$A$2:$E$435,5,0)</f>
        <v>44727</v>
      </c>
      <c r="P422">
        <f>Таблица1[[#This Row],[дата создания чека]]-Таблица1[[#This Row],[Дата регистрации клента]]</f>
        <v>483</v>
      </c>
      <c r="Q422" s="26">
        <f t="shared" ca="1" si="13"/>
        <v>46059</v>
      </c>
      <c r="R422" s="51">
        <f ca="1">(TODAY()-Таблица1[[#This Row],[Дата регистрации клента]])/30</f>
        <v>44.4</v>
      </c>
      <c r="S422" s="63" t="str">
        <f>VLOOKUP(Таблица1[[#This Row],[id клиента]],Таблица8[[id клиента]:[Страна]],7,0)</f>
        <v>Россия</v>
      </c>
      <c r="T422" s="26"/>
    </row>
    <row r="423" spans="1:20" ht="19.5" x14ac:dyDescent="0.4">
      <c r="A423" s="37">
        <v>422</v>
      </c>
      <c r="B423" s="31">
        <v>312</v>
      </c>
      <c r="C423" s="31">
        <v>234</v>
      </c>
      <c r="D423" s="31">
        <v>1</v>
      </c>
      <c r="E423" s="31">
        <v>234</v>
      </c>
      <c r="F423" s="38">
        <v>44954</v>
      </c>
      <c r="G423" s="31" t="s">
        <v>17</v>
      </c>
      <c r="H423" s="31">
        <v>124</v>
      </c>
      <c r="I423" s="31" t="str">
        <f>VLOOKUP(продажи!$B423,товар!$A$1:$C$433,2)</f>
        <v>Хлеб</v>
      </c>
      <c r="J423" s="31" t="str">
        <f>VLOOKUP(B423,товар!$A$1:$C$433,3)</f>
        <v>Каравай</v>
      </c>
      <c r="K423" s="39">
        <f>AVERAGEIF(продажи!$I$2:$I$1001,продажи!$I$2:$I$1001,продажи!$C$2:$C$1001)</f>
        <v>300.31818181818181</v>
      </c>
      <c r="L423" s="40">
        <f>продажи!$C423/продажи!$K423-1</f>
        <v>-0.22082639624640532</v>
      </c>
      <c r="M423" s="33">
        <f t="shared" si="12"/>
        <v>3974</v>
      </c>
      <c r="N423" s="24">
        <f>Таблица1[[#This Row],[цена за шт в рублях]]/Таблица1[[#This Row],[средняя стоимость в категории по поставщику.]]-1</f>
        <v>-0.94111726220432812</v>
      </c>
      <c r="O423" s="26">
        <f>VLOOKUP(Таблица1[[#This Row],[id клиента]],клиенты!$A$2:$E$435,5,0)</f>
        <v>44795</v>
      </c>
      <c r="P423">
        <f>Таблица1[[#This Row],[дата создания чека]]-Таблица1[[#This Row],[Дата регистрации клента]]</f>
        <v>159</v>
      </c>
      <c r="Q423" s="26">
        <f t="shared" ca="1" si="13"/>
        <v>46059</v>
      </c>
      <c r="R423" s="51">
        <f ca="1">(TODAY()-Таблица1[[#This Row],[Дата регистрации клента]])/30</f>
        <v>42.133333333333333</v>
      </c>
      <c r="S423" s="63" t="str">
        <f>VLOOKUP(Таблица1[[#This Row],[id клиента]],Таблица8[[id клиента]:[Страна]],7,0)</f>
        <v>Россия</v>
      </c>
      <c r="T423" s="26"/>
    </row>
    <row r="424" spans="1:20" ht="19.5" x14ac:dyDescent="0.4">
      <c r="A424" s="41">
        <v>423</v>
      </c>
      <c r="B424" s="42">
        <v>217</v>
      </c>
      <c r="C424" s="42">
        <v>260</v>
      </c>
      <c r="D424" s="42">
        <v>5</v>
      </c>
      <c r="E424" s="42">
        <v>1300</v>
      </c>
      <c r="F424" s="43">
        <v>45018</v>
      </c>
      <c r="G424" s="42" t="s">
        <v>12</v>
      </c>
      <c r="H424" s="42">
        <v>257</v>
      </c>
      <c r="I424" s="42" t="str">
        <f>VLOOKUP(продажи!$B424,товар!$A$1:$C$433,2)</f>
        <v>Мясо</v>
      </c>
      <c r="J424" s="42" t="str">
        <f>VLOOKUP(B424,товар!$A$1:$C$433,3)</f>
        <v>Агрокомплекс</v>
      </c>
      <c r="K424" s="44">
        <f>AVERAGEIF(продажи!$I$2:$I$1001,продажи!$I$2:$I$1001,продажи!$C$2:$C$1001)</f>
        <v>271.74545454545455</v>
      </c>
      <c r="L424" s="45">
        <f>продажи!$C424/продажи!$K424-1</f>
        <v>-4.3222266827244726E-2</v>
      </c>
      <c r="M424" s="33">
        <f t="shared" si="12"/>
        <v>3112</v>
      </c>
      <c r="N424" s="24">
        <f>Таблица1[[#This Row],[цена за шт в рублях]]/Таблица1[[#This Row],[средняя стоимость в категории по поставщику.]]-1</f>
        <v>-0.91645244215938304</v>
      </c>
      <c r="O424" s="26">
        <f>VLOOKUP(Таблица1[[#This Row],[id клиента]],клиенты!$A$2:$E$435,5,0)</f>
        <v>44701</v>
      </c>
      <c r="P424">
        <f>Таблица1[[#This Row],[дата создания чека]]-Таблица1[[#This Row],[Дата регистрации клента]]</f>
        <v>317</v>
      </c>
      <c r="Q424" s="26">
        <f t="shared" ca="1" si="13"/>
        <v>46059</v>
      </c>
      <c r="R424" s="51">
        <f ca="1">(TODAY()-Таблица1[[#This Row],[Дата регистрации клента]])/30</f>
        <v>45.266666666666666</v>
      </c>
      <c r="S424" s="63" t="str">
        <f>VLOOKUP(Таблица1[[#This Row],[id клиента]],Таблица8[[id клиента]:[Страна]],7,0)</f>
        <v>Россия</v>
      </c>
      <c r="T424" s="26"/>
    </row>
    <row r="425" spans="1:20" ht="19.5" x14ac:dyDescent="0.4">
      <c r="A425" s="37">
        <v>424</v>
      </c>
      <c r="B425" s="31">
        <v>10</v>
      </c>
      <c r="C425" s="31">
        <v>203</v>
      </c>
      <c r="D425" s="31">
        <v>4</v>
      </c>
      <c r="E425" s="31">
        <v>812</v>
      </c>
      <c r="F425" s="38">
        <v>45059</v>
      </c>
      <c r="G425" s="31" t="s">
        <v>12</v>
      </c>
      <c r="H425" s="31">
        <v>276</v>
      </c>
      <c r="I425" s="31" t="str">
        <f>VLOOKUP(продажи!$B425,товар!$A$1:$C$433,2)</f>
        <v>Сок</v>
      </c>
      <c r="J425" s="31" t="str">
        <f>VLOOKUP(B425,товар!$A$1:$C$433,3)</f>
        <v>Фруктовый сад</v>
      </c>
      <c r="K425" s="39">
        <f>AVERAGEIF(продажи!$I$2:$I$1001,продажи!$I$2:$I$1001,продажи!$C$2:$C$1001)</f>
        <v>268.60344827586209</v>
      </c>
      <c r="L425" s="40">
        <f>продажи!$C425/продажи!$K425-1</f>
        <v>-0.24423903973297389</v>
      </c>
      <c r="M425" s="33">
        <f t="shared" si="12"/>
        <v>9023</v>
      </c>
      <c r="N425" s="24">
        <f>Таблица1[[#This Row],[цена за шт в рублях]]/Таблица1[[#This Row],[средняя стоимость в категории по поставщику.]]-1</f>
        <v>-0.97750193948797515</v>
      </c>
      <c r="O425" s="26">
        <f>VLOOKUP(Таблица1[[#This Row],[id клиента]],клиенты!$A$2:$E$435,5,0)</f>
        <v>44632</v>
      </c>
      <c r="P425">
        <f>Таблица1[[#This Row],[дата создания чека]]-Таблица1[[#This Row],[Дата регистрации клента]]</f>
        <v>427</v>
      </c>
      <c r="Q425" s="26">
        <f t="shared" ca="1" si="13"/>
        <v>46059</v>
      </c>
      <c r="R425" s="51">
        <f ca="1">(TODAY()-Таблица1[[#This Row],[Дата регистрации клента]])/30</f>
        <v>47.56666666666667</v>
      </c>
      <c r="S425" s="63" t="str">
        <f>VLOOKUP(Таблица1[[#This Row],[id клиента]],Таблица8[[id клиента]:[Страна]],7,0)</f>
        <v>Таджикистан</v>
      </c>
      <c r="T425" s="26"/>
    </row>
    <row r="426" spans="1:20" ht="19.5" x14ac:dyDescent="0.4">
      <c r="A426" s="41">
        <v>425</v>
      </c>
      <c r="B426" s="42">
        <v>60</v>
      </c>
      <c r="C426" s="42">
        <v>251</v>
      </c>
      <c r="D426" s="42">
        <v>2</v>
      </c>
      <c r="E426" s="42">
        <v>502</v>
      </c>
      <c r="F426" s="43">
        <v>45202</v>
      </c>
      <c r="G426" s="42" t="s">
        <v>25</v>
      </c>
      <c r="H426" s="42">
        <v>309</v>
      </c>
      <c r="I426" s="42" t="str">
        <f>VLOOKUP(продажи!$B426,товар!$A$1:$C$433,2)</f>
        <v>Кофе</v>
      </c>
      <c r="J426" s="42" t="str">
        <f>VLOOKUP(B426,товар!$A$1:$C$433,3)</f>
        <v>Jacobs</v>
      </c>
      <c r="K426" s="44">
        <f>AVERAGEIF(продажи!$I$2:$I$1001,продажи!$I$2:$I$1001,продажи!$C$2:$C$1001)</f>
        <v>249.02380952380952</v>
      </c>
      <c r="L426" s="45">
        <f>продажи!$C426/продажи!$K426-1</f>
        <v>7.9357491155942483E-3</v>
      </c>
      <c r="M426" s="33">
        <f t="shared" si="12"/>
        <v>5248</v>
      </c>
      <c r="N426" s="24">
        <f>Таблица1[[#This Row],[цена за шт в рублях]]/Таблица1[[#This Row],[средняя стоимость в категории по поставщику.]]-1</f>
        <v>-0.95217225609756095</v>
      </c>
      <c r="O426" s="26">
        <f>VLOOKUP(Таблица1[[#This Row],[id клиента]],клиенты!$A$2:$E$435,5,0)</f>
        <v>44711</v>
      </c>
      <c r="P426">
        <f>Таблица1[[#This Row],[дата создания чека]]-Таблица1[[#This Row],[Дата регистрации клента]]</f>
        <v>491</v>
      </c>
      <c r="Q426" s="26">
        <f t="shared" ca="1" si="13"/>
        <v>46059</v>
      </c>
      <c r="R426" s="51">
        <f ca="1">(TODAY()-Таблица1[[#This Row],[Дата регистрации клента]])/30</f>
        <v>44.93333333333333</v>
      </c>
      <c r="S426" s="63" t="str">
        <f>VLOOKUP(Таблица1[[#This Row],[id клиента]],Таблица8[[id клиента]:[Страна]],7,0)</f>
        <v>Россия</v>
      </c>
      <c r="T426" s="26"/>
    </row>
    <row r="427" spans="1:20" ht="19.5" x14ac:dyDescent="0.4">
      <c r="A427" s="37">
        <v>426</v>
      </c>
      <c r="B427" s="31">
        <v>74</v>
      </c>
      <c r="C427" s="31">
        <v>210</v>
      </c>
      <c r="D427" s="31">
        <v>3</v>
      </c>
      <c r="E427" s="31">
        <v>630</v>
      </c>
      <c r="F427" s="38">
        <v>45335</v>
      </c>
      <c r="G427" s="31" t="s">
        <v>17</v>
      </c>
      <c r="H427" s="31">
        <v>319</v>
      </c>
      <c r="I427" s="31" t="str">
        <f>VLOOKUP(продажи!$B427,товар!$A$1:$C$433,2)</f>
        <v>Колбаса</v>
      </c>
      <c r="J427" s="31" t="str">
        <f>VLOOKUP(B427,товар!$A$1:$C$433,3)</f>
        <v>Черкизово</v>
      </c>
      <c r="K427" s="39">
        <f>AVERAGEIF(продажи!$I$2:$I$1001,продажи!$I$2:$I$1001,продажи!$C$2:$C$1001)</f>
        <v>286.92307692307691</v>
      </c>
      <c r="L427" s="40">
        <f>продажи!$C427/продажи!$K427-1</f>
        <v>-0.26809651474530827</v>
      </c>
      <c r="M427" s="33">
        <f t="shared" si="12"/>
        <v>1281</v>
      </c>
      <c r="N427" s="24">
        <f>Таблица1[[#This Row],[цена за шт в рублях]]/Таблица1[[#This Row],[средняя стоимость в категории по поставщику.]]-1</f>
        <v>-0.83606557377049184</v>
      </c>
      <c r="O427" s="26">
        <f>VLOOKUP(Таблица1[[#This Row],[id клиента]],клиенты!$A$2:$E$435,5,0)</f>
        <v>44674</v>
      </c>
      <c r="P427">
        <f>Таблица1[[#This Row],[дата создания чека]]-Таблица1[[#This Row],[Дата регистрации клента]]</f>
        <v>661</v>
      </c>
      <c r="Q427" s="26">
        <f t="shared" ca="1" si="13"/>
        <v>46059</v>
      </c>
      <c r="R427" s="51">
        <f ca="1">(TODAY()-Таблица1[[#This Row],[Дата регистрации клента]])/30</f>
        <v>46.166666666666664</v>
      </c>
      <c r="S427" s="63" t="str">
        <f>VLOOKUP(Таблица1[[#This Row],[id клиента]],Таблица8[[id клиента]:[Страна]],7,0)</f>
        <v>Узбекистан</v>
      </c>
      <c r="T427" s="26"/>
    </row>
    <row r="428" spans="1:20" ht="19.5" x14ac:dyDescent="0.4">
      <c r="A428" s="41">
        <v>427</v>
      </c>
      <c r="B428" s="42">
        <v>116</v>
      </c>
      <c r="C428" s="42">
        <v>295</v>
      </c>
      <c r="D428" s="42">
        <v>1</v>
      </c>
      <c r="E428" s="42">
        <v>295</v>
      </c>
      <c r="F428" s="43">
        <v>45336</v>
      </c>
      <c r="G428" s="42" t="s">
        <v>10</v>
      </c>
      <c r="H428" s="42">
        <v>359</v>
      </c>
      <c r="I428" s="42" t="str">
        <f>VLOOKUP(продажи!$B428,товар!$A$1:$C$433,2)</f>
        <v>Соль</v>
      </c>
      <c r="J428" s="42" t="str">
        <f>VLOOKUP(B428,товар!$A$1:$C$433,3)</f>
        <v>Экстра</v>
      </c>
      <c r="K428" s="44">
        <f>AVERAGEIF(продажи!$I$2:$I$1001,продажи!$I$2:$I$1001,продажи!$C$2:$C$1001)</f>
        <v>264.8679245283019</v>
      </c>
      <c r="L428" s="45">
        <f>продажи!$C428/продажи!$K428-1</f>
        <v>0.11376264425131777</v>
      </c>
      <c r="M428" s="33">
        <f t="shared" si="12"/>
        <v>4171</v>
      </c>
      <c r="N428" s="24">
        <f>Таблица1[[#This Row],[цена за шт в рублях]]/Таблица1[[#This Row],[средняя стоимость в категории по поставщику.]]-1</f>
        <v>-0.92927355550227764</v>
      </c>
      <c r="O428" s="26">
        <f>VLOOKUP(Таблица1[[#This Row],[id клиента]],клиенты!$A$2:$E$435,5,0)</f>
        <v>44584</v>
      </c>
      <c r="P428">
        <f>Таблица1[[#This Row],[дата создания чека]]-Таблица1[[#This Row],[Дата регистрации клента]]</f>
        <v>752</v>
      </c>
      <c r="Q428" s="26">
        <f t="shared" ca="1" si="13"/>
        <v>46059</v>
      </c>
      <c r="R428" s="51">
        <f ca="1">(TODAY()-Таблица1[[#This Row],[Дата регистрации клента]])/30</f>
        <v>49.166666666666664</v>
      </c>
      <c r="S428" s="63" t="str">
        <f>VLOOKUP(Таблица1[[#This Row],[id клиента]],Таблица8[[id клиента]:[Страна]],7,0)</f>
        <v>Россия</v>
      </c>
      <c r="T428" s="26"/>
    </row>
    <row r="429" spans="1:20" ht="19.5" x14ac:dyDescent="0.4">
      <c r="A429" s="37">
        <v>428</v>
      </c>
      <c r="B429" s="31">
        <v>401</v>
      </c>
      <c r="C429" s="31">
        <v>78</v>
      </c>
      <c r="D429" s="31">
        <v>3</v>
      </c>
      <c r="E429" s="31">
        <v>234</v>
      </c>
      <c r="F429" s="38">
        <v>44986</v>
      </c>
      <c r="G429" s="31" t="s">
        <v>10</v>
      </c>
      <c r="H429" s="31">
        <v>395</v>
      </c>
      <c r="I429" s="31" t="str">
        <f>VLOOKUP(продажи!$B429,товар!$A$1:$C$433,2)</f>
        <v>Чай</v>
      </c>
      <c r="J429" s="31" t="str">
        <f>VLOOKUP(B429,товар!$A$1:$C$433,3)</f>
        <v>Greenfield</v>
      </c>
      <c r="K429" s="39">
        <f>AVERAGEIF(продажи!$I$2:$I$1001,продажи!$I$2:$I$1001,продажи!$C$2:$C$1001)</f>
        <v>271.18181818181819</v>
      </c>
      <c r="L429" s="40">
        <f>продажи!$C429/продажи!$K429-1</f>
        <v>-0.71237009721756617</v>
      </c>
      <c r="M429" s="33">
        <f t="shared" si="12"/>
        <v>6412</v>
      </c>
      <c r="N429" s="24">
        <f>Таблица1[[#This Row],[цена за шт в рублях]]/Таблица1[[#This Row],[средняя стоимость в категории по поставщику.]]-1</f>
        <v>-0.98783530879600745</v>
      </c>
      <c r="O429" s="26">
        <f>VLOOKUP(Таблица1[[#This Row],[id клиента]],клиенты!$A$2:$E$435,5,0)</f>
        <v>44890</v>
      </c>
      <c r="P429">
        <f>Таблица1[[#This Row],[дата создания чека]]-Таблица1[[#This Row],[Дата регистрации клента]]</f>
        <v>96</v>
      </c>
      <c r="Q429" s="26">
        <f t="shared" ca="1" si="13"/>
        <v>46059</v>
      </c>
      <c r="R429" s="51">
        <f ca="1">(TODAY()-Таблица1[[#This Row],[Дата регистрации клента]])/30</f>
        <v>38.966666666666669</v>
      </c>
      <c r="S429" s="63" t="str">
        <f>VLOOKUP(Таблица1[[#This Row],[id клиента]],Таблица8[[id клиента]:[Страна]],7,0)</f>
        <v>Узбекистан</v>
      </c>
      <c r="T429" s="26"/>
    </row>
    <row r="430" spans="1:20" ht="19.5" x14ac:dyDescent="0.4">
      <c r="A430" s="41">
        <v>429</v>
      </c>
      <c r="B430" s="42">
        <v>348</v>
      </c>
      <c r="C430" s="42">
        <v>162</v>
      </c>
      <c r="D430" s="42">
        <v>2</v>
      </c>
      <c r="E430" s="42">
        <v>324</v>
      </c>
      <c r="F430" s="43">
        <v>44931</v>
      </c>
      <c r="G430" s="42" t="s">
        <v>19</v>
      </c>
      <c r="H430" s="42">
        <v>107</v>
      </c>
      <c r="I430" s="42" t="str">
        <f>VLOOKUP(продажи!$B430,товар!$A$1:$C$433,2)</f>
        <v>Чипсы</v>
      </c>
      <c r="J430" s="42" t="str">
        <f>VLOOKUP(B430,товар!$A$1:$C$433,3)</f>
        <v>Estrella</v>
      </c>
      <c r="K430" s="44">
        <f>AVERAGEIF(продажи!$I$2:$I$1001,продажи!$I$2:$I$1001,продажи!$C$2:$C$1001)</f>
        <v>273.72549019607845</v>
      </c>
      <c r="L430" s="45">
        <f>продажи!$C430/продажи!$K430-1</f>
        <v>-0.40816618911174785</v>
      </c>
      <c r="M430" s="33">
        <f t="shared" si="12"/>
        <v>2929</v>
      </c>
      <c r="N430" s="24">
        <f>Таблица1[[#This Row],[цена за шт в рублях]]/Таблица1[[#This Row],[средняя стоимость в категории по поставщику.]]-1</f>
        <v>-0.94469102082622058</v>
      </c>
      <c r="O430" s="26">
        <f>VLOOKUP(Таблица1[[#This Row],[id клиента]],клиенты!$A$2:$E$435,5,0)</f>
        <v>44744</v>
      </c>
      <c r="P430">
        <f>Таблица1[[#This Row],[дата создания чека]]-Таблица1[[#This Row],[Дата регистрации клента]]</f>
        <v>187</v>
      </c>
      <c r="Q430" s="26">
        <f t="shared" ca="1" si="13"/>
        <v>46059</v>
      </c>
      <c r="R430" s="51">
        <f ca="1">(TODAY()-Таблица1[[#This Row],[Дата регистрации клента]])/30</f>
        <v>43.833333333333336</v>
      </c>
      <c r="S430" s="63" t="str">
        <f>VLOOKUP(Таблица1[[#This Row],[id клиента]],Таблица8[[id клиента]:[Страна]],7,0)</f>
        <v>Таджикистан</v>
      </c>
      <c r="T430" s="26"/>
    </row>
    <row r="431" spans="1:20" ht="19.5" x14ac:dyDescent="0.4">
      <c r="A431" s="37">
        <v>430</v>
      </c>
      <c r="B431" s="31">
        <v>382</v>
      </c>
      <c r="C431" s="31">
        <v>278</v>
      </c>
      <c r="D431" s="31">
        <v>2</v>
      </c>
      <c r="E431" s="31">
        <v>556</v>
      </c>
      <c r="F431" s="38">
        <v>45198</v>
      </c>
      <c r="G431" s="31" t="s">
        <v>25</v>
      </c>
      <c r="H431" s="31">
        <v>103</v>
      </c>
      <c r="I431" s="31" t="str">
        <f>VLOOKUP(продажи!$B431,товар!$A$1:$C$433,2)</f>
        <v>Овощи</v>
      </c>
      <c r="J431" s="31" t="str">
        <f>VLOOKUP(B431,товар!$A$1:$C$433,3)</f>
        <v>Овощной ряд</v>
      </c>
      <c r="K431" s="39">
        <f>AVERAGEIF(продажи!$I$2:$I$1001,продажи!$I$2:$I$1001,продажи!$C$2:$C$1001)</f>
        <v>250.48780487804879</v>
      </c>
      <c r="L431" s="40">
        <f>продажи!$C431/продажи!$K431-1</f>
        <v>0.10983446932814012</v>
      </c>
      <c r="M431" s="33">
        <f t="shared" si="12"/>
        <v>5165</v>
      </c>
      <c r="N431" s="24">
        <f>Таблица1[[#This Row],[цена за шт в рублях]]/Таблица1[[#This Row],[средняя стоимость в категории по поставщику.]]-1</f>
        <v>-0.9461761858664085</v>
      </c>
      <c r="O431" s="26">
        <f>VLOOKUP(Таблица1[[#This Row],[id клиента]],клиенты!$A$2:$E$435,5,0)</f>
        <v>44787</v>
      </c>
      <c r="P431">
        <f>Таблица1[[#This Row],[дата создания чека]]-Таблица1[[#This Row],[Дата регистрации клента]]</f>
        <v>411</v>
      </c>
      <c r="Q431" s="26">
        <f t="shared" ca="1" si="13"/>
        <v>46059</v>
      </c>
      <c r="R431" s="51">
        <f ca="1">(TODAY()-Таблица1[[#This Row],[Дата регистрации клента]])/30</f>
        <v>42.4</v>
      </c>
      <c r="S431" s="63" t="str">
        <f>VLOOKUP(Таблица1[[#This Row],[id клиента]],Таблица8[[id клиента]:[Страна]],7,0)</f>
        <v>Узбекистан</v>
      </c>
      <c r="T431" s="26"/>
    </row>
    <row r="432" spans="1:20" ht="19.5" x14ac:dyDescent="0.4">
      <c r="A432" s="41">
        <v>431</v>
      </c>
      <c r="B432" s="42">
        <v>477</v>
      </c>
      <c r="C432" s="42">
        <v>420</v>
      </c>
      <c r="D432" s="42">
        <v>1</v>
      </c>
      <c r="E432" s="42">
        <v>420</v>
      </c>
      <c r="F432" s="43">
        <v>45232</v>
      </c>
      <c r="G432" s="42" t="s">
        <v>11</v>
      </c>
      <c r="H432" s="42">
        <v>221</v>
      </c>
      <c r="I432" s="42" t="str">
        <f>VLOOKUP(продажи!$B432,товар!$A$1:$C$433,2)</f>
        <v>Макароны</v>
      </c>
      <c r="J432" s="42" t="str">
        <f>VLOOKUP(B432,товар!$A$1:$C$433,3)</f>
        <v>Борилла</v>
      </c>
      <c r="K432" s="44">
        <f>AVERAGEIF(продажи!$I$2:$I$1001,продажи!$I$2:$I$1001,продажи!$C$2:$C$1001)</f>
        <v>265.47674418604652</v>
      </c>
      <c r="L432" s="45">
        <f>продажи!$C432/продажи!$K432-1</f>
        <v>0.58205948053085721</v>
      </c>
      <c r="M432" s="33">
        <f t="shared" si="12"/>
        <v>6852</v>
      </c>
      <c r="N432" s="24">
        <f>Таблица1[[#This Row],[цена за шт в рублях]]/Таблица1[[#This Row],[средняя стоимость в категории по поставщику.]]-1</f>
        <v>-0.93870402802101571</v>
      </c>
      <c r="O432" s="26">
        <f>VLOOKUP(Таблица1[[#This Row],[id клиента]],клиенты!$A$2:$E$435,5,0)</f>
        <v>44820</v>
      </c>
      <c r="P432">
        <f>Таблица1[[#This Row],[дата создания чека]]-Таблица1[[#This Row],[Дата регистрации клента]]</f>
        <v>412</v>
      </c>
      <c r="Q432" s="26">
        <f t="shared" ca="1" si="13"/>
        <v>46059</v>
      </c>
      <c r="R432" s="51">
        <f ca="1">(TODAY()-Таблица1[[#This Row],[Дата регистрации клента]])/30</f>
        <v>41.3</v>
      </c>
      <c r="S432" s="63" t="str">
        <f>VLOOKUP(Таблица1[[#This Row],[id клиента]],Таблица8[[id клиента]:[Страна]],7,0)</f>
        <v>Таджикистан</v>
      </c>
      <c r="T432" s="26"/>
    </row>
    <row r="433" spans="1:20" ht="19.5" x14ac:dyDescent="0.4">
      <c r="A433" s="37">
        <v>432</v>
      </c>
      <c r="B433" s="31">
        <v>91</v>
      </c>
      <c r="C433" s="31">
        <v>413</v>
      </c>
      <c r="D433" s="31">
        <v>2</v>
      </c>
      <c r="E433" s="31">
        <v>826</v>
      </c>
      <c r="F433" s="38">
        <v>45183</v>
      </c>
      <c r="G433" s="31" t="s">
        <v>19</v>
      </c>
      <c r="H433" s="31">
        <v>31</v>
      </c>
      <c r="I433" s="31" t="str">
        <f>VLOOKUP(продажи!$B433,товар!$A$1:$C$433,2)</f>
        <v>Сыр</v>
      </c>
      <c r="J433" s="31" t="str">
        <f>VLOOKUP(B433,товар!$A$1:$C$433,3)</f>
        <v>Сырная долина</v>
      </c>
      <c r="K433" s="39">
        <f>AVERAGEIF(продажи!$I$2:$I$1001,продажи!$I$2:$I$1001,продажи!$C$2:$C$1001)</f>
        <v>261.03225806451616</v>
      </c>
      <c r="L433" s="40">
        <f>продажи!$C433/продажи!$K433-1</f>
        <v>0.58217993079584751</v>
      </c>
      <c r="M433" s="33">
        <f t="shared" si="12"/>
        <v>8943</v>
      </c>
      <c r="N433" s="24">
        <f>Таблица1[[#This Row],[цена за шт в рублях]]/Таблица1[[#This Row],[средняя стоимость в категории по поставщику.]]-1</f>
        <v>-0.95381862909538184</v>
      </c>
      <c r="O433" s="26">
        <f>VLOOKUP(Таблица1[[#This Row],[id клиента]],клиенты!$A$2:$E$435,5,0)</f>
        <v>44580</v>
      </c>
      <c r="P433">
        <f>Таблица1[[#This Row],[дата создания чека]]-Таблица1[[#This Row],[Дата регистрации клента]]</f>
        <v>603</v>
      </c>
      <c r="Q433" s="26">
        <f t="shared" ca="1" si="13"/>
        <v>46059</v>
      </c>
      <c r="R433" s="51">
        <f ca="1">(TODAY()-Таблица1[[#This Row],[Дата регистрации клента]])/30</f>
        <v>49.3</v>
      </c>
      <c r="S433" s="63" t="str">
        <f>VLOOKUP(Таблица1[[#This Row],[id клиента]],Таблица8[[id клиента]:[Страна]],7,0)</f>
        <v>Украина</v>
      </c>
      <c r="T433" s="26"/>
    </row>
    <row r="434" spans="1:20" ht="19.5" x14ac:dyDescent="0.4">
      <c r="A434" s="41">
        <v>433</v>
      </c>
      <c r="B434" s="42">
        <v>52</v>
      </c>
      <c r="C434" s="42">
        <v>272</v>
      </c>
      <c r="D434" s="42">
        <v>3</v>
      </c>
      <c r="E434" s="42">
        <v>816</v>
      </c>
      <c r="F434" s="43">
        <v>45377</v>
      </c>
      <c r="G434" s="42" t="s">
        <v>9</v>
      </c>
      <c r="H434" s="42">
        <v>306</v>
      </c>
      <c r="I434" s="42" t="str">
        <f>VLOOKUP(продажи!$B434,товар!$A$1:$C$433,2)</f>
        <v>Соль</v>
      </c>
      <c r="J434" s="42" t="str">
        <f>VLOOKUP(B434,товар!$A$1:$C$433,3)</f>
        <v>Илецкая</v>
      </c>
      <c r="K434" s="44">
        <f>AVERAGEIF(продажи!$I$2:$I$1001,продажи!$I$2:$I$1001,продажи!$C$2:$C$1001)</f>
        <v>264.8679245283019</v>
      </c>
      <c r="L434" s="45">
        <f>продажи!$C434/продажи!$K434-1</f>
        <v>2.6926912665621749E-2</v>
      </c>
      <c r="M434" s="33">
        <f t="shared" si="12"/>
        <v>4287</v>
      </c>
      <c r="N434" s="24">
        <f>Таблица1[[#This Row],[цена за шт в рублях]]/Таблица1[[#This Row],[средняя стоимость в категории по поставщику.]]-1</f>
        <v>-0.93655236762304639</v>
      </c>
      <c r="O434" s="26">
        <f>VLOOKUP(Таблица1[[#This Row],[id клиента]],клиенты!$A$2:$E$435,5,0)</f>
        <v>44872</v>
      </c>
      <c r="P434">
        <f>Таблица1[[#This Row],[дата создания чека]]-Таблица1[[#This Row],[Дата регистрации клента]]</f>
        <v>505</v>
      </c>
      <c r="Q434" s="26">
        <f t="shared" ca="1" si="13"/>
        <v>46059</v>
      </c>
      <c r="R434" s="51">
        <f ca="1">(TODAY()-Таблица1[[#This Row],[Дата регистрации клента]])/30</f>
        <v>39.56666666666667</v>
      </c>
      <c r="S434" s="63" t="str">
        <f>VLOOKUP(Таблица1[[#This Row],[id клиента]],Таблица8[[id клиента]:[Страна]],7,0)</f>
        <v>Украина</v>
      </c>
      <c r="T434" s="26"/>
    </row>
    <row r="435" spans="1:20" ht="19.5" x14ac:dyDescent="0.4">
      <c r="A435" s="37">
        <v>434</v>
      </c>
      <c r="B435" s="31">
        <v>438</v>
      </c>
      <c r="C435" s="31">
        <v>435</v>
      </c>
      <c r="D435" s="31">
        <v>1</v>
      </c>
      <c r="E435" s="31">
        <v>435</v>
      </c>
      <c r="F435" s="38">
        <v>45142</v>
      </c>
      <c r="G435" s="31" t="s">
        <v>27</v>
      </c>
      <c r="H435" s="31">
        <v>383</v>
      </c>
      <c r="I435" s="31" t="str">
        <f>VLOOKUP(продажи!$B435,товар!$A$1:$C$433,2)</f>
        <v>Кофе</v>
      </c>
      <c r="J435" s="31" t="str">
        <f>VLOOKUP(B435,товар!$A$1:$C$433,3)</f>
        <v>Nescafe</v>
      </c>
      <c r="K435" s="39">
        <f>AVERAGEIF(продажи!$I$2:$I$1001,продажи!$I$2:$I$1001,продажи!$C$2:$C$1001)</f>
        <v>249.02380952380952</v>
      </c>
      <c r="L435" s="40">
        <f>продажи!$C435/продажи!$K435-1</f>
        <v>0.74682091978200593</v>
      </c>
      <c r="M435" s="33">
        <f t="shared" si="12"/>
        <v>2569</v>
      </c>
      <c r="N435" s="24">
        <f>Таблица1[[#This Row],[цена за шт в рублях]]/Таблица1[[#This Row],[средняя стоимость в категории по поставщику.]]-1</f>
        <v>-0.83067341377968085</v>
      </c>
      <c r="O435" s="26">
        <f>VLOOKUP(Таблица1[[#This Row],[id клиента]],клиенты!$A$2:$E$435,5,0)</f>
        <v>44876</v>
      </c>
      <c r="P435">
        <f>Таблица1[[#This Row],[дата создания чека]]-Таблица1[[#This Row],[Дата регистрации клента]]</f>
        <v>266</v>
      </c>
      <c r="Q435" s="26">
        <f t="shared" ca="1" si="13"/>
        <v>46059</v>
      </c>
      <c r="R435" s="51">
        <f ca="1">(TODAY()-Таблица1[[#This Row],[Дата регистрации клента]])/30</f>
        <v>39.43333333333333</v>
      </c>
      <c r="S435" s="63" t="str">
        <f>VLOOKUP(Таблица1[[#This Row],[id клиента]],Таблица8[[id клиента]:[Страна]],7,0)</f>
        <v>Украина</v>
      </c>
      <c r="T435" s="26"/>
    </row>
    <row r="436" spans="1:20" ht="19.5" x14ac:dyDescent="0.4">
      <c r="A436" s="41">
        <v>435</v>
      </c>
      <c r="B436" s="42">
        <v>384</v>
      </c>
      <c r="C436" s="42">
        <v>303</v>
      </c>
      <c r="D436" s="42">
        <v>2</v>
      </c>
      <c r="E436" s="42">
        <v>606</v>
      </c>
      <c r="F436" s="43">
        <v>45151</v>
      </c>
      <c r="G436" s="42" t="s">
        <v>14</v>
      </c>
      <c r="H436" s="42">
        <v>235</v>
      </c>
      <c r="I436" s="42" t="str">
        <f>VLOOKUP(продажи!$B436,товар!$A$1:$C$433,2)</f>
        <v>Сахар</v>
      </c>
      <c r="J436" s="42" t="str">
        <f>VLOOKUP(B436,товар!$A$1:$C$433,3)</f>
        <v>Сладов</v>
      </c>
      <c r="K436" s="44">
        <f>AVERAGEIF(продажи!$I$2:$I$1001,продажи!$I$2:$I$1001,продажи!$C$2:$C$1001)</f>
        <v>254.58333333333334</v>
      </c>
      <c r="L436" s="45">
        <f>продажи!$C436/продажи!$K436-1</f>
        <v>0.19018003273322415</v>
      </c>
      <c r="M436" s="33">
        <f t="shared" si="12"/>
        <v>3604</v>
      </c>
      <c r="N436" s="24">
        <f>Таблица1[[#This Row],[цена за шт в рублях]]/Таблица1[[#This Row],[средняя стоимость в категории по поставщику.]]-1</f>
        <v>-0.91592674805771368</v>
      </c>
      <c r="O436" s="26">
        <f>VLOOKUP(Таблица1[[#This Row],[id клиента]],клиенты!$A$2:$E$435,5,0)</f>
        <v>44635</v>
      </c>
      <c r="P436">
        <f>Таблица1[[#This Row],[дата создания чека]]-Таблица1[[#This Row],[Дата регистрации клента]]</f>
        <v>516</v>
      </c>
      <c r="Q436" s="26">
        <f t="shared" ca="1" si="13"/>
        <v>46059</v>
      </c>
      <c r="R436" s="51">
        <f ca="1">(TODAY()-Таблица1[[#This Row],[Дата регистрации клента]])/30</f>
        <v>47.466666666666669</v>
      </c>
      <c r="S436" s="63" t="str">
        <f>VLOOKUP(Таблица1[[#This Row],[id клиента]],Таблица8[[id клиента]:[Страна]],7,0)</f>
        <v>Узбекистан</v>
      </c>
      <c r="T436" s="26"/>
    </row>
    <row r="437" spans="1:20" ht="19.5" x14ac:dyDescent="0.4">
      <c r="A437" s="37">
        <v>436</v>
      </c>
      <c r="B437" s="31">
        <v>473</v>
      </c>
      <c r="C437" s="31">
        <v>231</v>
      </c>
      <c r="D437" s="31">
        <v>3</v>
      </c>
      <c r="E437" s="31">
        <v>693</v>
      </c>
      <c r="F437" s="38">
        <v>45074</v>
      </c>
      <c r="G437" s="31" t="s">
        <v>11</v>
      </c>
      <c r="H437" s="31">
        <v>448</v>
      </c>
      <c r="I437" s="31" t="str">
        <f>VLOOKUP(продажи!$B437,товар!$A$1:$C$433,2)</f>
        <v>Хлеб</v>
      </c>
      <c r="J437" s="31" t="str">
        <f>VLOOKUP(B437,товар!$A$1:$C$433,3)</f>
        <v>Хлебный Дом</v>
      </c>
      <c r="K437" s="39">
        <f>AVERAGEIF(продажи!$I$2:$I$1001,продажи!$I$2:$I$1001,продажи!$C$2:$C$1001)</f>
        <v>300.31818181818181</v>
      </c>
      <c r="L437" s="40">
        <f>продажи!$C437/продажи!$K437-1</f>
        <v>-0.2308158014227335</v>
      </c>
      <c r="M437" s="33">
        <f t="shared" si="12"/>
        <v>4226</v>
      </c>
      <c r="N437" s="24">
        <f>Таблица1[[#This Row],[цена за шт в рублях]]/Таблица1[[#This Row],[средняя стоимость в категории по поставщику.]]-1</f>
        <v>-0.94533838144817794</v>
      </c>
      <c r="O437" s="26">
        <f>VLOOKUP(Таблица1[[#This Row],[id клиента]],клиенты!$A$2:$E$435,5,0)</f>
        <v>44770</v>
      </c>
      <c r="P437">
        <f>Таблица1[[#This Row],[дата создания чека]]-Таблица1[[#This Row],[Дата регистрации клента]]</f>
        <v>304</v>
      </c>
      <c r="Q437" s="26">
        <f t="shared" ca="1" si="13"/>
        <v>46059</v>
      </c>
      <c r="R437" s="51">
        <f ca="1">(TODAY()-Таблица1[[#This Row],[Дата регистрации клента]])/30</f>
        <v>42.966666666666669</v>
      </c>
      <c r="S437" s="63" t="str">
        <f>VLOOKUP(Таблица1[[#This Row],[id клиента]],Таблица8[[id клиента]:[Страна]],7,0)</f>
        <v>Россия</v>
      </c>
      <c r="T437" s="26"/>
    </row>
    <row r="438" spans="1:20" ht="19.5" x14ac:dyDescent="0.4">
      <c r="A438" s="41">
        <v>437</v>
      </c>
      <c r="B438" s="42">
        <v>383</v>
      </c>
      <c r="C438" s="42">
        <v>429</v>
      </c>
      <c r="D438" s="42">
        <v>4</v>
      </c>
      <c r="E438" s="42">
        <v>1716</v>
      </c>
      <c r="F438" s="43">
        <v>45120</v>
      </c>
      <c r="G438" s="42" t="s">
        <v>20</v>
      </c>
      <c r="H438" s="42">
        <v>367</v>
      </c>
      <c r="I438" s="42" t="str">
        <f>VLOOKUP(продажи!$B438,товар!$A$1:$C$433,2)</f>
        <v>Фрукты</v>
      </c>
      <c r="J438" s="42" t="str">
        <f>VLOOKUP(B438,товар!$A$1:$C$433,3)</f>
        <v>Фруктовый Рай</v>
      </c>
      <c r="K438" s="44">
        <f>AVERAGEIF(продажи!$I$2:$I$1001,продажи!$I$2:$I$1001,продажи!$C$2:$C$1001)</f>
        <v>274.16279069767444</v>
      </c>
      <c r="L438" s="45">
        <f>продажи!$C438/продажи!$K438-1</f>
        <v>0.56476376282975638</v>
      </c>
      <c r="M438" s="33">
        <f t="shared" si="12"/>
        <v>3358</v>
      </c>
      <c r="N438" s="24">
        <f>Таблица1[[#This Row],[цена за шт в рублях]]/Таблица1[[#This Row],[средняя стоимость в категории по поставщику.]]-1</f>
        <v>-0.8722453841572364</v>
      </c>
      <c r="O438" s="26">
        <f>VLOOKUP(Таблица1[[#This Row],[id клиента]],клиенты!$A$2:$E$435,5,0)</f>
        <v>44867</v>
      </c>
      <c r="P438">
        <f>Таблица1[[#This Row],[дата создания чека]]-Таблица1[[#This Row],[Дата регистрации клента]]</f>
        <v>253</v>
      </c>
      <c r="Q438" s="26">
        <f t="shared" ca="1" si="13"/>
        <v>46059</v>
      </c>
      <c r="R438" s="51">
        <f ca="1">(TODAY()-Таблица1[[#This Row],[Дата регистрации клента]])/30</f>
        <v>39.733333333333334</v>
      </c>
      <c r="S438" s="63" t="str">
        <f>VLOOKUP(Таблица1[[#This Row],[id клиента]],Таблица8[[id клиента]:[Страна]],7,0)</f>
        <v>Таджикистан</v>
      </c>
      <c r="T438" s="26"/>
    </row>
    <row r="439" spans="1:20" ht="19.5" x14ac:dyDescent="0.4">
      <c r="A439" s="37">
        <v>438</v>
      </c>
      <c r="B439" s="31">
        <v>406</v>
      </c>
      <c r="C439" s="31">
        <v>87</v>
      </c>
      <c r="D439" s="31">
        <v>2</v>
      </c>
      <c r="E439" s="31">
        <v>174</v>
      </c>
      <c r="F439" s="38">
        <v>45066</v>
      </c>
      <c r="G439" s="31" t="s">
        <v>19</v>
      </c>
      <c r="H439" s="31">
        <v>255</v>
      </c>
      <c r="I439" s="31" t="str">
        <f>VLOOKUP(продажи!$B439,товар!$A$1:$C$433,2)</f>
        <v>Сок</v>
      </c>
      <c r="J439" s="31" t="str">
        <f>VLOOKUP(B439,товар!$A$1:$C$433,3)</f>
        <v>Фруктовый сад</v>
      </c>
      <c r="K439" s="39">
        <f>AVERAGEIF(продажи!$I$2:$I$1001,продажи!$I$2:$I$1001,продажи!$C$2:$C$1001)</f>
        <v>268.60344827586209</v>
      </c>
      <c r="L439" s="40">
        <f>продажи!$C439/продажи!$K439-1</f>
        <v>-0.676102445599846</v>
      </c>
      <c r="M439" s="33">
        <f t="shared" si="12"/>
        <v>9023</v>
      </c>
      <c r="N439" s="24">
        <f>Таблица1[[#This Row],[цена за шт в рублях]]/Таблица1[[#This Row],[средняя стоимость в категории по поставщику.]]-1</f>
        <v>-0.99035797406627513</v>
      </c>
      <c r="O439" s="26">
        <f>VLOOKUP(Таблица1[[#This Row],[id клиента]],клиенты!$A$2:$E$435,5,0)</f>
        <v>44793</v>
      </c>
      <c r="P439">
        <f>Таблица1[[#This Row],[дата создания чека]]-Таблица1[[#This Row],[Дата регистрации клента]]</f>
        <v>273</v>
      </c>
      <c r="Q439" s="26">
        <f t="shared" ca="1" si="13"/>
        <v>46059</v>
      </c>
      <c r="R439" s="51">
        <f ca="1">(TODAY()-Таблица1[[#This Row],[Дата регистрации клента]])/30</f>
        <v>42.2</v>
      </c>
      <c r="S439" s="63" t="str">
        <f>VLOOKUP(Таблица1[[#This Row],[id клиента]],Таблица8[[id клиента]:[Страна]],7,0)</f>
        <v>Украина</v>
      </c>
      <c r="T439" s="26"/>
    </row>
    <row r="440" spans="1:20" ht="19.5" x14ac:dyDescent="0.4">
      <c r="A440" s="41">
        <v>439</v>
      </c>
      <c r="B440" s="42">
        <v>252</v>
      </c>
      <c r="C440" s="42">
        <v>50</v>
      </c>
      <c r="D440" s="42">
        <v>1</v>
      </c>
      <c r="E440" s="42">
        <v>50</v>
      </c>
      <c r="F440" s="43">
        <v>44960</v>
      </c>
      <c r="G440" s="42" t="s">
        <v>15</v>
      </c>
      <c r="H440" s="42">
        <v>138</v>
      </c>
      <c r="I440" s="42" t="str">
        <f>VLOOKUP(продажи!$B440,товар!$A$1:$C$433,2)</f>
        <v>Чай</v>
      </c>
      <c r="J440" s="42" t="str">
        <f>VLOOKUP(B440,товар!$A$1:$C$433,3)</f>
        <v>Lipton</v>
      </c>
      <c r="K440" s="44">
        <f>AVERAGEIF(продажи!$I$2:$I$1001,продажи!$I$2:$I$1001,продажи!$C$2:$C$1001)</f>
        <v>271.18181818181819</v>
      </c>
      <c r="L440" s="45">
        <f>продажи!$C440/продажи!$K440-1</f>
        <v>-0.81562185719074753</v>
      </c>
      <c r="M440" s="33">
        <f t="shared" si="12"/>
        <v>4943</v>
      </c>
      <c r="N440" s="24">
        <f>Таблица1[[#This Row],[цена за шт в рублях]]/Таблица1[[#This Row],[средняя стоимость в категории по поставщику.]]-1</f>
        <v>-0.98988468541371633</v>
      </c>
      <c r="O440" s="26">
        <f>VLOOKUP(Таблица1[[#This Row],[id клиента]],клиенты!$A$2:$E$435,5,0)</f>
        <v>44723</v>
      </c>
      <c r="P440">
        <f>Таблица1[[#This Row],[дата создания чека]]-Таблица1[[#This Row],[Дата регистрации клента]]</f>
        <v>237</v>
      </c>
      <c r="Q440" s="26">
        <f t="shared" ca="1" si="13"/>
        <v>46059</v>
      </c>
      <c r="R440" s="51">
        <f ca="1">(TODAY()-Таблица1[[#This Row],[Дата регистрации клента]])/30</f>
        <v>44.533333333333331</v>
      </c>
      <c r="S440" s="63" t="str">
        <f>VLOOKUP(Таблица1[[#This Row],[id клиента]],Таблица8[[id клиента]:[Страна]],7,0)</f>
        <v>Украина</v>
      </c>
      <c r="T440" s="26"/>
    </row>
    <row r="441" spans="1:20" ht="19.5" x14ac:dyDescent="0.4">
      <c r="A441" s="37">
        <v>440</v>
      </c>
      <c r="B441" s="31">
        <v>365</v>
      </c>
      <c r="C441" s="31">
        <v>127</v>
      </c>
      <c r="D441" s="31">
        <v>1</v>
      </c>
      <c r="E441" s="31">
        <v>127</v>
      </c>
      <c r="F441" s="38">
        <v>45351</v>
      </c>
      <c r="G441" s="31" t="s">
        <v>19</v>
      </c>
      <c r="H441" s="31">
        <v>158</v>
      </c>
      <c r="I441" s="31" t="str">
        <f>VLOOKUP(продажи!$B441,товар!$A$1:$C$433,2)</f>
        <v>Мясо</v>
      </c>
      <c r="J441" s="31" t="str">
        <f>VLOOKUP(B441,товар!$A$1:$C$433,3)</f>
        <v>Агрокомплекс</v>
      </c>
      <c r="K441" s="39">
        <f>AVERAGEIF(продажи!$I$2:$I$1001,продажи!$I$2:$I$1001,продажи!$C$2:$C$1001)</f>
        <v>271.74545454545455</v>
      </c>
      <c r="L441" s="40">
        <f>продажи!$C441/продажи!$K441-1</f>
        <v>-0.53265087648869258</v>
      </c>
      <c r="M441" s="33">
        <f t="shared" si="12"/>
        <v>3112</v>
      </c>
      <c r="N441" s="24">
        <f>Таблица1[[#This Row],[цена за шт в рублях]]/Таблица1[[#This Row],[средняя стоимость в категории по поставщику.]]-1</f>
        <v>-0.95919023136246784</v>
      </c>
      <c r="O441" s="26">
        <f>VLOOKUP(Таблица1[[#This Row],[id клиента]],клиенты!$A$2:$E$435,5,0)</f>
        <v>44752</v>
      </c>
      <c r="P441">
        <f>Таблица1[[#This Row],[дата создания чека]]-Таблица1[[#This Row],[Дата регистрации клента]]</f>
        <v>599</v>
      </c>
      <c r="Q441" s="26">
        <f t="shared" ca="1" si="13"/>
        <v>46059</v>
      </c>
      <c r="R441" s="51">
        <f ca="1">(TODAY()-Таблица1[[#This Row],[Дата регистрации клента]])/30</f>
        <v>43.56666666666667</v>
      </c>
      <c r="S441" s="63" t="str">
        <f>VLOOKUP(Таблица1[[#This Row],[id клиента]],Таблица8[[id клиента]:[Страна]],7,0)</f>
        <v>Узбекистан</v>
      </c>
      <c r="T441" s="26"/>
    </row>
    <row r="442" spans="1:20" ht="19.5" x14ac:dyDescent="0.4">
      <c r="A442" s="41">
        <v>441</v>
      </c>
      <c r="B442" s="42">
        <v>420</v>
      </c>
      <c r="C442" s="42">
        <v>390</v>
      </c>
      <c r="D442" s="42">
        <v>3</v>
      </c>
      <c r="E442" s="42">
        <v>1170</v>
      </c>
      <c r="F442" s="43">
        <v>45183</v>
      </c>
      <c r="G442" s="42" t="s">
        <v>9</v>
      </c>
      <c r="H442" s="42">
        <v>217</v>
      </c>
      <c r="I442" s="42" t="str">
        <f>VLOOKUP(продажи!$B442,товар!$A$1:$C$433,2)</f>
        <v>Хлеб</v>
      </c>
      <c r="J442" s="42" t="str">
        <f>VLOOKUP(B442,товар!$A$1:$C$433,3)</f>
        <v>Хлебный Дом</v>
      </c>
      <c r="K442" s="44">
        <f>AVERAGEIF(продажи!$I$2:$I$1001,продажи!$I$2:$I$1001,продажи!$C$2:$C$1001)</f>
        <v>300.31818181818181</v>
      </c>
      <c r="L442" s="45">
        <f>продажи!$C442/продажи!$K442-1</f>
        <v>0.29862267292265776</v>
      </c>
      <c r="M442" s="33">
        <f t="shared" si="12"/>
        <v>4226</v>
      </c>
      <c r="N442" s="24">
        <f>Таблица1[[#This Row],[цена за шт в рублях]]/Таблица1[[#This Row],[средняя стоимость в категории по поставщику.]]-1</f>
        <v>-0.90771415049692383</v>
      </c>
      <c r="O442" s="26">
        <f>VLOOKUP(Таблица1[[#This Row],[id клиента]],клиенты!$A$2:$E$435,5,0)</f>
        <v>44826</v>
      </c>
      <c r="P442">
        <f>Таблица1[[#This Row],[дата создания чека]]-Таблица1[[#This Row],[Дата регистрации клента]]</f>
        <v>357</v>
      </c>
      <c r="Q442" s="26">
        <f t="shared" ca="1" si="13"/>
        <v>46059</v>
      </c>
      <c r="R442" s="51">
        <f ca="1">(TODAY()-Таблица1[[#This Row],[Дата регистрации клента]])/30</f>
        <v>41.1</v>
      </c>
      <c r="S442" s="63" t="str">
        <f>VLOOKUP(Таблица1[[#This Row],[id клиента]],Таблица8[[id клиента]:[Страна]],7,0)</f>
        <v>Россия</v>
      </c>
      <c r="T442" s="26"/>
    </row>
    <row r="443" spans="1:20" ht="19.5" x14ac:dyDescent="0.4">
      <c r="A443" s="37">
        <v>442</v>
      </c>
      <c r="B443" s="31">
        <v>97</v>
      </c>
      <c r="C443" s="31">
        <v>298</v>
      </c>
      <c r="D443" s="31">
        <v>2</v>
      </c>
      <c r="E443" s="31">
        <v>596</v>
      </c>
      <c r="F443" s="38">
        <v>45102</v>
      </c>
      <c r="G443" s="31" t="s">
        <v>17</v>
      </c>
      <c r="H443" s="31">
        <v>102</v>
      </c>
      <c r="I443" s="31" t="str">
        <f>VLOOKUP(продажи!$B443,товар!$A$1:$C$433,2)</f>
        <v>Печенье</v>
      </c>
      <c r="J443" s="31" t="str">
        <f>VLOOKUP(B443,товар!$A$1:$C$433,3)</f>
        <v>КДВ</v>
      </c>
      <c r="K443" s="39">
        <f>AVERAGEIF(продажи!$I$2:$I$1001,продажи!$I$2:$I$1001,продажи!$C$2:$C$1001)</f>
        <v>283.468085106383</v>
      </c>
      <c r="L443" s="40">
        <f>продажи!$C443/продажи!$K443-1</f>
        <v>5.1264730165878403E-2</v>
      </c>
      <c r="M443" s="33">
        <f t="shared" si="12"/>
        <v>4200</v>
      </c>
      <c r="N443" s="24">
        <f>Таблица1[[#This Row],[цена за шт в рублях]]/Таблица1[[#This Row],[средняя стоимость в категории по поставщику.]]-1</f>
        <v>-0.92904761904761901</v>
      </c>
      <c r="O443" s="26">
        <f>VLOOKUP(Таблица1[[#This Row],[id клиента]],клиенты!$A$2:$E$435,5,0)</f>
        <v>44723</v>
      </c>
      <c r="P443">
        <f>Таблица1[[#This Row],[дата создания чека]]-Таблица1[[#This Row],[Дата регистрации клента]]</f>
        <v>379</v>
      </c>
      <c r="Q443" s="26">
        <f t="shared" ca="1" si="13"/>
        <v>46059</v>
      </c>
      <c r="R443" s="51">
        <f ca="1">(TODAY()-Таблица1[[#This Row],[Дата регистрации клента]])/30</f>
        <v>44.533333333333331</v>
      </c>
      <c r="S443" s="63" t="str">
        <f>VLOOKUP(Таблица1[[#This Row],[id клиента]],Таблица8[[id клиента]:[Страна]],7,0)</f>
        <v>Узбекистан</v>
      </c>
      <c r="T443" s="26"/>
    </row>
    <row r="444" spans="1:20" ht="19.5" x14ac:dyDescent="0.4">
      <c r="A444" s="41">
        <v>443</v>
      </c>
      <c r="B444" s="42">
        <v>217</v>
      </c>
      <c r="C444" s="42">
        <v>471</v>
      </c>
      <c r="D444" s="42">
        <v>3</v>
      </c>
      <c r="E444" s="42">
        <v>1413</v>
      </c>
      <c r="F444" s="43">
        <v>45206</v>
      </c>
      <c r="G444" s="42" t="s">
        <v>14</v>
      </c>
      <c r="H444" s="42">
        <v>425</v>
      </c>
      <c r="I444" s="42" t="str">
        <f>VLOOKUP(продажи!$B444,товар!$A$1:$C$433,2)</f>
        <v>Мясо</v>
      </c>
      <c r="J444" s="42" t="str">
        <f>VLOOKUP(B444,товар!$A$1:$C$433,3)</f>
        <v>Агрокомплекс</v>
      </c>
      <c r="K444" s="44">
        <f>AVERAGEIF(продажи!$I$2:$I$1001,продажи!$I$2:$I$1001,продажи!$C$2:$C$1001)</f>
        <v>271.74545454545455</v>
      </c>
      <c r="L444" s="45">
        <f>продажи!$C444/продажи!$K444-1</f>
        <v>0.73323966278602959</v>
      </c>
      <c r="M444" s="33">
        <f t="shared" si="12"/>
        <v>3112</v>
      </c>
      <c r="N444" s="24">
        <f>Таблица1[[#This Row],[цена за шт в рублях]]/Таблица1[[#This Row],[средняя стоимость в категории по поставщику.]]-1</f>
        <v>-0.8486503856041131</v>
      </c>
      <c r="O444" s="26">
        <f>VLOOKUP(Таблица1[[#This Row],[id клиента]],клиенты!$A$2:$E$435,5,0)</f>
        <v>44782</v>
      </c>
      <c r="P444">
        <f>Таблица1[[#This Row],[дата создания чека]]-Таблица1[[#This Row],[Дата регистрации клента]]</f>
        <v>424</v>
      </c>
      <c r="Q444" s="26">
        <f t="shared" ca="1" si="13"/>
        <v>46059</v>
      </c>
      <c r="R444" s="51">
        <f ca="1">(TODAY()-Таблица1[[#This Row],[Дата регистрации клента]])/30</f>
        <v>42.56666666666667</v>
      </c>
      <c r="S444" s="63" t="str">
        <f>VLOOKUP(Таблица1[[#This Row],[id клиента]],Таблица8[[id клиента]:[Страна]],7,0)</f>
        <v>Узбекистан</v>
      </c>
      <c r="T444" s="26"/>
    </row>
    <row r="445" spans="1:20" ht="19.5" x14ac:dyDescent="0.4">
      <c r="A445" s="37">
        <v>444</v>
      </c>
      <c r="B445" s="31">
        <v>47</v>
      </c>
      <c r="C445" s="31">
        <v>315</v>
      </c>
      <c r="D445" s="31">
        <v>3</v>
      </c>
      <c r="E445" s="31">
        <v>945</v>
      </c>
      <c r="F445" s="38">
        <v>45362</v>
      </c>
      <c r="G445" s="31" t="s">
        <v>22</v>
      </c>
      <c r="H445" s="31">
        <v>140</v>
      </c>
      <c r="I445" s="31" t="str">
        <f>VLOOKUP(продажи!$B445,товар!$A$1:$C$433,2)</f>
        <v>Мясо</v>
      </c>
      <c r="J445" s="31" t="str">
        <f>VLOOKUP(B445,товар!$A$1:$C$433,3)</f>
        <v>Снежана</v>
      </c>
      <c r="K445" s="39">
        <f>AVERAGEIF(продажи!$I$2:$I$1001,продажи!$I$2:$I$1001,продажи!$C$2:$C$1001)</f>
        <v>271.74545454545455</v>
      </c>
      <c r="L445" s="40">
        <f>продажи!$C445/продажи!$K445-1</f>
        <v>0.15917302288237645</v>
      </c>
      <c r="M445" s="33">
        <f t="shared" si="12"/>
        <v>4630</v>
      </c>
      <c r="N445" s="24">
        <f>Таблица1[[#This Row],[цена за шт в рублях]]/Таблица1[[#This Row],[средняя стоимость в категории по поставщику.]]-1</f>
        <v>-0.93196544276457882</v>
      </c>
      <c r="O445" s="26">
        <f>VLOOKUP(Таблица1[[#This Row],[id клиента]],клиенты!$A$2:$E$435,5,0)</f>
        <v>44627</v>
      </c>
      <c r="P445">
        <f>Таблица1[[#This Row],[дата создания чека]]-Таблица1[[#This Row],[Дата регистрации клента]]</f>
        <v>735</v>
      </c>
      <c r="Q445" s="26">
        <f t="shared" ca="1" si="13"/>
        <v>46059</v>
      </c>
      <c r="R445" s="51">
        <f ca="1">(TODAY()-Таблица1[[#This Row],[Дата регистрации клента]])/30</f>
        <v>47.733333333333334</v>
      </c>
      <c r="S445" s="63" t="str">
        <f>VLOOKUP(Таблица1[[#This Row],[id клиента]],Таблица8[[id клиента]:[Страна]],7,0)</f>
        <v>Россия</v>
      </c>
      <c r="T445" s="26"/>
    </row>
    <row r="446" spans="1:20" ht="19.5" x14ac:dyDescent="0.4">
      <c r="A446" s="41">
        <v>445</v>
      </c>
      <c r="B446" s="42">
        <v>346</v>
      </c>
      <c r="C446" s="42">
        <v>267</v>
      </c>
      <c r="D446" s="42">
        <v>3</v>
      </c>
      <c r="E446" s="42">
        <v>801</v>
      </c>
      <c r="F446" s="43">
        <v>45406</v>
      </c>
      <c r="G446" s="42" t="s">
        <v>21</v>
      </c>
      <c r="H446" s="42">
        <v>385</v>
      </c>
      <c r="I446" s="42" t="str">
        <f>VLOOKUP(продажи!$B446,товар!$A$1:$C$433,2)</f>
        <v>Чай</v>
      </c>
      <c r="J446" s="42" t="str">
        <f>VLOOKUP(B446,товар!$A$1:$C$433,3)</f>
        <v>Greenfield</v>
      </c>
      <c r="K446" s="44">
        <f>AVERAGEIF(продажи!$I$2:$I$1001,продажи!$I$2:$I$1001,продажи!$C$2:$C$1001)</f>
        <v>271.18181818181819</v>
      </c>
      <c r="L446" s="45">
        <f>продажи!$C446/продажи!$K446-1</f>
        <v>-1.5420717398592076E-2</v>
      </c>
      <c r="M446" s="33">
        <f t="shared" si="12"/>
        <v>6412</v>
      </c>
      <c r="N446" s="24">
        <f>Таблица1[[#This Row],[цена за шт в рублях]]/Таблица1[[#This Row],[средняя стоимость в категории по поставщику.]]-1</f>
        <v>-0.95835932626325637</v>
      </c>
      <c r="O446" s="26">
        <f>VLOOKUP(Таблица1[[#This Row],[id клиента]],клиенты!$A$2:$E$435,5,0)</f>
        <v>44753</v>
      </c>
      <c r="P446">
        <f>Таблица1[[#This Row],[дата создания чека]]-Таблица1[[#This Row],[Дата регистрации клента]]</f>
        <v>653</v>
      </c>
      <c r="Q446" s="26">
        <f t="shared" ca="1" si="13"/>
        <v>46059</v>
      </c>
      <c r="R446" s="51">
        <f ca="1">(TODAY()-Таблица1[[#This Row],[Дата регистрации клента]])/30</f>
        <v>43.533333333333331</v>
      </c>
      <c r="S446" s="63" t="str">
        <f>VLOOKUP(Таблица1[[#This Row],[id клиента]],Таблица8[[id клиента]:[Страна]],7,0)</f>
        <v>Украина</v>
      </c>
      <c r="T446" s="26"/>
    </row>
    <row r="447" spans="1:20" ht="19.5" x14ac:dyDescent="0.4">
      <c r="A447" s="37">
        <v>446</v>
      </c>
      <c r="B447" s="31">
        <v>47</v>
      </c>
      <c r="C447" s="31">
        <v>476</v>
      </c>
      <c r="D447" s="31">
        <v>4</v>
      </c>
      <c r="E447" s="31">
        <v>1904</v>
      </c>
      <c r="F447" s="38">
        <v>45425</v>
      </c>
      <c r="G447" s="31" t="s">
        <v>13</v>
      </c>
      <c r="H447" s="31">
        <v>43</v>
      </c>
      <c r="I447" s="31" t="str">
        <f>VLOOKUP(продажи!$B447,товар!$A$1:$C$433,2)</f>
        <v>Мясо</v>
      </c>
      <c r="J447" s="31" t="str">
        <f>VLOOKUP(B447,товар!$A$1:$C$433,3)</f>
        <v>Снежана</v>
      </c>
      <c r="K447" s="39">
        <f>AVERAGEIF(продажи!$I$2:$I$1001,продажи!$I$2:$I$1001,продажи!$C$2:$C$1001)</f>
        <v>271.74545454545455</v>
      </c>
      <c r="L447" s="40">
        <f>продажи!$C447/продажи!$K447-1</f>
        <v>0.75163923457781334</v>
      </c>
      <c r="M447" s="33">
        <f t="shared" si="12"/>
        <v>4630</v>
      </c>
      <c r="N447" s="24">
        <f>Таблица1[[#This Row],[цена за шт в рублях]]/Таблица1[[#This Row],[средняя стоимость в категории по поставщику.]]-1</f>
        <v>-0.8971922246220303</v>
      </c>
      <c r="O447" s="26">
        <f>VLOOKUP(Таблица1[[#This Row],[id клиента]],клиенты!$A$2:$E$435,5,0)</f>
        <v>44912</v>
      </c>
      <c r="P447">
        <f>Таблица1[[#This Row],[дата создания чека]]-Таблица1[[#This Row],[Дата регистрации клента]]</f>
        <v>513</v>
      </c>
      <c r="Q447" s="26">
        <f t="shared" ca="1" si="13"/>
        <v>46059</v>
      </c>
      <c r="R447" s="51">
        <f ca="1">(TODAY()-Таблица1[[#This Row],[Дата регистрации клента]])/30</f>
        <v>38.233333333333334</v>
      </c>
      <c r="S447" s="63" t="str">
        <f>VLOOKUP(Таблица1[[#This Row],[id клиента]],Таблица8[[id клиента]:[Страна]],7,0)</f>
        <v>Россия</v>
      </c>
      <c r="T447" s="26"/>
    </row>
    <row r="448" spans="1:20" ht="19.5" x14ac:dyDescent="0.4">
      <c r="A448" s="41">
        <v>447</v>
      </c>
      <c r="B448" s="42">
        <v>290</v>
      </c>
      <c r="C448" s="42">
        <v>97</v>
      </c>
      <c r="D448" s="42">
        <v>4</v>
      </c>
      <c r="E448" s="42">
        <v>388</v>
      </c>
      <c r="F448" s="43">
        <v>45256</v>
      </c>
      <c r="G448" s="42" t="s">
        <v>19</v>
      </c>
      <c r="H448" s="42">
        <v>326</v>
      </c>
      <c r="I448" s="42" t="str">
        <f>VLOOKUP(продажи!$B448,товар!$A$1:$C$433,2)</f>
        <v>Сахар</v>
      </c>
      <c r="J448" s="42" t="str">
        <f>VLOOKUP(B448,товар!$A$1:$C$433,3)</f>
        <v>Продимекс</v>
      </c>
      <c r="K448" s="44">
        <f>AVERAGEIF(продажи!$I$2:$I$1001,продажи!$I$2:$I$1001,продажи!$C$2:$C$1001)</f>
        <v>254.58333333333334</v>
      </c>
      <c r="L448" s="45">
        <f>продажи!$C448/продажи!$K448-1</f>
        <v>-0.61898527004909987</v>
      </c>
      <c r="M448" s="33">
        <f t="shared" si="12"/>
        <v>5172</v>
      </c>
      <c r="N448" s="24">
        <f>Таблица1[[#This Row],[цена за шт в рублях]]/Таблица1[[#This Row],[средняя стоимость в категории по поставщику.]]-1</f>
        <v>-0.98124516627996905</v>
      </c>
      <c r="O448" s="26">
        <f>VLOOKUP(Таблица1[[#This Row],[id клиента]],клиенты!$A$2:$E$435,5,0)</f>
        <v>44655</v>
      </c>
      <c r="P448">
        <f>Таблица1[[#This Row],[дата создания чека]]-Таблица1[[#This Row],[Дата регистрации клента]]</f>
        <v>601</v>
      </c>
      <c r="Q448" s="26">
        <f t="shared" ca="1" si="13"/>
        <v>46059</v>
      </c>
      <c r="R448" s="51">
        <f ca="1">(TODAY()-Таблица1[[#This Row],[Дата регистрации клента]])/30</f>
        <v>46.8</v>
      </c>
      <c r="S448" s="63" t="str">
        <f>VLOOKUP(Таблица1[[#This Row],[id клиента]],Таблица8[[id клиента]:[Страна]],7,0)</f>
        <v>Россия</v>
      </c>
      <c r="T448" s="26"/>
    </row>
    <row r="449" spans="1:20" ht="19.5" x14ac:dyDescent="0.4">
      <c r="A449" s="37">
        <v>448</v>
      </c>
      <c r="B449" s="31">
        <v>484</v>
      </c>
      <c r="C449" s="31">
        <v>114</v>
      </c>
      <c r="D449" s="31">
        <v>1</v>
      </c>
      <c r="E449" s="31">
        <v>114</v>
      </c>
      <c r="F449" s="38">
        <v>45007</v>
      </c>
      <c r="G449" s="31" t="s">
        <v>27</v>
      </c>
      <c r="H449" s="31">
        <v>402</v>
      </c>
      <c r="I449" s="31" t="str">
        <f>VLOOKUP(продажи!$B449,товар!$A$1:$C$433,2)</f>
        <v>Печенье</v>
      </c>
      <c r="J449" s="31" t="str">
        <f>VLOOKUP(B449,товар!$A$1:$C$433,3)</f>
        <v>КДВ</v>
      </c>
      <c r="K449" s="39">
        <f>AVERAGEIF(продажи!$I$2:$I$1001,продажи!$I$2:$I$1001,продажи!$C$2:$C$1001)</f>
        <v>283.468085106383</v>
      </c>
      <c r="L449" s="40">
        <f>продажи!$C449/продажи!$K449-1</f>
        <v>-0.59783832470164389</v>
      </c>
      <c r="M449" s="33">
        <f t="shared" si="12"/>
        <v>4200</v>
      </c>
      <c r="N449" s="24">
        <f>Таблица1[[#This Row],[цена за шт в рублях]]/Таблица1[[#This Row],[средняя стоимость в категории по поставщику.]]-1</f>
        <v>-0.97285714285714286</v>
      </c>
      <c r="O449" s="26">
        <f>VLOOKUP(Таблица1[[#This Row],[id клиента]],клиенты!$A$2:$E$435,5,0)</f>
        <v>44742</v>
      </c>
      <c r="P449">
        <f>Таблица1[[#This Row],[дата создания чека]]-Таблица1[[#This Row],[Дата регистрации клента]]</f>
        <v>265</v>
      </c>
      <c r="Q449" s="26">
        <f t="shared" ca="1" si="13"/>
        <v>46059</v>
      </c>
      <c r="R449" s="51">
        <f ca="1">(TODAY()-Таблица1[[#This Row],[Дата регистрации клента]])/30</f>
        <v>43.9</v>
      </c>
      <c r="S449" s="63" t="str">
        <f>VLOOKUP(Таблица1[[#This Row],[id клиента]],Таблица8[[id клиента]:[Страна]],7,0)</f>
        <v>Узбекистан</v>
      </c>
      <c r="T449" s="26"/>
    </row>
    <row r="450" spans="1:20" ht="19.5" x14ac:dyDescent="0.4">
      <c r="A450" s="41">
        <v>449</v>
      </c>
      <c r="B450" s="42">
        <v>192</v>
      </c>
      <c r="C450" s="42">
        <v>147</v>
      </c>
      <c r="D450" s="42">
        <v>1</v>
      </c>
      <c r="E450" s="42">
        <v>147</v>
      </c>
      <c r="F450" s="43">
        <v>44935</v>
      </c>
      <c r="G450" s="42" t="s">
        <v>15</v>
      </c>
      <c r="H450" s="42">
        <v>23</v>
      </c>
      <c r="I450" s="42" t="str">
        <f>VLOOKUP(продажи!$B450,товар!$A$1:$C$433,2)</f>
        <v>Мясо</v>
      </c>
      <c r="J450" s="42" t="str">
        <f>VLOOKUP(B450,товар!$A$1:$C$433,3)</f>
        <v>Снежана</v>
      </c>
      <c r="K450" s="44">
        <f>AVERAGEIF(продажи!$I$2:$I$1001,продажи!$I$2:$I$1001,продажи!$C$2:$C$1001)</f>
        <v>271.74545454545455</v>
      </c>
      <c r="L450" s="45">
        <f>продажи!$C450/продажи!$K450-1</f>
        <v>-0.45905258932155757</v>
      </c>
      <c r="M450" s="33">
        <f t="shared" ref="M450:M513" si="14">SUMIFS($C$2:$C$1001,$I$2:$I$1001,I450,$J$2:$J$1001,J450)</f>
        <v>4630</v>
      </c>
      <c r="N450" s="24">
        <f>Таблица1[[#This Row],[цена за шт в рублях]]/Таблица1[[#This Row],[средняя стоимость в категории по поставщику.]]-1</f>
        <v>-0.96825053995680344</v>
      </c>
      <c r="O450" s="26">
        <f>VLOOKUP(Таблица1[[#This Row],[id клиента]],клиенты!$A$2:$E$435,5,0)</f>
        <v>44706</v>
      </c>
      <c r="P450">
        <f>Таблица1[[#This Row],[дата создания чека]]-Таблица1[[#This Row],[Дата регистрации клента]]</f>
        <v>229</v>
      </c>
      <c r="Q450" s="26">
        <f t="shared" ref="Q450:Q513" ca="1" si="15">TODAY()</f>
        <v>46059</v>
      </c>
      <c r="R450" s="51">
        <f ca="1">(TODAY()-Таблица1[[#This Row],[Дата регистрации клента]])/30</f>
        <v>45.1</v>
      </c>
      <c r="S450" s="63" t="str">
        <f>VLOOKUP(Таблица1[[#This Row],[id клиента]],Таблица8[[id клиента]:[Страна]],7,0)</f>
        <v>Россия</v>
      </c>
      <c r="T450" s="26"/>
    </row>
    <row r="451" spans="1:20" ht="19.5" x14ac:dyDescent="0.4">
      <c r="A451" s="37">
        <v>450</v>
      </c>
      <c r="B451" s="31">
        <v>187</v>
      </c>
      <c r="C451" s="31">
        <v>185</v>
      </c>
      <c r="D451" s="31">
        <v>2</v>
      </c>
      <c r="E451" s="31">
        <v>370</v>
      </c>
      <c r="F451" s="38">
        <v>45102</v>
      </c>
      <c r="G451" s="31" t="s">
        <v>16</v>
      </c>
      <c r="H451" s="31">
        <v>468</v>
      </c>
      <c r="I451" s="31" t="str">
        <f>VLOOKUP(продажи!$B451,товар!$A$1:$C$433,2)</f>
        <v>Макароны</v>
      </c>
      <c r="J451" s="31" t="str">
        <f>VLOOKUP(B451,товар!$A$1:$C$433,3)</f>
        <v>Паста Зара</v>
      </c>
      <c r="K451" s="39">
        <f>AVERAGEIF(продажи!$I$2:$I$1001,продажи!$I$2:$I$1001,продажи!$C$2:$C$1001)</f>
        <v>265.47674418604652</v>
      </c>
      <c r="L451" s="40">
        <f>продажи!$C451/продажи!$K451-1</f>
        <v>-0.30314046690902718</v>
      </c>
      <c r="M451" s="33">
        <f t="shared" si="14"/>
        <v>10237</v>
      </c>
      <c r="N451" s="24">
        <f>Таблица1[[#This Row],[цена за шт в рублях]]/Таблица1[[#This Row],[средняя стоимость в категории по поставщику.]]-1</f>
        <v>-0.98192829930643744</v>
      </c>
      <c r="O451" s="26">
        <f>VLOOKUP(Таблица1[[#This Row],[id клиента]],клиенты!$A$2:$E$435,5,0)</f>
        <v>44619</v>
      </c>
      <c r="P451">
        <f>Таблица1[[#This Row],[дата создания чека]]-Таблица1[[#This Row],[Дата регистрации клента]]</f>
        <v>483</v>
      </c>
      <c r="Q451" s="26">
        <f t="shared" ca="1" si="15"/>
        <v>46059</v>
      </c>
      <c r="R451" s="51">
        <f ca="1">(TODAY()-Таблица1[[#This Row],[Дата регистрации клента]])/30</f>
        <v>48</v>
      </c>
      <c r="S451" s="63" t="str">
        <f>VLOOKUP(Таблица1[[#This Row],[id клиента]],Таблица8[[id клиента]:[Страна]],7,0)</f>
        <v>Узбекистан</v>
      </c>
      <c r="T451" s="26"/>
    </row>
    <row r="452" spans="1:20" ht="19.5" x14ac:dyDescent="0.4">
      <c r="A452" s="41">
        <v>451</v>
      </c>
      <c r="B452" s="42">
        <v>429</v>
      </c>
      <c r="C452" s="42">
        <v>368</v>
      </c>
      <c r="D452" s="42">
        <v>2</v>
      </c>
      <c r="E452" s="42">
        <v>736</v>
      </c>
      <c r="F452" s="43">
        <v>45008</v>
      </c>
      <c r="G452" s="42" t="s">
        <v>14</v>
      </c>
      <c r="H452" s="42">
        <v>16</v>
      </c>
      <c r="I452" s="42" t="str">
        <f>VLOOKUP(продажи!$B452,товар!$A$1:$C$433,2)</f>
        <v>Крупа</v>
      </c>
      <c r="J452" s="42" t="str">
        <f>VLOOKUP(B452,товар!$A$1:$C$433,3)</f>
        <v>Увелка</v>
      </c>
      <c r="K452" s="44">
        <f>AVERAGEIF(продажи!$I$2:$I$1001,продажи!$I$2:$I$1001,продажи!$C$2:$C$1001)</f>
        <v>255.11627906976744</v>
      </c>
      <c r="L452" s="45">
        <f>продажи!$C452/продажи!$K452-1</f>
        <v>0.44247948951686422</v>
      </c>
      <c r="M452" s="33">
        <f t="shared" si="14"/>
        <v>3023</v>
      </c>
      <c r="N452" s="24">
        <f>Таблица1[[#This Row],[цена за шт в рублях]]/Таблица1[[#This Row],[средняя стоимость в категории по поставщику.]]-1</f>
        <v>-0.87826662256037047</v>
      </c>
      <c r="O452" s="26">
        <f>VLOOKUP(Таблица1[[#This Row],[id клиента]],клиенты!$A$2:$E$435,5,0)</f>
        <v>44713</v>
      </c>
      <c r="P452">
        <f>Таблица1[[#This Row],[дата создания чека]]-Таблица1[[#This Row],[Дата регистрации клента]]</f>
        <v>295</v>
      </c>
      <c r="Q452" s="26">
        <f t="shared" ca="1" si="15"/>
        <v>46059</v>
      </c>
      <c r="R452" s="51">
        <f ca="1">(TODAY()-Таблица1[[#This Row],[Дата регистрации клента]])/30</f>
        <v>44.866666666666667</v>
      </c>
      <c r="S452" s="63" t="str">
        <f>VLOOKUP(Таблица1[[#This Row],[id клиента]],Таблица8[[id клиента]:[Страна]],7,0)</f>
        <v>Украина</v>
      </c>
      <c r="T452" s="26"/>
    </row>
    <row r="453" spans="1:20" ht="19.5" x14ac:dyDescent="0.4">
      <c r="A453" s="37">
        <v>452</v>
      </c>
      <c r="B453" s="31">
        <v>93</v>
      </c>
      <c r="C453" s="31">
        <v>387</v>
      </c>
      <c r="D453" s="31">
        <v>2</v>
      </c>
      <c r="E453" s="31">
        <v>774</v>
      </c>
      <c r="F453" s="38">
        <v>45219</v>
      </c>
      <c r="G453" s="31" t="s">
        <v>16</v>
      </c>
      <c r="H453" s="31">
        <v>156</v>
      </c>
      <c r="I453" s="31" t="str">
        <f>VLOOKUP(продажи!$B453,товар!$A$1:$C$433,2)</f>
        <v>Чай</v>
      </c>
      <c r="J453" s="31" t="str">
        <f>VLOOKUP(B453,товар!$A$1:$C$433,3)</f>
        <v>Greenfield</v>
      </c>
      <c r="K453" s="39">
        <f>AVERAGEIF(продажи!$I$2:$I$1001,продажи!$I$2:$I$1001,продажи!$C$2:$C$1001)</f>
        <v>271.18181818181819</v>
      </c>
      <c r="L453" s="40">
        <f>продажи!$C453/продажи!$K453-1</f>
        <v>0.42708682534361375</v>
      </c>
      <c r="M453" s="33">
        <f t="shared" si="14"/>
        <v>6412</v>
      </c>
      <c r="N453" s="24">
        <f>Таблица1[[#This Row],[цена за шт в рублях]]/Таблица1[[#This Row],[средняя стоимость в категории по поставщику.]]-1</f>
        <v>-0.93964441671865251</v>
      </c>
      <c r="O453" s="26">
        <f>VLOOKUP(Таблица1[[#This Row],[id клиента]],клиенты!$A$2:$E$435,5,0)</f>
        <v>44905</v>
      </c>
      <c r="P453">
        <f>Таблица1[[#This Row],[дата создания чека]]-Таблица1[[#This Row],[Дата регистрации клента]]</f>
        <v>314</v>
      </c>
      <c r="Q453" s="26">
        <f t="shared" ca="1" si="15"/>
        <v>46059</v>
      </c>
      <c r="R453" s="51">
        <f ca="1">(TODAY()-Таблица1[[#This Row],[Дата регистрации клента]])/30</f>
        <v>38.466666666666669</v>
      </c>
      <c r="S453" s="63" t="str">
        <f>VLOOKUP(Таблица1[[#This Row],[id клиента]],Таблица8[[id клиента]:[Страна]],7,0)</f>
        <v>Украина</v>
      </c>
      <c r="T453" s="26"/>
    </row>
    <row r="454" spans="1:20" ht="19.5" x14ac:dyDescent="0.4">
      <c r="A454" s="41">
        <v>453</v>
      </c>
      <c r="B454" s="42">
        <v>57</v>
      </c>
      <c r="C454" s="42">
        <v>174</v>
      </c>
      <c r="D454" s="42">
        <v>2</v>
      </c>
      <c r="E454" s="42">
        <v>348</v>
      </c>
      <c r="F454" s="43">
        <v>44973</v>
      </c>
      <c r="G454" s="42" t="s">
        <v>15</v>
      </c>
      <c r="H454" s="42">
        <v>141</v>
      </c>
      <c r="I454" s="42" t="str">
        <f>VLOOKUP(продажи!$B454,товар!$A$1:$C$433,2)</f>
        <v>Печенье</v>
      </c>
      <c r="J454" s="42" t="str">
        <f>VLOOKUP(B454,товар!$A$1:$C$433,3)</f>
        <v>Юбилейное</v>
      </c>
      <c r="K454" s="44">
        <f>AVERAGEIF(продажи!$I$2:$I$1001,продажи!$I$2:$I$1001,продажи!$C$2:$C$1001)</f>
        <v>283.468085106383</v>
      </c>
      <c r="L454" s="45">
        <f>продажи!$C454/продажи!$K454-1</f>
        <v>-0.38617428507092999</v>
      </c>
      <c r="M454" s="33">
        <f t="shared" si="14"/>
        <v>2092</v>
      </c>
      <c r="N454" s="24">
        <f>Таблица1[[#This Row],[цена за шт в рублях]]/Таблица1[[#This Row],[средняя стоимость в категории по поставщику.]]-1</f>
        <v>-0.91682600382409174</v>
      </c>
      <c r="O454" s="26">
        <f>VLOOKUP(Таблица1[[#This Row],[id клиента]],клиенты!$A$2:$E$435,5,0)</f>
        <v>44743</v>
      </c>
      <c r="P454">
        <f>Таблица1[[#This Row],[дата создания чека]]-Таблица1[[#This Row],[Дата регистрации клента]]</f>
        <v>230</v>
      </c>
      <c r="Q454" s="26">
        <f t="shared" ca="1" si="15"/>
        <v>46059</v>
      </c>
      <c r="R454" s="51">
        <f ca="1">(TODAY()-Таблица1[[#This Row],[Дата регистрации клента]])/30</f>
        <v>43.866666666666667</v>
      </c>
      <c r="S454" s="63" t="str">
        <f>VLOOKUP(Таблица1[[#This Row],[id клиента]],Таблица8[[id клиента]:[Страна]],7,0)</f>
        <v>Россия</v>
      </c>
      <c r="T454" s="26"/>
    </row>
    <row r="455" spans="1:20" ht="19.5" x14ac:dyDescent="0.4">
      <c r="A455" s="37">
        <v>454</v>
      </c>
      <c r="B455" s="31">
        <v>198</v>
      </c>
      <c r="C455" s="31">
        <v>438</v>
      </c>
      <c r="D455" s="31">
        <v>4</v>
      </c>
      <c r="E455" s="31">
        <v>1752</v>
      </c>
      <c r="F455" s="38">
        <v>45312</v>
      </c>
      <c r="G455" s="31" t="s">
        <v>23</v>
      </c>
      <c r="H455" s="31">
        <v>385</v>
      </c>
      <c r="I455" s="31" t="str">
        <f>VLOOKUP(продажи!$B455,товар!$A$1:$C$433,2)</f>
        <v>Мясо</v>
      </c>
      <c r="J455" s="31" t="str">
        <f>VLOOKUP(B455,товар!$A$1:$C$433,3)</f>
        <v>Мираторг</v>
      </c>
      <c r="K455" s="39">
        <f>AVERAGEIF(продажи!$I$2:$I$1001,продажи!$I$2:$I$1001,продажи!$C$2:$C$1001)</f>
        <v>271.74545454545455</v>
      </c>
      <c r="L455" s="40">
        <f>продажи!$C455/продажи!$K455-1</f>
        <v>0.61180248896025691</v>
      </c>
      <c r="M455" s="33">
        <f t="shared" si="14"/>
        <v>3799</v>
      </c>
      <c r="N455" s="24">
        <f>Таблица1[[#This Row],[цена за шт в рублях]]/Таблица1[[#This Row],[средняя стоимость в категории по поставщику.]]-1</f>
        <v>-0.88470650171097653</v>
      </c>
      <c r="O455" s="26">
        <f>VLOOKUP(Таблица1[[#This Row],[id клиента]],клиенты!$A$2:$E$435,5,0)</f>
        <v>44753</v>
      </c>
      <c r="P455">
        <f>Таблица1[[#This Row],[дата создания чека]]-Таблица1[[#This Row],[Дата регистрации клента]]</f>
        <v>559</v>
      </c>
      <c r="Q455" s="26">
        <f t="shared" ca="1" si="15"/>
        <v>46059</v>
      </c>
      <c r="R455" s="51">
        <f ca="1">(TODAY()-Таблица1[[#This Row],[Дата регистрации клента]])/30</f>
        <v>43.533333333333331</v>
      </c>
      <c r="S455" s="63" t="str">
        <f>VLOOKUP(Таблица1[[#This Row],[id клиента]],Таблица8[[id клиента]:[Страна]],7,0)</f>
        <v>Украина</v>
      </c>
      <c r="T455" s="26"/>
    </row>
    <row r="456" spans="1:20" ht="19.5" x14ac:dyDescent="0.4">
      <c r="A456" s="41">
        <v>455</v>
      </c>
      <c r="B456" s="42">
        <v>202</v>
      </c>
      <c r="C456" s="42">
        <v>308</v>
      </c>
      <c r="D456" s="42">
        <v>2</v>
      </c>
      <c r="E456" s="42">
        <v>616</v>
      </c>
      <c r="F456" s="43">
        <v>45410</v>
      </c>
      <c r="G456" s="42" t="s">
        <v>20</v>
      </c>
      <c r="H456" s="42">
        <v>182</v>
      </c>
      <c r="I456" s="42" t="str">
        <f>VLOOKUP(продажи!$B456,товар!$A$1:$C$433,2)</f>
        <v>Овощи</v>
      </c>
      <c r="J456" s="42" t="str">
        <f>VLOOKUP(B456,товар!$A$1:$C$433,3)</f>
        <v>Овощной ряд</v>
      </c>
      <c r="K456" s="44">
        <f>AVERAGEIF(продажи!$I$2:$I$1001,продажи!$I$2:$I$1001,продажи!$C$2:$C$1001)</f>
        <v>250.48780487804879</v>
      </c>
      <c r="L456" s="45">
        <f>продажи!$C456/продажи!$K456-1</f>
        <v>0.22960077896786757</v>
      </c>
      <c r="M456" s="33">
        <f t="shared" si="14"/>
        <v>5165</v>
      </c>
      <c r="N456" s="24">
        <f>Таблица1[[#This Row],[цена за шт в рублях]]/Таблица1[[#This Row],[средняя стоимость в категории по поставщику.]]-1</f>
        <v>-0.94036786060019362</v>
      </c>
      <c r="O456" s="26">
        <f>VLOOKUP(Таблица1[[#This Row],[id клиента]],клиенты!$A$2:$E$435,5,0)</f>
        <v>44856</v>
      </c>
      <c r="P456">
        <f>Таблица1[[#This Row],[дата создания чека]]-Таблица1[[#This Row],[Дата регистрации клента]]</f>
        <v>554</v>
      </c>
      <c r="Q456" s="26">
        <f t="shared" ca="1" si="15"/>
        <v>46059</v>
      </c>
      <c r="R456" s="51">
        <f ca="1">(TODAY()-Таблица1[[#This Row],[Дата регистрации клента]])/30</f>
        <v>40.1</v>
      </c>
      <c r="S456" s="63" t="str">
        <f>VLOOKUP(Таблица1[[#This Row],[id клиента]],Таблица8[[id клиента]:[Страна]],7,0)</f>
        <v>Узбекистан</v>
      </c>
      <c r="T456" s="26"/>
    </row>
    <row r="457" spans="1:20" ht="19.5" x14ac:dyDescent="0.4">
      <c r="A457" s="37">
        <v>456</v>
      </c>
      <c r="B457" s="31">
        <v>427</v>
      </c>
      <c r="C457" s="31">
        <v>240</v>
      </c>
      <c r="D457" s="31">
        <v>1</v>
      </c>
      <c r="E457" s="31">
        <v>240</v>
      </c>
      <c r="F457" s="38">
        <v>45420</v>
      </c>
      <c r="G457" s="31" t="s">
        <v>10</v>
      </c>
      <c r="H457" s="31">
        <v>225</v>
      </c>
      <c r="I457" s="31" t="str">
        <f>VLOOKUP(продажи!$B457,товар!$A$1:$C$433,2)</f>
        <v>Хлеб</v>
      </c>
      <c r="J457" s="31" t="str">
        <f>VLOOKUP(B457,товар!$A$1:$C$433,3)</f>
        <v>Русский Хлеб</v>
      </c>
      <c r="K457" s="39">
        <f>AVERAGEIF(продажи!$I$2:$I$1001,продажи!$I$2:$I$1001,продажи!$C$2:$C$1001)</f>
        <v>300.31818181818181</v>
      </c>
      <c r="L457" s="40">
        <f>продажи!$C457/продажи!$K457-1</f>
        <v>-0.20084758589374907</v>
      </c>
      <c r="M457" s="33">
        <f t="shared" si="14"/>
        <v>3166</v>
      </c>
      <c r="N457" s="24">
        <f>Таблица1[[#This Row],[цена за шт в рублях]]/Таблица1[[#This Row],[средняя стоимость в категории по поставщику.]]-1</f>
        <v>-0.92419456727732152</v>
      </c>
      <c r="O457" s="26">
        <f>VLOOKUP(Таблица1[[#This Row],[id клиента]],клиенты!$A$2:$E$435,5,0)</f>
        <v>44827</v>
      </c>
      <c r="P457">
        <f>Таблица1[[#This Row],[дата создания чека]]-Таблица1[[#This Row],[Дата регистрации клента]]</f>
        <v>593</v>
      </c>
      <c r="Q457" s="26">
        <f t="shared" ca="1" si="15"/>
        <v>46059</v>
      </c>
      <c r="R457" s="51">
        <f ca="1">(TODAY()-Таблица1[[#This Row],[Дата регистрации клента]])/30</f>
        <v>41.06666666666667</v>
      </c>
      <c r="S457" s="63" t="str">
        <f>VLOOKUP(Таблица1[[#This Row],[id клиента]],Таблица8[[id клиента]:[Страна]],7,0)</f>
        <v>Беларусь</v>
      </c>
      <c r="T457" s="26"/>
    </row>
    <row r="458" spans="1:20" ht="19.5" x14ac:dyDescent="0.4">
      <c r="A458" s="41">
        <v>457</v>
      </c>
      <c r="B458" s="42">
        <v>272</v>
      </c>
      <c r="C458" s="42">
        <v>67</v>
      </c>
      <c r="D458" s="42">
        <v>3</v>
      </c>
      <c r="E458" s="42">
        <v>201</v>
      </c>
      <c r="F458" s="43">
        <v>45366</v>
      </c>
      <c r="G458" s="42" t="s">
        <v>13</v>
      </c>
      <c r="H458" s="42">
        <v>151</v>
      </c>
      <c r="I458" s="42" t="str">
        <f>VLOOKUP(продажи!$B458,товар!$A$1:$C$433,2)</f>
        <v>Крупа</v>
      </c>
      <c r="J458" s="42" t="str">
        <f>VLOOKUP(B458,товар!$A$1:$C$433,3)</f>
        <v>Ярмарка</v>
      </c>
      <c r="K458" s="44">
        <f>AVERAGEIF(продажи!$I$2:$I$1001,продажи!$I$2:$I$1001,продажи!$C$2:$C$1001)</f>
        <v>255.11627906976744</v>
      </c>
      <c r="L458" s="45">
        <f>продажи!$C458/продажи!$K458-1</f>
        <v>-0.73737465815861447</v>
      </c>
      <c r="M458" s="33">
        <f t="shared" si="14"/>
        <v>2773</v>
      </c>
      <c r="N458" s="24">
        <f>Таблица1[[#This Row],[цена за шт в рублях]]/Таблица1[[#This Row],[средняя стоимость в категории по поставщику.]]-1</f>
        <v>-0.97583844212044712</v>
      </c>
      <c r="O458" s="26">
        <f>VLOOKUP(Таблица1[[#This Row],[id клиента]],клиенты!$A$2:$E$435,5,0)</f>
        <v>44923</v>
      </c>
      <c r="P458">
        <f>Таблица1[[#This Row],[дата создания чека]]-Таблица1[[#This Row],[Дата регистрации клента]]</f>
        <v>443</v>
      </c>
      <c r="Q458" s="26">
        <f t="shared" ca="1" si="15"/>
        <v>46059</v>
      </c>
      <c r="R458" s="51">
        <f ca="1">(TODAY()-Таблица1[[#This Row],[Дата регистрации клента]])/30</f>
        <v>37.866666666666667</v>
      </c>
      <c r="S458" s="63" t="str">
        <f>VLOOKUP(Таблица1[[#This Row],[id клиента]],Таблица8[[id клиента]:[Страна]],7,0)</f>
        <v>Беларусь</v>
      </c>
      <c r="T458" s="26"/>
    </row>
    <row r="459" spans="1:20" ht="19.5" x14ac:dyDescent="0.4">
      <c r="A459" s="37">
        <v>458</v>
      </c>
      <c r="B459" s="31">
        <v>473</v>
      </c>
      <c r="C459" s="31">
        <v>474</v>
      </c>
      <c r="D459" s="31">
        <v>2</v>
      </c>
      <c r="E459" s="31">
        <v>948</v>
      </c>
      <c r="F459" s="38">
        <v>44976</v>
      </c>
      <c r="G459" s="31" t="s">
        <v>12</v>
      </c>
      <c r="H459" s="31">
        <v>428</v>
      </c>
      <c r="I459" s="31" t="str">
        <f>VLOOKUP(продажи!$B459,товар!$A$1:$C$433,2)</f>
        <v>Хлеб</v>
      </c>
      <c r="J459" s="31" t="str">
        <f>VLOOKUP(B459,товар!$A$1:$C$433,3)</f>
        <v>Хлебный Дом</v>
      </c>
      <c r="K459" s="39">
        <f>AVERAGEIF(продажи!$I$2:$I$1001,продажи!$I$2:$I$1001,продажи!$C$2:$C$1001)</f>
        <v>300.31818181818181</v>
      </c>
      <c r="L459" s="40">
        <f>продажи!$C459/продажи!$K459-1</f>
        <v>0.57832601785984572</v>
      </c>
      <c r="M459" s="33">
        <f t="shared" si="14"/>
        <v>4226</v>
      </c>
      <c r="N459" s="24">
        <f>Таблица1[[#This Row],[цена за шт в рублях]]/Таблица1[[#This Row],[средняя стоимость в категории по поставщику.]]-1</f>
        <v>-0.88783719829626129</v>
      </c>
      <c r="O459" s="26">
        <f>VLOOKUP(Таблица1[[#This Row],[id клиента]],клиенты!$A$2:$E$435,5,0)</f>
        <v>44848</v>
      </c>
      <c r="P459">
        <f>Таблица1[[#This Row],[дата создания чека]]-Таблица1[[#This Row],[Дата регистрации клента]]</f>
        <v>128</v>
      </c>
      <c r="Q459" s="26">
        <f t="shared" ca="1" si="15"/>
        <v>46059</v>
      </c>
      <c r="R459" s="51">
        <f ca="1">(TODAY()-Таблица1[[#This Row],[Дата регистрации клента]])/30</f>
        <v>40.366666666666667</v>
      </c>
      <c r="S459" s="63" t="str">
        <f>VLOOKUP(Таблица1[[#This Row],[id клиента]],Таблица8[[id клиента]:[Страна]],7,0)</f>
        <v>Беларусь</v>
      </c>
      <c r="T459" s="26"/>
    </row>
    <row r="460" spans="1:20" ht="19.5" x14ac:dyDescent="0.4">
      <c r="A460" s="41">
        <v>459</v>
      </c>
      <c r="B460" s="42">
        <v>189</v>
      </c>
      <c r="C460" s="42">
        <v>275</v>
      </c>
      <c r="D460" s="42">
        <v>4</v>
      </c>
      <c r="E460" s="42">
        <v>1100</v>
      </c>
      <c r="F460" s="43">
        <v>45176</v>
      </c>
      <c r="G460" s="42" t="s">
        <v>22</v>
      </c>
      <c r="H460" s="42">
        <v>438</v>
      </c>
      <c r="I460" s="42" t="str">
        <f>VLOOKUP(продажи!$B460,товар!$A$1:$C$433,2)</f>
        <v>Хлеб</v>
      </c>
      <c r="J460" s="42" t="str">
        <f>VLOOKUP(B460,товар!$A$1:$C$433,3)</f>
        <v>Дарница</v>
      </c>
      <c r="K460" s="44">
        <f>AVERAGEIF(продажи!$I$2:$I$1001,продажи!$I$2:$I$1001,продажи!$C$2:$C$1001)</f>
        <v>300.31818181818181</v>
      </c>
      <c r="L460" s="45">
        <f>продажи!$C460/продажи!$K460-1</f>
        <v>-8.4304525503254069E-2</v>
      </c>
      <c r="M460" s="33">
        <f t="shared" si="14"/>
        <v>1848</v>
      </c>
      <c r="N460" s="24">
        <f>Таблица1[[#This Row],[цена за шт в рублях]]/Таблица1[[#This Row],[средняя стоимость в категории по поставщику.]]-1</f>
        <v>-0.85119047619047616</v>
      </c>
      <c r="O460" s="26">
        <f>VLOOKUP(Таблица1[[#This Row],[id клиента]],клиенты!$A$2:$E$435,5,0)</f>
        <v>44693</v>
      </c>
      <c r="P460">
        <f>Таблица1[[#This Row],[дата создания чека]]-Таблица1[[#This Row],[Дата регистрации клента]]</f>
        <v>483</v>
      </c>
      <c r="Q460" s="26">
        <f t="shared" ca="1" si="15"/>
        <v>46059</v>
      </c>
      <c r="R460" s="51">
        <f ca="1">(TODAY()-Таблица1[[#This Row],[Дата регистрации клента]])/30</f>
        <v>45.533333333333331</v>
      </c>
      <c r="S460" s="63" t="str">
        <f>VLOOKUP(Таблица1[[#This Row],[id клиента]],Таблица8[[id клиента]:[Страна]],7,0)</f>
        <v>Узбекистан</v>
      </c>
      <c r="T460" s="26"/>
    </row>
    <row r="461" spans="1:20" ht="19.5" x14ac:dyDescent="0.4">
      <c r="A461" s="37">
        <v>460</v>
      </c>
      <c r="B461" s="31">
        <v>362</v>
      </c>
      <c r="C461" s="31">
        <v>358</v>
      </c>
      <c r="D461" s="31">
        <v>4</v>
      </c>
      <c r="E461" s="31">
        <v>1432</v>
      </c>
      <c r="F461" s="38">
        <v>44972</v>
      </c>
      <c r="G461" s="31" t="s">
        <v>11</v>
      </c>
      <c r="H461" s="31">
        <v>465</v>
      </c>
      <c r="I461" s="31" t="str">
        <f>VLOOKUP(продажи!$B461,товар!$A$1:$C$433,2)</f>
        <v>Хлеб</v>
      </c>
      <c r="J461" s="31" t="str">
        <f>VLOOKUP(B461,товар!$A$1:$C$433,3)</f>
        <v>Русский Хлеб</v>
      </c>
      <c r="K461" s="39">
        <f>AVERAGEIF(продажи!$I$2:$I$1001,продажи!$I$2:$I$1001,продажи!$C$2:$C$1001)</f>
        <v>300.31818181818181</v>
      </c>
      <c r="L461" s="40">
        <f>продажи!$C461/продажи!$K461-1</f>
        <v>0.19206901770849094</v>
      </c>
      <c r="M461" s="33">
        <f t="shared" si="14"/>
        <v>3166</v>
      </c>
      <c r="N461" s="24">
        <f>Таблица1[[#This Row],[цена за шт в рублях]]/Таблица1[[#This Row],[средняя стоимость в категории по поставщику.]]-1</f>
        <v>-0.88692356285533802</v>
      </c>
      <c r="O461" s="26">
        <f>VLOOKUP(Таблица1[[#This Row],[id клиента]],клиенты!$A$2:$E$435,5,0)</f>
        <v>44671</v>
      </c>
      <c r="P461">
        <f>Таблица1[[#This Row],[дата создания чека]]-Таблица1[[#This Row],[Дата регистрации клента]]</f>
        <v>301</v>
      </c>
      <c r="Q461" s="26">
        <f t="shared" ca="1" si="15"/>
        <v>46059</v>
      </c>
      <c r="R461" s="51">
        <f ca="1">(TODAY()-Таблица1[[#This Row],[Дата регистрации клента]])/30</f>
        <v>46.266666666666666</v>
      </c>
      <c r="S461" s="63" t="str">
        <f>VLOOKUP(Таблица1[[#This Row],[id клиента]],Таблица8[[id клиента]:[Страна]],7,0)</f>
        <v>Узбекистан</v>
      </c>
      <c r="T461" s="26"/>
    </row>
    <row r="462" spans="1:20" ht="19.5" x14ac:dyDescent="0.4">
      <c r="A462" s="41">
        <v>461</v>
      </c>
      <c r="B462" s="42">
        <v>345</v>
      </c>
      <c r="C462" s="42">
        <v>455</v>
      </c>
      <c r="D462" s="42">
        <v>5</v>
      </c>
      <c r="E462" s="42">
        <v>2275</v>
      </c>
      <c r="F462" s="43">
        <v>45213</v>
      </c>
      <c r="G462" s="42" t="s">
        <v>11</v>
      </c>
      <c r="H462" s="42">
        <v>215</v>
      </c>
      <c r="I462" s="42" t="str">
        <f>VLOOKUP(продажи!$B462,товар!$A$1:$C$433,2)</f>
        <v>Конфеты</v>
      </c>
      <c r="J462" s="42" t="str">
        <f>VLOOKUP(B462,товар!$A$1:$C$433,3)</f>
        <v>Рот Фронт</v>
      </c>
      <c r="K462" s="44">
        <f>AVERAGEIF(продажи!$I$2:$I$1001,продажи!$I$2:$I$1001,продажи!$C$2:$C$1001)</f>
        <v>267.85483870967744</v>
      </c>
      <c r="L462" s="45">
        <f>продажи!$C462/продажи!$K462-1</f>
        <v>0.69868127897874377</v>
      </c>
      <c r="M462" s="33">
        <f t="shared" si="14"/>
        <v>6053</v>
      </c>
      <c r="N462" s="24">
        <f>Таблица1[[#This Row],[цена за шт в рублях]]/Таблица1[[#This Row],[средняя стоимость в категории по поставщику.]]-1</f>
        <v>-0.92483066248141421</v>
      </c>
      <c r="O462" s="26">
        <f>VLOOKUP(Таблица1[[#This Row],[id клиента]],клиенты!$A$2:$E$435,5,0)</f>
        <v>44799</v>
      </c>
      <c r="P462">
        <f>Таблица1[[#This Row],[дата создания чека]]-Таблица1[[#This Row],[Дата регистрации клента]]</f>
        <v>414</v>
      </c>
      <c r="Q462" s="26">
        <f t="shared" ca="1" si="15"/>
        <v>46059</v>
      </c>
      <c r="R462" s="51">
        <f ca="1">(TODAY()-Таблица1[[#This Row],[Дата регистрации клента]])/30</f>
        <v>42</v>
      </c>
      <c r="S462" s="63" t="str">
        <f>VLOOKUP(Таблица1[[#This Row],[id клиента]],Таблица8[[id клиента]:[Страна]],7,0)</f>
        <v>Россия</v>
      </c>
      <c r="T462" s="26"/>
    </row>
    <row r="463" spans="1:20" ht="19.5" x14ac:dyDescent="0.4">
      <c r="A463" s="37">
        <v>462</v>
      </c>
      <c r="B463" s="31">
        <v>461</v>
      </c>
      <c r="C463" s="31">
        <v>443</v>
      </c>
      <c r="D463" s="31">
        <v>3</v>
      </c>
      <c r="E463" s="31">
        <v>1329</v>
      </c>
      <c r="F463" s="38">
        <v>45076</v>
      </c>
      <c r="G463" s="31" t="s">
        <v>27</v>
      </c>
      <c r="H463" s="31">
        <v>314</v>
      </c>
      <c r="I463" s="31" t="str">
        <f>VLOOKUP(продажи!$B463,товар!$A$1:$C$433,2)</f>
        <v>Фрукты</v>
      </c>
      <c r="J463" s="31" t="str">
        <f>VLOOKUP(B463,товар!$A$1:$C$433,3)</f>
        <v>Green Garden</v>
      </c>
      <c r="K463" s="39">
        <f>AVERAGEIF(продажи!$I$2:$I$1001,продажи!$I$2:$I$1001,продажи!$C$2:$C$1001)</f>
        <v>274.16279069767444</v>
      </c>
      <c r="L463" s="40">
        <f>продажи!$C463/продажи!$K463-1</f>
        <v>0.61582831453049436</v>
      </c>
      <c r="M463" s="33">
        <f t="shared" si="14"/>
        <v>1846</v>
      </c>
      <c r="N463" s="24">
        <f>Таблица1[[#This Row],[цена за шт в рублях]]/Таблица1[[#This Row],[средняя стоимость в категории по поставщику.]]-1</f>
        <v>-0.76002166847237274</v>
      </c>
      <c r="O463" s="26">
        <f>VLOOKUP(Таблица1[[#This Row],[id клиента]],клиенты!$A$2:$E$435,5,0)</f>
        <v>44899</v>
      </c>
      <c r="P463">
        <f>Таблица1[[#This Row],[дата создания чека]]-Таблица1[[#This Row],[Дата регистрации клента]]</f>
        <v>177</v>
      </c>
      <c r="Q463" s="26">
        <f t="shared" ca="1" si="15"/>
        <v>46059</v>
      </c>
      <c r="R463" s="51">
        <f ca="1">(TODAY()-Таблица1[[#This Row],[Дата регистрации клента]])/30</f>
        <v>38.666666666666664</v>
      </c>
      <c r="S463" s="63" t="str">
        <f>VLOOKUP(Таблица1[[#This Row],[id клиента]],Таблица8[[id клиента]:[Страна]],7,0)</f>
        <v>Россия</v>
      </c>
      <c r="T463" s="26"/>
    </row>
    <row r="464" spans="1:20" ht="19.5" x14ac:dyDescent="0.4">
      <c r="A464" s="41">
        <v>463</v>
      </c>
      <c r="B464" s="42">
        <v>401</v>
      </c>
      <c r="C464" s="42">
        <v>464</v>
      </c>
      <c r="D464" s="42">
        <v>2</v>
      </c>
      <c r="E464" s="42">
        <v>928</v>
      </c>
      <c r="F464" s="43">
        <v>45126</v>
      </c>
      <c r="G464" s="42" t="s">
        <v>13</v>
      </c>
      <c r="H464" s="42">
        <v>15</v>
      </c>
      <c r="I464" s="42" t="str">
        <f>VLOOKUP(продажи!$B464,товар!$A$1:$C$433,2)</f>
        <v>Чай</v>
      </c>
      <c r="J464" s="42" t="str">
        <f>VLOOKUP(B464,товар!$A$1:$C$433,3)</f>
        <v>Greenfield</v>
      </c>
      <c r="K464" s="44">
        <f>AVERAGEIF(продажи!$I$2:$I$1001,продажи!$I$2:$I$1001,продажи!$C$2:$C$1001)</f>
        <v>271.18181818181819</v>
      </c>
      <c r="L464" s="45">
        <f>продажи!$C464/продажи!$K464-1</f>
        <v>0.7110291652698626</v>
      </c>
      <c r="M464" s="33">
        <f t="shared" si="14"/>
        <v>6412</v>
      </c>
      <c r="N464" s="24">
        <f>Таблица1[[#This Row],[цена за шт в рублях]]/Таблица1[[#This Row],[средняя стоимость в категории по поставщику.]]-1</f>
        <v>-0.92763568309419842</v>
      </c>
      <c r="O464" s="26">
        <f>VLOOKUP(Таблица1[[#This Row],[id клиента]],клиенты!$A$2:$E$435,5,0)</f>
        <v>44711</v>
      </c>
      <c r="P464">
        <f>Таблица1[[#This Row],[дата создания чека]]-Таблица1[[#This Row],[Дата регистрации клента]]</f>
        <v>415</v>
      </c>
      <c r="Q464" s="26">
        <f t="shared" ca="1" si="15"/>
        <v>46059</v>
      </c>
      <c r="R464" s="51">
        <f ca="1">(TODAY()-Таблица1[[#This Row],[Дата регистрации клента]])/30</f>
        <v>44.93333333333333</v>
      </c>
      <c r="S464" s="63" t="str">
        <f>VLOOKUP(Таблица1[[#This Row],[id клиента]],Таблица8[[id клиента]:[Страна]],7,0)</f>
        <v>Украина</v>
      </c>
      <c r="T464" s="26"/>
    </row>
    <row r="465" spans="1:20" ht="19.5" x14ac:dyDescent="0.4">
      <c r="A465" s="37">
        <v>464</v>
      </c>
      <c r="B465" s="31">
        <v>427</v>
      </c>
      <c r="C465" s="31">
        <v>307</v>
      </c>
      <c r="D465" s="31">
        <v>5</v>
      </c>
      <c r="E465" s="31">
        <v>1535</v>
      </c>
      <c r="F465" s="38">
        <v>45102</v>
      </c>
      <c r="G465" s="31" t="s">
        <v>24</v>
      </c>
      <c r="H465" s="31">
        <v>191</v>
      </c>
      <c r="I465" s="31" t="str">
        <f>VLOOKUP(продажи!$B465,товар!$A$1:$C$433,2)</f>
        <v>Хлеб</v>
      </c>
      <c r="J465" s="31" t="str">
        <f>VLOOKUP(B465,товар!$A$1:$C$433,3)</f>
        <v>Русский Хлеб</v>
      </c>
      <c r="K465" s="39">
        <f>AVERAGEIF(продажи!$I$2:$I$1001,продажи!$I$2:$I$1001,продажи!$C$2:$C$1001)</f>
        <v>300.31818181818181</v>
      </c>
      <c r="L465" s="40">
        <f>продажи!$C465/продажи!$K465-1</f>
        <v>2.2249129710912641E-2</v>
      </c>
      <c r="M465" s="33">
        <f t="shared" si="14"/>
        <v>3166</v>
      </c>
      <c r="N465" s="24">
        <f>Таблица1[[#This Row],[цена за шт в рублях]]/Таблица1[[#This Row],[средняя стоимость в категории по поставщику.]]-1</f>
        <v>-0.90303221730890715</v>
      </c>
      <c r="O465" s="26">
        <f>VLOOKUP(Таблица1[[#This Row],[id клиента]],клиенты!$A$2:$E$435,5,0)</f>
        <v>44866</v>
      </c>
      <c r="P465">
        <f>Таблица1[[#This Row],[дата создания чека]]-Таблица1[[#This Row],[Дата регистрации клента]]</f>
        <v>236</v>
      </c>
      <c r="Q465" s="26">
        <f t="shared" ca="1" si="15"/>
        <v>46059</v>
      </c>
      <c r="R465" s="51">
        <f ca="1">(TODAY()-Таблица1[[#This Row],[Дата регистрации клента]])/30</f>
        <v>39.766666666666666</v>
      </c>
      <c r="S465" s="63" t="str">
        <f>VLOOKUP(Таблица1[[#This Row],[id клиента]],Таблица8[[id клиента]:[Страна]],7,0)</f>
        <v>Украина</v>
      </c>
      <c r="T465" s="26"/>
    </row>
    <row r="466" spans="1:20" ht="19.5" x14ac:dyDescent="0.4">
      <c r="A466" s="41">
        <v>465</v>
      </c>
      <c r="B466" s="42">
        <v>129</v>
      </c>
      <c r="C466" s="42">
        <v>121</v>
      </c>
      <c r="D466" s="42">
        <v>5</v>
      </c>
      <c r="E466" s="42">
        <v>605</v>
      </c>
      <c r="F466" s="43">
        <v>45156</v>
      </c>
      <c r="G466" s="42" t="s">
        <v>24</v>
      </c>
      <c r="H466" s="42">
        <v>277</v>
      </c>
      <c r="I466" s="42" t="str">
        <f>VLOOKUP(продажи!$B466,товар!$A$1:$C$433,2)</f>
        <v>Мясо</v>
      </c>
      <c r="J466" s="42" t="str">
        <f>VLOOKUP(B466,товар!$A$1:$C$433,3)</f>
        <v>Агрокомплекс</v>
      </c>
      <c r="K466" s="44">
        <f>AVERAGEIF(продажи!$I$2:$I$1001,продажи!$I$2:$I$1001,продажи!$C$2:$C$1001)</f>
        <v>271.74545454545455</v>
      </c>
      <c r="L466" s="45">
        <f>продажи!$C466/продажи!$K466-1</f>
        <v>-0.55473036263883313</v>
      </c>
      <c r="M466" s="33">
        <f t="shared" si="14"/>
        <v>3112</v>
      </c>
      <c r="N466" s="24">
        <f>Таблица1[[#This Row],[цена за шт в рублях]]/Таблица1[[#This Row],[средняя стоимость в категории по поставщику.]]-1</f>
        <v>-0.96111825192802058</v>
      </c>
      <c r="O466" s="26">
        <f>VLOOKUP(Таблица1[[#This Row],[id клиента]],клиенты!$A$2:$E$435,5,0)</f>
        <v>44750</v>
      </c>
      <c r="P466">
        <f>Таблица1[[#This Row],[дата создания чека]]-Таблица1[[#This Row],[Дата регистрации клента]]</f>
        <v>406</v>
      </c>
      <c r="Q466" s="26">
        <f t="shared" ca="1" si="15"/>
        <v>46059</v>
      </c>
      <c r="R466" s="51">
        <f ca="1">(TODAY()-Таблица1[[#This Row],[Дата регистрации клента]])/30</f>
        <v>43.633333333333333</v>
      </c>
      <c r="S466" s="63" t="str">
        <f>VLOOKUP(Таблица1[[#This Row],[id клиента]],Таблица8[[id клиента]:[Страна]],7,0)</f>
        <v>Россия</v>
      </c>
      <c r="T466" s="26"/>
    </row>
    <row r="467" spans="1:20" ht="19.5" x14ac:dyDescent="0.4">
      <c r="A467" s="37">
        <v>466</v>
      </c>
      <c r="B467" s="31">
        <v>84</v>
      </c>
      <c r="C467" s="31">
        <v>265</v>
      </c>
      <c r="D467" s="31">
        <v>2</v>
      </c>
      <c r="E467" s="31">
        <v>530</v>
      </c>
      <c r="F467" s="38">
        <v>45067</v>
      </c>
      <c r="G467" s="31" t="s">
        <v>8</v>
      </c>
      <c r="H467" s="31">
        <v>101</v>
      </c>
      <c r="I467" s="31" t="str">
        <f>VLOOKUP(продажи!$B467,товар!$A$1:$C$433,2)</f>
        <v>Кофе</v>
      </c>
      <c r="J467" s="31" t="str">
        <f>VLOOKUP(B467,товар!$A$1:$C$433,3)</f>
        <v>Tchibo</v>
      </c>
      <c r="K467" s="39">
        <f>AVERAGEIF(продажи!$I$2:$I$1001,продажи!$I$2:$I$1001,продажи!$C$2:$C$1001)</f>
        <v>249.02380952380952</v>
      </c>
      <c r="L467" s="40">
        <f>продажи!$C467/продажи!$K467-1</f>
        <v>6.4155272970647381E-2</v>
      </c>
      <c r="M467" s="33">
        <f t="shared" si="14"/>
        <v>420</v>
      </c>
      <c r="N467" s="24">
        <f>Таблица1[[#This Row],[цена за шт в рублях]]/Таблица1[[#This Row],[средняя стоимость в категории по поставщику.]]-1</f>
        <v>-0.36904761904761907</v>
      </c>
      <c r="O467" s="26">
        <f>VLOOKUP(Таблица1[[#This Row],[id клиента]],клиенты!$A$2:$E$435,5,0)</f>
        <v>44727</v>
      </c>
      <c r="P467">
        <f>Таблица1[[#This Row],[дата создания чека]]-Таблица1[[#This Row],[Дата регистрации клента]]</f>
        <v>340</v>
      </c>
      <c r="Q467" s="26">
        <f t="shared" ca="1" si="15"/>
        <v>46059</v>
      </c>
      <c r="R467" s="51">
        <f ca="1">(TODAY()-Таблица1[[#This Row],[Дата регистрации клента]])/30</f>
        <v>44.4</v>
      </c>
      <c r="S467" s="63" t="str">
        <f>VLOOKUP(Таблица1[[#This Row],[id клиента]],Таблица8[[id клиента]:[Страна]],7,0)</f>
        <v>Россия</v>
      </c>
      <c r="T467" s="26"/>
    </row>
    <row r="468" spans="1:20" ht="19.5" x14ac:dyDescent="0.4">
      <c r="A468" s="41">
        <v>467</v>
      </c>
      <c r="B468" s="42">
        <v>172</v>
      </c>
      <c r="C468" s="42">
        <v>451</v>
      </c>
      <c r="D468" s="42">
        <v>2</v>
      </c>
      <c r="E468" s="42">
        <v>902</v>
      </c>
      <c r="F468" s="43">
        <v>45217</v>
      </c>
      <c r="G468" s="42" t="s">
        <v>26</v>
      </c>
      <c r="H468" s="42">
        <v>141</v>
      </c>
      <c r="I468" s="42" t="str">
        <f>VLOOKUP(продажи!$B468,товар!$A$1:$C$433,2)</f>
        <v>Фрукты</v>
      </c>
      <c r="J468" s="42" t="str">
        <f>VLOOKUP(B468,товар!$A$1:$C$433,3)</f>
        <v>Green Garden</v>
      </c>
      <c r="K468" s="44">
        <f>AVERAGEIF(продажи!$I$2:$I$1001,продажи!$I$2:$I$1001,продажи!$C$2:$C$1001)</f>
        <v>274.16279069767444</v>
      </c>
      <c r="L468" s="45">
        <f>продажи!$C468/продажи!$K468-1</f>
        <v>0.64500805835948749</v>
      </c>
      <c r="M468" s="33">
        <f t="shared" si="14"/>
        <v>1846</v>
      </c>
      <c r="N468" s="24">
        <f>Таблица1[[#This Row],[цена за шт в рублях]]/Таблица1[[#This Row],[средняя стоимость в категории по поставщику.]]-1</f>
        <v>-0.75568797399783316</v>
      </c>
      <c r="O468" s="26">
        <f>VLOOKUP(Таблица1[[#This Row],[id клиента]],клиенты!$A$2:$E$435,5,0)</f>
        <v>44743</v>
      </c>
      <c r="P468">
        <f>Таблица1[[#This Row],[дата создания чека]]-Таблица1[[#This Row],[Дата регистрации клента]]</f>
        <v>474</v>
      </c>
      <c r="Q468" s="26">
        <f t="shared" ca="1" si="15"/>
        <v>46059</v>
      </c>
      <c r="R468" s="51">
        <f ca="1">(TODAY()-Таблица1[[#This Row],[Дата регистрации клента]])/30</f>
        <v>43.866666666666667</v>
      </c>
      <c r="S468" s="63" t="str">
        <f>VLOOKUP(Таблица1[[#This Row],[id клиента]],Таблица8[[id клиента]:[Страна]],7,0)</f>
        <v>Россия</v>
      </c>
      <c r="T468" s="26"/>
    </row>
    <row r="469" spans="1:20" ht="19.5" x14ac:dyDescent="0.4">
      <c r="A469" s="37">
        <v>468</v>
      </c>
      <c r="B469" s="31">
        <v>348</v>
      </c>
      <c r="C469" s="31">
        <v>212</v>
      </c>
      <c r="D469" s="31">
        <v>5</v>
      </c>
      <c r="E469" s="31">
        <v>1060</v>
      </c>
      <c r="F469" s="38">
        <v>45231</v>
      </c>
      <c r="G469" s="31" t="s">
        <v>11</v>
      </c>
      <c r="H469" s="31">
        <v>126</v>
      </c>
      <c r="I469" s="31" t="str">
        <f>VLOOKUP(продажи!$B469,товар!$A$1:$C$433,2)</f>
        <v>Чипсы</v>
      </c>
      <c r="J469" s="31" t="str">
        <f>VLOOKUP(B469,товар!$A$1:$C$433,3)</f>
        <v>Estrella</v>
      </c>
      <c r="K469" s="39">
        <f>AVERAGEIF(продажи!$I$2:$I$1001,продажи!$I$2:$I$1001,продажи!$C$2:$C$1001)</f>
        <v>273.72549019607845</v>
      </c>
      <c r="L469" s="40">
        <f>продажи!$C469/продажи!$K469-1</f>
        <v>-0.22550143266475653</v>
      </c>
      <c r="M469" s="33">
        <f t="shared" si="14"/>
        <v>2929</v>
      </c>
      <c r="N469" s="24">
        <f>Таблица1[[#This Row],[цена за шт в рублях]]/Таблица1[[#This Row],[средняя стоимость в категории по поставщику.]]-1</f>
        <v>-0.92762034824172068</v>
      </c>
      <c r="O469" s="26">
        <f>VLOOKUP(Таблица1[[#This Row],[id клиента]],клиенты!$A$2:$E$435,5,0)</f>
        <v>44822</v>
      </c>
      <c r="P469">
        <f>Таблица1[[#This Row],[дата создания чека]]-Таблица1[[#This Row],[Дата регистрации клента]]</f>
        <v>409</v>
      </c>
      <c r="Q469" s="26">
        <f t="shared" ca="1" si="15"/>
        <v>46059</v>
      </c>
      <c r="R469" s="51">
        <f ca="1">(TODAY()-Таблица1[[#This Row],[Дата регистрации клента]])/30</f>
        <v>41.233333333333334</v>
      </c>
      <c r="S469" s="63" t="str">
        <f>VLOOKUP(Таблица1[[#This Row],[id клиента]],Таблица8[[id клиента]:[Страна]],7,0)</f>
        <v>Узбекистан</v>
      </c>
      <c r="T469" s="26"/>
    </row>
    <row r="470" spans="1:20" ht="19.5" x14ac:dyDescent="0.4">
      <c r="A470" s="41">
        <v>469</v>
      </c>
      <c r="B470" s="42">
        <v>171</v>
      </c>
      <c r="C470" s="42">
        <v>336</v>
      </c>
      <c r="D470" s="42">
        <v>4</v>
      </c>
      <c r="E470" s="42">
        <v>1344</v>
      </c>
      <c r="F470" s="43">
        <v>45021</v>
      </c>
      <c r="G470" s="42" t="s">
        <v>15</v>
      </c>
      <c r="H470" s="42">
        <v>148</v>
      </c>
      <c r="I470" s="42" t="str">
        <f>VLOOKUP(продажи!$B470,товар!$A$1:$C$433,2)</f>
        <v>Чай</v>
      </c>
      <c r="J470" s="42" t="str">
        <f>VLOOKUP(B470,товар!$A$1:$C$433,3)</f>
        <v>Greenfield</v>
      </c>
      <c r="K470" s="44">
        <f>AVERAGEIF(продажи!$I$2:$I$1001,продажи!$I$2:$I$1001,продажи!$C$2:$C$1001)</f>
        <v>271.18181818181819</v>
      </c>
      <c r="L470" s="45">
        <f>продажи!$C470/продажи!$K470-1</f>
        <v>0.23902111967817641</v>
      </c>
      <c r="M470" s="33">
        <f t="shared" si="14"/>
        <v>6412</v>
      </c>
      <c r="N470" s="24">
        <f>Таблица1[[#This Row],[цена за шт в рублях]]/Таблица1[[#This Row],[средняя стоимость в категории по поставщику.]]-1</f>
        <v>-0.94759825327510916</v>
      </c>
      <c r="O470" s="26">
        <f>VLOOKUP(Таблица1[[#This Row],[id клиента]],клиенты!$A$2:$E$435,5,0)</f>
        <v>44700</v>
      </c>
      <c r="P470">
        <f>Таблица1[[#This Row],[дата создания чека]]-Таблица1[[#This Row],[Дата регистрации клента]]</f>
        <v>321</v>
      </c>
      <c r="Q470" s="26">
        <f t="shared" ca="1" si="15"/>
        <v>46059</v>
      </c>
      <c r="R470" s="51">
        <f ca="1">(TODAY()-Таблица1[[#This Row],[Дата регистрации клента]])/30</f>
        <v>45.3</v>
      </c>
      <c r="S470" s="63" t="str">
        <f>VLOOKUP(Таблица1[[#This Row],[id клиента]],Таблица8[[id клиента]:[Страна]],7,0)</f>
        <v>Россия</v>
      </c>
      <c r="T470" s="26"/>
    </row>
    <row r="471" spans="1:20" ht="19.5" x14ac:dyDescent="0.4">
      <c r="A471" s="37">
        <v>470</v>
      </c>
      <c r="B471" s="31">
        <v>70</v>
      </c>
      <c r="C471" s="31">
        <v>407</v>
      </c>
      <c r="D471" s="31">
        <v>2</v>
      </c>
      <c r="E471" s="31">
        <v>814</v>
      </c>
      <c r="F471" s="38">
        <v>45197</v>
      </c>
      <c r="G471" s="31" t="s">
        <v>14</v>
      </c>
      <c r="H471" s="31">
        <v>334</v>
      </c>
      <c r="I471" s="31" t="str">
        <f>VLOOKUP(продажи!$B471,товар!$A$1:$C$433,2)</f>
        <v>Рис</v>
      </c>
      <c r="J471" s="31" t="str">
        <f>VLOOKUP(B471,товар!$A$1:$C$433,3)</f>
        <v>Мистраль</v>
      </c>
      <c r="K471" s="39">
        <f>AVERAGEIF(продажи!$I$2:$I$1001,продажи!$I$2:$I$1001,продажи!$C$2:$C$1001)</f>
        <v>258.375</v>
      </c>
      <c r="L471" s="40">
        <f>продажи!$C471/продажи!$K471-1</f>
        <v>0.57522980164489601</v>
      </c>
      <c r="M471" s="33">
        <f t="shared" si="14"/>
        <v>1271</v>
      </c>
      <c r="N471" s="24">
        <f>Таблица1[[#This Row],[цена за шт в рублях]]/Таблица1[[#This Row],[средняя стоимость в категории по поставщику.]]-1</f>
        <v>-0.67977970102281671</v>
      </c>
      <c r="O471" s="26">
        <f>VLOOKUP(Таблица1[[#This Row],[id клиента]],клиенты!$A$2:$E$435,5,0)</f>
        <v>44881</v>
      </c>
      <c r="P471">
        <f>Таблица1[[#This Row],[дата создания чека]]-Таблица1[[#This Row],[Дата регистрации клента]]</f>
        <v>316</v>
      </c>
      <c r="Q471" s="26">
        <f t="shared" ca="1" si="15"/>
        <v>46059</v>
      </c>
      <c r="R471" s="51">
        <f ca="1">(TODAY()-Таблица1[[#This Row],[Дата регистрации клента]])/30</f>
        <v>39.266666666666666</v>
      </c>
      <c r="S471" s="63" t="str">
        <f>VLOOKUP(Таблица1[[#This Row],[id клиента]],Таблица8[[id клиента]:[Страна]],7,0)</f>
        <v>Украина</v>
      </c>
      <c r="T471" s="26"/>
    </row>
    <row r="472" spans="1:20" ht="19.5" x14ac:dyDescent="0.4">
      <c r="A472" s="41">
        <v>471</v>
      </c>
      <c r="B472" s="42">
        <v>476</v>
      </c>
      <c r="C472" s="42">
        <v>109</v>
      </c>
      <c r="D472" s="42">
        <v>4</v>
      </c>
      <c r="E472" s="42">
        <v>436</v>
      </c>
      <c r="F472" s="43">
        <v>45087</v>
      </c>
      <c r="G472" s="42" t="s">
        <v>14</v>
      </c>
      <c r="H472" s="42">
        <v>335</v>
      </c>
      <c r="I472" s="42" t="str">
        <f>VLOOKUP(продажи!$B472,товар!$A$1:$C$433,2)</f>
        <v>Рыба</v>
      </c>
      <c r="J472" s="42" t="str">
        <f>VLOOKUP(B472,товар!$A$1:$C$433,3)</f>
        <v>Балтийский берег</v>
      </c>
      <c r="K472" s="44">
        <f>AVERAGEIF(продажи!$I$2:$I$1001,продажи!$I$2:$I$1001,продажи!$C$2:$C$1001)</f>
        <v>258.5128205128205</v>
      </c>
      <c r="L472" s="45">
        <f>продажи!$C472/продажи!$K472-1</f>
        <v>-0.5783574687561992</v>
      </c>
      <c r="M472" s="33">
        <f t="shared" si="14"/>
        <v>2609</v>
      </c>
      <c r="N472" s="24">
        <f>Таблица1[[#This Row],[цена за шт в рублях]]/Таблица1[[#This Row],[средняя стоимость в категории по поставщику.]]-1</f>
        <v>-0.95822154082023769</v>
      </c>
      <c r="O472" s="26">
        <f>VLOOKUP(Таблица1[[#This Row],[id клиента]],клиенты!$A$2:$E$435,5,0)</f>
        <v>44619</v>
      </c>
      <c r="P472">
        <f>Таблица1[[#This Row],[дата создания чека]]-Таблица1[[#This Row],[Дата регистрации клента]]</f>
        <v>468</v>
      </c>
      <c r="Q472" s="26">
        <f t="shared" ca="1" si="15"/>
        <v>46059</v>
      </c>
      <c r="R472" s="51">
        <f ca="1">(TODAY()-Таблица1[[#This Row],[Дата регистрации клента]])/30</f>
        <v>48</v>
      </c>
      <c r="S472" s="63" t="str">
        <f>VLOOKUP(Таблица1[[#This Row],[id клиента]],Таблица8[[id клиента]:[Страна]],7,0)</f>
        <v>Узбекистан</v>
      </c>
      <c r="T472" s="26"/>
    </row>
    <row r="473" spans="1:20" ht="19.5" x14ac:dyDescent="0.4">
      <c r="A473" s="37">
        <v>472</v>
      </c>
      <c r="B473" s="31">
        <v>49</v>
      </c>
      <c r="C473" s="31">
        <v>412</v>
      </c>
      <c r="D473" s="31">
        <v>3</v>
      </c>
      <c r="E473" s="31">
        <v>1236</v>
      </c>
      <c r="F473" s="38">
        <v>45165</v>
      </c>
      <c r="G473" s="31" t="s">
        <v>16</v>
      </c>
      <c r="H473" s="31">
        <v>370</v>
      </c>
      <c r="I473" s="31" t="str">
        <f>VLOOKUP(продажи!$B473,товар!$A$1:$C$433,2)</f>
        <v>Рис</v>
      </c>
      <c r="J473" s="31" t="str">
        <f>VLOOKUP(B473,товар!$A$1:$C$433,3)</f>
        <v>Агро-Альянс</v>
      </c>
      <c r="K473" s="39">
        <f>AVERAGEIF(продажи!$I$2:$I$1001,продажи!$I$2:$I$1001,продажи!$C$2:$C$1001)</f>
        <v>258.375</v>
      </c>
      <c r="L473" s="40">
        <f>продажи!$C473/продажи!$K473-1</f>
        <v>0.59458151910982093</v>
      </c>
      <c r="M473" s="33">
        <f t="shared" si="14"/>
        <v>2225</v>
      </c>
      <c r="N473" s="24">
        <f>Таблица1[[#This Row],[цена за шт в рублях]]/Таблица1[[#This Row],[средняя стоимость в категории по поставщику.]]-1</f>
        <v>-0.81483146067415735</v>
      </c>
      <c r="O473" s="26">
        <f>VLOOKUP(Таблица1[[#This Row],[id клиента]],клиенты!$A$2:$E$435,5,0)</f>
        <v>44726</v>
      </c>
      <c r="P473">
        <f>Таблица1[[#This Row],[дата создания чека]]-Таблица1[[#This Row],[Дата регистрации клента]]</f>
        <v>439</v>
      </c>
      <c r="Q473" s="26">
        <f t="shared" ca="1" si="15"/>
        <v>46059</v>
      </c>
      <c r="R473" s="51">
        <f ca="1">(TODAY()-Таблица1[[#This Row],[Дата регистрации клента]])/30</f>
        <v>44.43333333333333</v>
      </c>
      <c r="S473" s="63" t="str">
        <f>VLOOKUP(Таблица1[[#This Row],[id клиента]],Таблица8[[id клиента]:[Страна]],7,0)</f>
        <v>Таджикистан</v>
      </c>
      <c r="T473" s="26"/>
    </row>
    <row r="474" spans="1:20" ht="19.5" x14ac:dyDescent="0.4">
      <c r="A474" s="41">
        <v>473</v>
      </c>
      <c r="B474" s="42">
        <v>7</v>
      </c>
      <c r="C474" s="42">
        <v>254</v>
      </c>
      <c r="D474" s="42">
        <v>2</v>
      </c>
      <c r="E474" s="42">
        <v>508</v>
      </c>
      <c r="F474" s="43">
        <v>45271</v>
      </c>
      <c r="G474" s="42" t="s">
        <v>13</v>
      </c>
      <c r="H474" s="42">
        <v>76</v>
      </c>
      <c r="I474" s="42" t="str">
        <f>VLOOKUP(продажи!$B474,товар!$A$1:$C$433,2)</f>
        <v>Сыр</v>
      </c>
      <c r="J474" s="42" t="str">
        <f>VLOOKUP(B474,товар!$A$1:$C$433,3)</f>
        <v>President</v>
      </c>
      <c r="K474" s="44">
        <f>AVERAGEIF(продажи!$I$2:$I$1001,продажи!$I$2:$I$1001,продажи!$C$2:$C$1001)</f>
        <v>261.03225806451616</v>
      </c>
      <c r="L474" s="45">
        <f>продажи!$C474/продажи!$K474-1</f>
        <v>-2.6940187839841867E-2</v>
      </c>
      <c r="M474" s="33">
        <f t="shared" si="14"/>
        <v>3935</v>
      </c>
      <c r="N474" s="24">
        <f>Таблица1[[#This Row],[цена за шт в рублях]]/Таблица1[[#This Row],[средняя стоимость в категории по поставщику.]]-1</f>
        <v>-0.93545108005082589</v>
      </c>
      <c r="O474" s="26">
        <f>VLOOKUP(Таблица1[[#This Row],[id клиента]],клиенты!$A$2:$E$435,5,0)</f>
        <v>44575</v>
      </c>
      <c r="P474">
        <f>Таблица1[[#This Row],[дата создания чека]]-Таблица1[[#This Row],[Дата регистрации клента]]</f>
        <v>696</v>
      </c>
      <c r="Q474" s="26">
        <f t="shared" ca="1" si="15"/>
        <v>46059</v>
      </c>
      <c r="R474" s="51">
        <f ca="1">(TODAY()-Таблица1[[#This Row],[Дата регистрации клента]])/30</f>
        <v>49.466666666666669</v>
      </c>
      <c r="S474" s="63" t="str">
        <f>VLOOKUP(Таблица1[[#This Row],[id клиента]],Таблица8[[id клиента]:[Страна]],7,0)</f>
        <v>Беларусь</v>
      </c>
      <c r="T474" s="26"/>
    </row>
    <row r="475" spans="1:20" ht="19.5" x14ac:dyDescent="0.4">
      <c r="A475" s="37">
        <v>474</v>
      </c>
      <c r="B475" s="31">
        <v>180</v>
      </c>
      <c r="C475" s="31">
        <v>338</v>
      </c>
      <c r="D475" s="31">
        <v>3</v>
      </c>
      <c r="E475" s="31">
        <v>1014</v>
      </c>
      <c r="F475" s="38">
        <v>45158</v>
      </c>
      <c r="G475" s="31" t="s">
        <v>20</v>
      </c>
      <c r="H475" s="31">
        <v>25</v>
      </c>
      <c r="I475" s="31" t="str">
        <f>VLOOKUP(продажи!$B475,товар!$A$1:$C$433,2)</f>
        <v>Чипсы</v>
      </c>
      <c r="J475" s="31" t="str">
        <f>VLOOKUP(B475,товар!$A$1:$C$433,3)</f>
        <v>Русская картошка</v>
      </c>
      <c r="K475" s="39">
        <f>AVERAGEIF(продажи!$I$2:$I$1001,продажи!$I$2:$I$1001,продажи!$C$2:$C$1001)</f>
        <v>273.72549019607845</v>
      </c>
      <c r="L475" s="40">
        <f>продажи!$C475/продажи!$K475-1</f>
        <v>0.2348137535816619</v>
      </c>
      <c r="M475" s="33">
        <f t="shared" si="14"/>
        <v>2902</v>
      </c>
      <c r="N475" s="24">
        <f>Таблица1[[#This Row],[цена за шт в рублях]]/Таблица1[[#This Row],[средняя стоимость в категории по поставщику.]]-1</f>
        <v>-0.88352860096485186</v>
      </c>
      <c r="O475" s="26">
        <f>VLOOKUP(Таблица1[[#This Row],[id клиента]],клиенты!$A$2:$E$435,5,0)</f>
        <v>44582</v>
      </c>
      <c r="P475">
        <f>Таблица1[[#This Row],[дата создания чека]]-Таблица1[[#This Row],[Дата регистрации клента]]</f>
        <v>576</v>
      </c>
      <c r="Q475" s="26">
        <f t="shared" ca="1" si="15"/>
        <v>46059</v>
      </c>
      <c r="R475" s="51">
        <f ca="1">(TODAY()-Таблица1[[#This Row],[Дата регистрации клента]])/30</f>
        <v>49.233333333333334</v>
      </c>
      <c r="S475" s="63" t="str">
        <f>VLOOKUP(Таблица1[[#This Row],[id клиента]],Таблица8[[id клиента]:[Страна]],7,0)</f>
        <v>Таджикистан</v>
      </c>
      <c r="T475" s="26"/>
    </row>
    <row r="476" spans="1:20" ht="19.5" x14ac:dyDescent="0.4">
      <c r="A476" s="41">
        <v>475</v>
      </c>
      <c r="B476" s="42">
        <v>194</v>
      </c>
      <c r="C476" s="42">
        <v>268</v>
      </c>
      <c r="D476" s="42">
        <v>5</v>
      </c>
      <c r="E476" s="42">
        <v>1340</v>
      </c>
      <c r="F476" s="43">
        <v>45408</v>
      </c>
      <c r="G476" s="42" t="s">
        <v>24</v>
      </c>
      <c r="H476" s="42">
        <v>80</v>
      </c>
      <c r="I476" s="42" t="str">
        <f>VLOOKUP(продажи!$B476,товар!$A$1:$C$433,2)</f>
        <v>Соль</v>
      </c>
      <c r="J476" s="42" t="str">
        <f>VLOOKUP(B476,товар!$A$1:$C$433,3)</f>
        <v>Салта</v>
      </c>
      <c r="K476" s="44">
        <f>AVERAGEIF(продажи!$I$2:$I$1001,продажи!$I$2:$I$1001,продажи!$C$2:$C$1001)</f>
        <v>264.8679245283019</v>
      </c>
      <c r="L476" s="45">
        <f>продажи!$C476/продажи!$K476-1</f>
        <v>1.1825046302892162E-2</v>
      </c>
      <c r="M476" s="33">
        <f t="shared" si="14"/>
        <v>2737</v>
      </c>
      <c r="N476" s="24">
        <f>Таблица1[[#This Row],[цена за шт в рублях]]/Таблица1[[#This Row],[средняя стоимость в категории по поставщику.]]-1</f>
        <v>-0.90208257215929855</v>
      </c>
      <c r="O476" s="26">
        <f>VLOOKUP(Таблица1[[#This Row],[id клиента]],клиенты!$A$2:$E$435,5,0)</f>
        <v>44623</v>
      </c>
      <c r="P476">
        <f>Таблица1[[#This Row],[дата создания чека]]-Таблица1[[#This Row],[Дата регистрации клента]]</f>
        <v>785</v>
      </c>
      <c r="Q476" s="26">
        <f t="shared" ca="1" si="15"/>
        <v>46059</v>
      </c>
      <c r="R476" s="51">
        <f ca="1">(TODAY()-Таблица1[[#This Row],[Дата регистрации клента]])/30</f>
        <v>47.866666666666667</v>
      </c>
      <c r="S476" s="63" t="str">
        <f>VLOOKUP(Таблица1[[#This Row],[id клиента]],Таблица8[[id клиента]:[Страна]],7,0)</f>
        <v>Беларусь</v>
      </c>
      <c r="T476" s="26"/>
    </row>
    <row r="477" spans="1:20" ht="19.5" x14ac:dyDescent="0.4">
      <c r="A477" s="37">
        <v>476</v>
      </c>
      <c r="B477" s="31">
        <v>312</v>
      </c>
      <c r="C477" s="31">
        <v>223</v>
      </c>
      <c r="D477" s="31">
        <v>2</v>
      </c>
      <c r="E477" s="31">
        <v>446</v>
      </c>
      <c r="F477" s="38">
        <v>44991</v>
      </c>
      <c r="G477" s="31" t="s">
        <v>12</v>
      </c>
      <c r="H477" s="31">
        <v>276</v>
      </c>
      <c r="I477" s="31" t="str">
        <f>VLOOKUP(продажи!$B477,товар!$A$1:$C$433,2)</f>
        <v>Хлеб</v>
      </c>
      <c r="J477" s="31" t="str">
        <f>VLOOKUP(B477,товар!$A$1:$C$433,3)</f>
        <v>Каравай</v>
      </c>
      <c r="K477" s="39">
        <f>AVERAGEIF(продажи!$I$2:$I$1001,продажи!$I$2:$I$1001,продажи!$C$2:$C$1001)</f>
        <v>300.31818181818181</v>
      </c>
      <c r="L477" s="40">
        <f>продажи!$C477/продажи!$K477-1</f>
        <v>-0.2574542152262751</v>
      </c>
      <c r="M477" s="33">
        <f t="shared" si="14"/>
        <v>3974</v>
      </c>
      <c r="N477" s="24">
        <f>Таблица1[[#This Row],[цена за шт в рублях]]/Таблица1[[#This Row],[средняя стоимость в категории по поставщику.]]-1</f>
        <v>-0.94388525415198787</v>
      </c>
      <c r="O477" s="26">
        <f>VLOOKUP(Таблица1[[#This Row],[id клиента]],клиенты!$A$2:$E$435,5,0)</f>
        <v>44632</v>
      </c>
      <c r="P477">
        <f>Таблица1[[#This Row],[дата создания чека]]-Таблица1[[#This Row],[Дата регистрации клента]]</f>
        <v>359</v>
      </c>
      <c r="Q477" s="26">
        <f t="shared" ca="1" si="15"/>
        <v>46059</v>
      </c>
      <c r="R477" s="51">
        <f ca="1">(TODAY()-Таблица1[[#This Row],[Дата регистрации клента]])/30</f>
        <v>47.56666666666667</v>
      </c>
      <c r="S477" s="63" t="str">
        <f>VLOOKUP(Таблица1[[#This Row],[id клиента]],Таблица8[[id клиента]:[Страна]],7,0)</f>
        <v>Таджикистан</v>
      </c>
      <c r="T477" s="26"/>
    </row>
    <row r="478" spans="1:20" ht="19.5" x14ac:dyDescent="0.4">
      <c r="A478" s="41">
        <v>477</v>
      </c>
      <c r="B478" s="42">
        <v>235</v>
      </c>
      <c r="C478" s="42">
        <v>455</v>
      </c>
      <c r="D478" s="42">
        <v>5</v>
      </c>
      <c r="E478" s="42">
        <v>2275</v>
      </c>
      <c r="F478" s="43">
        <v>45038</v>
      </c>
      <c r="G478" s="42" t="s">
        <v>25</v>
      </c>
      <c r="H478" s="42">
        <v>71</v>
      </c>
      <c r="I478" s="42" t="str">
        <f>VLOOKUP(продажи!$B478,товар!$A$1:$C$433,2)</f>
        <v>Хлеб</v>
      </c>
      <c r="J478" s="42" t="str">
        <f>VLOOKUP(B478,товар!$A$1:$C$433,3)</f>
        <v>Русский Хлеб</v>
      </c>
      <c r="K478" s="44">
        <f>AVERAGEIF(продажи!$I$2:$I$1001,продажи!$I$2:$I$1001,продажи!$C$2:$C$1001)</f>
        <v>300.31818181818181</v>
      </c>
      <c r="L478" s="45">
        <f>продажи!$C478/продажи!$K478-1</f>
        <v>0.51505978507643402</v>
      </c>
      <c r="M478" s="33">
        <f t="shared" si="14"/>
        <v>3166</v>
      </c>
      <c r="N478" s="24">
        <f>Таблица1[[#This Row],[цена за шт в рублях]]/Таблица1[[#This Row],[средняя стоимость в категории по поставщику.]]-1</f>
        <v>-0.85628553379658878</v>
      </c>
      <c r="O478" s="26">
        <f>VLOOKUP(Таблица1[[#This Row],[id клиента]],клиенты!$A$2:$E$435,5,0)</f>
        <v>44762</v>
      </c>
      <c r="P478">
        <f>Таблица1[[#This Row],[дата создания чека]]-Таблица1[[#This Row],[Дата регистрации клента]]</f>
        <v>276</v>
      </c>
      <c r="Q478" s="26">
        <f t="shared" ca="1" si="15"/>
        <v>46059</v>
      </c>
      <c r="R478" s="51">
        <f ca="1">(TODAY()-Таблица1[[#This Row],[Дата регистрации клента]])/30</f>
        <v>43.233333333333334</v>
      </c>
      <c r="S478" s="63" t="str">
        <f>VLOOKUP(Таблица1[[#This Row],[id клиента]],Таблица8[[id клиента]:[Страна]],7,0)</f>
        <v>Украина</v>
      </c>
      <c r="T478" s="26"/>
    </row>
    <row r="479" spans="1:20" ht="19.5" x14ac:dyDescent="0.4">
      <c r="A479" s="37">
        <v>478</v>
      </c>
      <c r="B479" s="31">
        <v>399</v>
      </c>
      <c r="C479" s="31">
        <v>379</v>
      </c>
      <c r="D479" s="31">
        <v>1</v>
      </c>
      <c r="E479" s="31">
        <v>379</v>
      </c>
      <c r="F479" s="38">
        <v>45188</v>
      </c>
      <c r="G479" s="31" t="s">
        <v>18</v>
      </c>
      <c r="H479" s="31">
        <v>12</v>
      </c>
      <c r="I479" s="31" t="str">
        <f>VLOOKUP(продажи!$B479,товар!$A$1:$C$433,2)</f>
        <v>Хлеб</v>
      </c>
      <c r="J479" s="31" t="str">
        <f>VLOOKUP(B479,товар!$A$1:$C$433,3)</f>
        <v>Хлебный Дом</v>
      </c>
      <c r="K479" s="39">
        <f>AVERAGEIF(продажи!$I$2:$I$1001,продажи!$I$2:$I$1001,продажи!$C$2:$C$1001)</f>
        <v>300.31818181818181</v>
      </c>
      <c r="L479" s="40">
        <f>продажи!$C479/продажи!$K479-1</f>
        <v>0.26199485394278788</v>
      </c>
      <c r="M479" s="33">
        <f t="shared" si="14"/>
        <v>4226</v>
      </c>
      <c r="N479" s="24">
        <f>Таблица1[[#This Row],[цена за шт в рублях]]/Таблица1[[#This Row],[средняя стоимость в категории по поставщику.]]-1</f>
        <v>-0.91031708471367723</v>
      </c>
      <c r="O479" s="26">
        <f>VLOOKUP(Таблица1[[#This Row],[id клиента]],клиенты!$A$2:$E$435,5,0)</f>
        <v>44842</v>
      </c>
      <c r="P479">
        <f>Таблица1[[#This Row],[дата создания чека]]-Таблица1[[#This Row],[Дата регистрации клента]]</f>
        <v>346</v>
      </c>
      <c r="Q479" s="26">
        <f t="shared" ca="1" si="15"/>
        <v>46059</v>
      </c>
      <c r="R479" s="51">
        <f ca="1">(TODAY()-Таблица1[[#This Row],[Дата регистрации клента]])/30</f>
        <v>40.56666666666667</v>
      </c>
      <c r="S479" s="63" t="str">
        <f>VLOOKUP(Таблица1[[#This Row],[id клиента]],Таблица8[[id клиента]:[Страна]],7,0)</f>
        <v>Беларусь</v>
      </c>
      <c r="T479" s="26"/>
    </row>
    <row r="480" spans="1:20" ht="19.5" x14ac:dyDescent="0.4">
      <c r="A480" s="41">
        <v>479</v>
      </c>
      <c r="B480" s="42">
        <v>494</v>
      </c>
      <c r="C480" s="42">
        <v>216</v>
      </c>
      <c r="D480" s="42">
        <v>3</v>
      </c>
      <c r="E480" s="42">
        <v>648</v>
      </c>
      <c r="F480" s="43">
        <v>45009</v>
      </c>
      <c r="G480" s="42" t="s">
        <v>25</v>
      </c>
      <c r="H480" s="42">
        <v>9</v>
      </c>
      <c r="I480" s="42" t="str">
        <f>VLOOKUP(продажи!$B480,товар!$A$1:$C$433,2)</f>
        <v>Сыр</v>
      </c>
      <c r="J480" s="42" t="str">
        <f>VLOOKUP(B480,товар!$A$1:$C$433,3)</f>
        <v>Сырная долина</v>
      </c>
      <c r="K480" s="44">
        <f>AVERAGEIF(продажи!$I$2:$I$1001,продажи!$I$2:$I$1001,продажи!$C$2:$C$1001)</f>
        <v>261.03225806451616</v>
      </c>
      <c r="L480" s="45">
        <f>продажи!$C480/продажи!$K480-1</f>
        <v>-0.17251606524962937</v>
      </c>
      <c r="M480" s="33">
        <f t="shared" si="14"/>
        <v>8943</v>
      </c>
      <c r="N480" s="24">
        <f>Таблица1[[#This Row],[цена за шт в рублях]]/Таблица1[[#This Row],[средняя стоимость в категории по поставщику.]]-1</f>
        <v>-0.97584703119758465</v>
      </c>
      <c r="O480" s="26">
        <f>VLOOKUP(Таблица1[[#This Row],[id клиента]],клиенты!$A$2:$E$435,5,0)</f>
        <v>44900</v>
      </c>
      <c r="P480">
        <f>Таблица1[[#This Row],[дата создания чека]]-Таблица1[[#This Row],[Дата регистрации клента]]</f>
        <v>109</v>
      </c>
      <c r="Q480" s="26">
        <f t="shared" ca="1" si="15"/>
        <v>46059</v>
      </c>
      <c r="R480" s="51">
        <f ca="1">(TODAY()-Таблица1[[#This Row],[Дата регистрации клента]])/30</f>
        <v>38.633333333333333</v>
      </c>
      <c r="S480" s="63" t="str">
        <f>VLOOKUP(Таблица1[[#This Row],[id клиента]],Таблица8[[id клиента]:[Страна]],7,0)</f>
        <v>Таджикистан</v>
      </c>
      <c r="T480" s="26"/>
    </row>
    <row r="481" spans="1:20" ht="19.5" x14ac:dyDescent="0.4">
      <c r="A481" s="37">
        <v>480</v>
      </c>
      <c r="B481" s="31">
        <v>458</v>
      </c>
      <c r="C481" s="31">
        <v>469</v>
      </c>
      <c r="D481" s="31">
        <v>4</v>
      </c>
      <c r="E481" s="31">
        <v>1876</v>
      </c>
      <c r="F481" s="38">
        <v>45411</v>
      </c>
      <c r="G481" s="31" t="s">
        <v>20</v>
      </c>
      <c r="H481" s="31">
        <v>51</v>
      </c>
      <c r="I481" s="31" t="str">
        <f>VLOOKUP(продажи!$B481,товар!$A$1:$C$433,2)</f>
        <v>Макароны</v>
      </c>
      <c r="J481" s="31" t="str">
        <f>VLOOKUP(B481,товар!$A$1:$C$433,3)</f>
        <v>Борилла</v>
      </c>
      <c r="K481" s="39">
        <f>AVERAGEIF(продажи!$I$2:$I$1001,продажи!$I$2:$I$1001,продажи!$C$2:$C$1001)</f>
        <v>265.47674418604652</v>
      </c>
      <c r="L481" s="40">
        <f>продажи!$C481/продажи!$K481-1</f>
        <v>0.76663308659279039</v>
      </c>
      <c r="M481" s="33">
        <f t="shared" si="14"/>
        <v>6852</v>
      </c>
      <c r="N481" s="24">
        <f>Таблица1[[#This Row],[цена за шт в рублях]]/Таблица1[[#This Row],[средняя стоимость в категории по поставщику.]]-1</f>
        <v>-0.93155283129013422</v>
      </c>
      <c r="O481" s="26">
        <f>VLOOKUP(Таблица1[[#This Row],[id клиента]],клиенты!$A$2:$E$435,5,0)</f>
        <v>44605</v>
      </c>
      <c r="P481">
        <f>Таблица1[[#This Row],[дата создания чека]]-Таблица1[[#This Row],[Дата регистрации клента]]</f>
        <v>806</v>
      </c>
      <c r="Q481" s="26">
        <f t="shared" ca="1" si="15"/>
        <v>46059</v>
      </c>
      <c r="R481" s="51">
        <f ca="1">(TODAY()-Таблица1[[#This Row],[Дата регистрации клента]])/30</f>
        <v>48.466666666666669</v>
      </c>
      <c r="S481" s="63" t="str">
        <f>VLOOKUP(Таблица1[[#This Row],[id клиента]],Таблица8[[id клиента]:[Страна]],7,0)</f>
        <v>Узбекистан</v>
      </c>
      <c r="T481" s="26"/>
    </row>
    <row r="482" spans="1:20" ht="19.5" x14ac:dyDescent="0.4">
      <c r="A482" s="41">
        <v>481</v>
      </c>
      <c r="B482" s="42">
        <v>193</v>
      </c>
      <c r="C482" s="42">
        <v>94</v>
      </c>
      <c r="D482" s="42">
        <v>3</v>
      </c>
      <c r="E482" s="42">
        <v>282</v>
      </c>
      <c r="F482" s="43">
        <v>45106</v>
      </c>
      <c r="G482" s="42" t="s">
        <v>10</v>
      </c>
      <c r="H482" s="42">
        <v>370</v>
      </c>
      <c r="I482" s="42" t="str">
        <f>VLOOKUP(продажи!$B482,товар!$A$1:$C$433,2)</f>
        <v>Соль</v>
      </c>
      <c r="J482" s="42" t="str">
        <f>VLOOKUP(B482,товар!$A$1:$C$433,3)</f>
        <v>Салта</v>
      </c>
      <c r="K482" s="44">
        <f>AVERAGEIF(продажи!$I$2:$I$1001,продажи!$I$2:$I$1001,продажи!$C$2:$C$1001)</f>
        <v>264.8679245283019</v>
      </c>
      <c r="L482" s="45">
        <f>продажи!$C482/продажи!$K482-1</f>
        <v>-0.64510614047585135</v>
      </c>
      <c r="M482" s="33">
        <f t="shared" si="14"/>
        <v>2737</v>
      </c>
      <c r="N482" s="24">
        <f>Таблица1[[#This Row],[цена за шт в рублях]]/Таблица1[[#This Row],[средняя стоимость в категории по поставщику.]]-1</f>
        <v>-0.96565582754841062</v>
      </c>
      <c r="O482" s="26">
        <f>VLOOKUP(Таблица1[[#This Row],[id клиента]],клиенты!$A$2:$E$435,5,0)</f>
        <v>44726</v>
      </c>
      <c r="P482">
        <f>Таблица1[[#This Row],[дата создания чека]]-Таблица1[[#This Row],[Дата регистрации клента]]</f>
        <v>380</v>
      </c>
      <c r="Q482" s="26">
        <f t="shared" ca="1" si="15"/>
        <v>46059</v>
      </c>
      <c r="R482" s="51">
        <f ca="1">(TODAY()-Таблица1[[#This Row],[Дата регистрации клента]])/30</f>
        <v>44.43333333333333</v>
      </c>
      <c r="S482" s="63" t="str">
        <f>VLOOKUP(Таблица1[[#This Row],[id клиента]],Таблица8[[id клиента]:[Страна]],7,0)</f>
        <v>Таджикистан</v>
      </c>
      <c r="T482" s="26"/>
    </row>
    <row r="483" spans="1:20" ht="19.5" x14ac:dyDescent="0.4">
      <c r="A483" s="37">
        <v>482</v>
      </c>
      <c r="B483" s="31">
        <v>450</v>
      </c>
      <c r="C483" s="31">
        <v>494</v>
      </c>
      <c r="D483" s="31">
        <v>4</v>
      </c>
      <c r="E483" s="31">
        <v>1976</v>
      </c>
      <c r="F483" s="38">
        <v>45004</v>
      </c>
      <c r="G483" s="31" t="s">
        <v>23</v>
      </c>
      <c r="H483" s="31">
        <v>17</v>
      </c>
      <c r="I483" s="31" t="str">
        <f>VLOOKUP(продажи!$B483,товар!$A$1:$C$433,2)</f>
        <v>Хлеб</v>
      </c>
      <c r="J483" s="31" t="str">
        <f>VLOOKUP(B483,товар!$A$1:$C$433,3)</f>
        <v>Хлебный Дом</v>
      </c>
      <c r="K483" s="39">
        <f>AVERAGEIF(продажи!$I$2:$I$1001,продажи!$I$2:$I$1001,продажи!$C$2:$C$1001)</f>
        <v>300.31818181818181</v>
      </c>
      <c r="L483" s="40">
        <f>продажи!$C483/продажи!$K483-1</f>
        <v>0.64492205236869982</v>
      </c>
      <c r="M483" s="33">
        <f t="shared" si="14"/>
        <v>4226</v>
      </c>
      <c r="N483" s="24">
        <f>Таблица1[[#This Row],[цена за шт в рублях]]/Таблица1[[#This Row],[средняя стоимость в категории по поставщику.]]-1</f>
        <v>-0.8831045906294368</v>
      </c>
      <c r="O483" s="26">
        <f>VLOOKUP(Таблица1[[#This Row],[id клиента]],клиенты!$A$2:$E$435,5,0)</f>
        <v>44877</v>
      </c>
      <c r="P483">
        <f>Таблица1[[#This Row],[дата создания чека]]-Таблица1[[#This Row],[Дата регистрации клента]]</f>
        <v>127</v>
      </c>
      <c r="Q483" s="26">
        <f t="shared" ca="1" si="15"/>
        <v>46059</v>
      </c>
      <c r="R483" s="51">
        <f ca="1">(TODAY()-Таблица1[[#This Row],[Дата регистрации клента]])/30</f>
        <v>39.4</v>
      </c>
      <c r="S483" s="63" t="str">
        <f>VLOOKUP(Таблица1[[#This Row],[id клиента]],Таблица8[[id клиента]:[Страна]],7,0)</f>
        <v>Таджикистан</v>
      </c>
      <c r="T483" s="26"/>
    </row>
    <row r="484" spans="1:20" ht="19.5" x14ac:dyDescent="0.4">
      <c r="A484" s="37">
        <v>590</v>
      </c>
      <c r="B484" s="31">
        <v>474</v>
      </c>
      <c r="C484" s="31">
        <v>204</v>
      </c>
      <c r="D484" s="31">
        <v>2</v>
      </c>
      <c r="E484" s="31">
        <v>408</v>
      </c>
      <c r="F484" s="57">
        <v>45349</v>
      </c>
      <c r="G484" s="31" t="s">
        <v>23</v>
      </c>
      <c r="H484" s="55">
        <v>153</v>
      </c>
      <c r="I484" s="31" t="str">
        <f>VLOOKUP(продажи!$B591,товар!$A$1:$C$433,2)</f>
        <v>Молоко</v>
      </c>
      <c r="J484" s="31" t="str">
        <f>VLOOKUP(B484,товар!$A$1:$C$433,3)</f>
        <v>Простоквашино</v>
      </c>
      <c r="K484" s="39">
        <f>AVERAGEIF(продажи!$I$2:$I$1001,продажи!$I$2:$I$1001,продажи!$C$2:$C$1001)</f>
        <v>294.95238095238096</v>
      </c>
      <c r="L484" s="40">
        <f>продажи!$C591/продажи!$K591-1</f>
        <v>0.68162738133677747</v>
      </c>
      <c r="M484" s="53">
        <f t="shared" si="14"/>
        <v>3507</v>
      </c>
      <c r="N484" s="24">
        <f>Таблица1[[#This Row],[цена за шт в рублях]]/Таблица1[[#This Row],[средняя стоимость в категории по поставщику.]]-1</f>
        <v>-0.94183062446535504</v>
      </c>
      <c r="O484" s="26">
        <f>VLOOKUP(Таблица1[[#This Row],[id клиента]],клиенты!$A$2:$E$435,5,0)</f>
        <v>44802</v>
      </c>
      <c r="P484">
        <f>Таблица1[[#This Row],[дата создания чека]]-Таблица1[[#This Row],[Дата регистрации клента]]</f>
        <v>547</v>
      </c>
      <c r="Q484" s="26">
        <f t="shared" ca="1" si="15"/>
        <v>46059</v>
      </c>
      <c r="R484" s="51">
        <f ca="1">(TODAY()-Таблица1[[#This Row],[Дата регистрации клента]])/30</f>
        <v>41.9</v>
      </c>
      <c r="S484" s="63" t="str">
        <f>VLOOKUP(Таблица1[[#This Row],[id клиента]],Таблица8[[id клиента]:[Страна]],7,0)</f>
        <v>Россия</v>
      </c>
      <c r="T484" s="26"/>
    </row>
    <row r="485" spans="1:20" ht="19.5" x14ac:dyDescent="0.4">
      <c r="A485" s="37">
        <v>484</v>
      </c>
      <c r="B485" s="31">
        <v>115</v>
      </c>
      <c r="C485" s="31">
        <v>118</v>
      </c>
      <c r="D485" s="31">
        <v>1</v>
      </c>
      <c r="E485" s="31">
        <v>118</v>
      </c>
      <c r="F485" s="38">
        <v>45327</v>
      </c>
      <c r="G485" s="31" t="s">
        <v>9</v>
      </c>
      <c r="H485" s="31">
        <v>481</v>
      </c>
      <c r="I485" s="31" t="str">
        <f>VLOOKUP(продажи!$B485,товар!$A$1:$C$433,2)</f>
        <v>Сыр</v>
      </c>
      <c r="J485" s="31" t="str">
        <f>VLOOKUP(B485,товар!$A$1:$C$433,3)</f>
        <v>President</v>
      </c>
      <c r="K485" s="39">
        <f>AVERAGEIF(продажи!$I$2:$I$1001,продажи!$I$2:$I$1001,продажи!$C$2:$C$1001)</f>
        <v>261.03225806451616</v>
      </c>
      <c r="L485" s="40">
        <f>продажи!$C485/продажи!$K485-1</f>
        <v>-0.54794859120118633</v>
      </c>
      <c r="M485" s="33">
        <f t="shared" si="14"/>
        <v>3935</v>
      </c>
      <c r="N485" s="24">
        <f>Таблица1[[#This Row],[цена за шт в рублях]]/Таблица1[[#This Row],[средняя стоимость в категории по поставщику.]]-1</f>
        <v>-0.97001270648030491</v>
      </c>
      <c r="O485" s="26">
        <f>VLOOKUP(Таблица1[[#This Row],[id клиента]],клиенты!$A$2:$E$435,5,0)</f>
        <v>44756</v>
      </c>
      <c r="P485">
        <f>Таблица1[[#This Row],[дата создания чека]]-Таблица1[[#This Row],[Дата регистрации клента]]</f>
        <v>571</v>
      </c>
      <c r="Q485" s="26">
        <f t="shared" ca="1" si="15"/>
        <v>46059</v>
      </c>
      <c r="R485" s="51">
        <f ca="1">(TODAY()-Таблица1[[#This Row],[Дата регистрации клента]])/30</f>
        <v>43.43333333333333</v>
      </c>
      <c r="S485" s="63" t="str">
        <f>VLOOKUP(Таблица1[[#This Row],[id клиента]],Таблица8[[id клиента]:[Страна]],7,0)</f>
        <v>Беларусь</v>
      </c>
      <c r="T485" s="26"/>
    </row>
    <row r="486" spans="1:20" ht="19.5" x14ac:dyDescent="0.4">
      <c r="A486" s="41">
        <v>485</v>
      </c>
      <c r="B486" s="42">
        <v>163</v>
      </c>
      <c r="C486" s="42">
        <v>344</v>
      </c>
      <c r="D486" s="42">
        <v>1</v>
      </c>
      <c r="E486" s="42">
        <v>344</v>
      </c>
      <c r="F486" s="43">
        <v>45188</v>
      </c>
      <c r="G486" s="42" t="s">
        <v>10</v>
      </c>
      <c r="H486" s="42">
        <v>363</v>
      </c>
      <c r="I486" s="42" t="str">
        <f>VLOOKUP(продажи!$B486,товар!$A$1:$C$433,2)</f>
        <v>Соль</v>
      </c>
      <c r="J486" s="42" t="str">
        <f>VLOOKUP(B486,товар!$A$1:$C$433,3)</f>
        <v>Экстра</v>
      </c>
      <c r="K486" s="44">
        <f>AVERAGEIF(продажи!$I$2:$I$1001,продажи!$I$2:$I$1001,продажи!$C$2:$C$1001)</f>
        <v>264.8679245283019</v>
      </c>
      <c r="L486" s="45">
        <f>продажи!$C486/продажи!$K486-1</f>
        <v>0.298760507194757</v>
      </c>
      <c r="M486" s="33">
        <f t="shared" si="14"/>
        <v>4171</v>
      </c>
      <c r="N486" s="24">
        <f>Таблица1[[#This Row],[цена за шт в рублях]]/Таблица1[[#This Row],[средняя стоимость в категории по поставщику.]]-1</f>
        <v>-0.91752577319587625</v>
      </c>
      <c r="O486" s="26">
        <f>VLOOKUP(Таблица1[[#This Row],[id клиента]],клиенты!$A$2:$E$435,5,0)</f>
        <v>44675</v>
      </c>
      <c r="P486">
        <f>Таблица1[[#This Row],[дата создания чека]]-Таблица1[[#This Row],[Дата регистрации клента]]</f>
        <v>513</v>
      </c>
      <c r="Q486" s="26">
        <f t="shared" ca="1" si="15"/>
        <v>46059</v>
      </c>
      <c r="R486" s="51">
        <f ca="1">(TODAY()-Таблица1[[#This Row],[Дата регистрации клента]])/30</f>
        <v>46.133333333333333</v>
      </c>
      <c r="S486" s="63" t="str">
        <f>VLOOKUP(Таблица1[[#This Row],[id клиента]],Таблица8[[id клиента]:[Страна]],7,0)</f>
        <v>Узбекистан</v>
      </c>
      <c r="T486" s="26"/>
    </row>
    <row r="487" spans="1:20" ht="19.5" x14ac:dyDescent="0.4">
      <c r="A487" s="37">
        <v>486</v>
      </c>
      <c r="B487" s="31">
        <v>321</v>
      </c>
      <c r="C487" s="31">
        <v>322</v>
      </c>
      <c r="D487" s="31">
        <v>3</v>
      </c>
      <c r="E487" s="31">
        <v>966</v>
      </c>
      <c r="F487" s="38">
        <v>45094</v>
      </c>
      <c r="G487" s="31" t="s">
        <v>14</v>
      </c>
      <c r="H487" s="31">
        <v>328</v>
      </c>
      <c r="I487" s="31" t="str">
        <f>VLOOKUP(продажи!$B487,товар!$A$1:$C$433,2)</f>
        <v>Мясо</v>
      </c>
      <c r="J487" s="31" t="str">
        <f>VLOOKUP(B487,товар!$A$1:$C$433,3)</f>
        <v>Сава</v>
      </c>
      <c r="K487" s="39">
        <f>AVERAGEIF(продажи!$I$2:$I$1001,продажи!$I$2:$I$1001,продажи!$C$2:$C$1001)</f>
        <v>271.74545454545455</v>
      </c>
      <c r="L487" s="40">
        <f>продажи!$C487/продажи!$K487-1</f>
        <v>0.18493242339087379</v>
      </c>
      <c r="M487" s="33">
        <f t="shared" si="14"/>
        <v>3405</v>
      </c>
      <c r="N487" s="24">
        <f>Таблица1[[#This Row],[цена за шт в рублях]]/Таблица1[[#This Row],[средняя стоимость в категории по поставщику.]]-1</f>
        <v>-0.90543318649045523</v>
      </c>
      <c r="O487" s="26">
        <f>VLOOKUP(Таблица1[[#This Row],[id клиента]],клиенты!$A$2:$E$435,5,0)</f>
        <v>44568</v>
      </c>
      <c r="P487">
        <f>Таблица1[[#This Row],[дата создания чека]]-Таблица1[[#This Row],[Дата регистрации клента]]</f>
        <v>526</v>
      </c>
      <c r="Q487" s="26">
        <f t="shared" ca="1" si="15"/>
        <v>46059</v>
      </c>
      <c r="R487" s="51">
        <f ca="1">(TODAY()-Таблица1[[#This Row],[Дата регистрации клента]])/30</f>
        <v>49.7</v>
      </c>
      <c r="S487" s="63" t="str">
        <f>VLOOKUP(Таблица1[[#This Row],[id клиента]],Таблица8[[id клиента]:[Страна]],7,0)</f>
        <v>Россия</v>
      </c>
      <c r="T487" s="26"/>
    </row>
    <row r="488" spans="1:20" ht="19.5" x14ac:dyDescent="0.4">
      <c r="A488" s="41">
        <v>487</v>
      </c>
      <c r="B488" s="42">
        <v>129</v>
      </c>
      <c r="C488" s="42">
        <v>328</v>
      </c>
      <c r="D488" s="42">
        <v>4</v>
      </c>
      <c r="E488" s="42">
        <v>1312</v>
      </c>
      <c r="F488" s="43">
        <v>45304</v>
      </c>
      <c r="G488" s="42" t="s">
        <v>11</v>
      </c>
      <c r="H488" s="42">
        <v>127</v>
      </c>
      <c r="I488" s="42" t="str">
        <f>VLOOKUP(продажи!$B488,товар!$A$1:$C$433,2)</f>
        <v>Мясо</v>
      </c>
      <c r="J488" s="42" t="str">
        <f>VLOOKUP(B488,товар!$A$1:$C$433,3)</f>
        <v>Агрокомплекс</v>
      </c>
      <c r="K488" s="44">
        <f>AVERAGEIF(продажи!$I$2:$I$1001,продажи!$I$2:$I$1001,продажи!$C$2:$C$1001)</f>
        <v>271.74545454545455</v>
      </c>
      <c r="L488" s="45">
        <f>продажи!$C488/продажи!$K488-1</f>
        <v>0.20701190954101434</v>
      </c>
      <c r="M488" s="33">
        <f t="shared" si="14"/>
        <v>3112</v>
      </c>
      <c r="N488" s="24">
        <f>Таблица1[[#This Row],[цена за шт в рублях]]/Таблица1[[#This Row],[средняя стоимость в категории по поставщику.]]-1</f>
        <v>-0.8946015424164524</v>
      </c>
      <c r="O488" s="26">
        <f>VLOOKUP(Таблица1[[#This Row],[id клиента]],клиенты!$A$2:$E$435,5,0)</f>
        <v>44914</v>
      </c>
      <c r="P488">
        <f>Таблица1[[#This Row],[дата создания чека]]-Таблица1[[#This Row],[Дата регистрации клента]]</f>
        <v>390</v>
      </c>
      <c r="Q488" s="26">
        <f t="shared" ca="1" si="15"/>
        <v>46059</v>
      </c>
      <c r="R488" s="51">
        <f ca="1">(TODAY()-Таблица1[[#This Row],[Дата регистрации клента]])/30</f>
        <v>38.166666666666664</v>
      </c>
      <c r="S488" s="63" t="str">
        <f>VLOOKUP(Таблица1[[#This Row],[id клиента]],Таблица8[[id клиента]:[Страна]],7,0)</f>
        <v>Украина</v>
      </c>
      <c r="T488" s="26"/>
    </row>
    <row r="489" spans="1:20" ht="19.5" x14ac:dyDescent="0.4">
      <c r="A489" s="37">
        <v>488</v>
      </c>
      <c r="B489" s="31">
        <v>12</v>
      </c>
      <c r="C489" s="31">
        <v>357</v>
      </c>
      <c r="D489" s="31">
        <v>1</v>
      </c>
      <c r="E489" s="31">
        <v>357</v>
      </c>
      <c r="F489" s="38">
        <v>45369</v>
      </c>
      <c r="G489" s="31" t="s">
        <v>10</v>
      </c>
      <c r="H489" s="31">
        <v>221</v>
      </c>
      <c r="I489" s="31" t="str">
        <f>VLOOKUP(продажи!$B489,товар!$A$1:$C$433,2)</f>
        <v>Макароны</v>
      </c>
      <c r="J489" s="31" t="str">
        <f>VLOOKUP(B489,товар!$A$1:$C$433,3)</f>
        <v>Макфа</v>
      </c>
      <c r="K489" s="39">
        <f>AVERAGEIF(продажи!$I$2:$I$1001,продажи!$I$2:$I$1001,продажи!$C$2:$C$1001)</f>
        <v>265.47674418604652</v>
      </c>
      <c r="L489" s="40">
        <f>продажи!$C489/продажи!$K489-1</f>
        <v>0.34475055845122848</v>
      </c>
      <c r="M489" s="33">
        <f t="shared" si="14"/>
        <v>3622</v>
      </c>
      <c r="N489" s="24">
        <f>Таблица1[[#This Row],[цена за шт в рублях]]/Таблица1[[#This Row],[средняя стоимость в категории по поставщику.]]-1</f>
        <v>-0.90143567090005527</v>
      </c>
      <c r="O489" s="26">
        <f>VLOOKUP(Таблица1[[#This Row],[id клиента]],клиенты!$A$2:$E$435,5,0)</f>
        <v>44820</v>
      </c>
      <c r="P489">
        <f>Таблица1[[#This Row],[дата создания чека]]-Таблица1[[#This Row],[Дата регистрации клента]]</f>
        <v>549</v>
      </c>
      <c r="Q489" s="26">
        <f t="shared" ca="1" si="15"/>
        <v>46059</v>
      </c>
      <c r="R489" s="51">
        <f ca="1">(TODAY()-Таблица1[[#This Row],[Дата регистрации клента]])/30</f>
        <v>41.3</v>
      </c>
      <c r="S489" s="63" t="str">
        <f>VLOOKUP(Таблица1[[#This Row],[id клиента]],Таблица8[[id клиента]:[Страна]],7,0)</f>
        <v>Таджикистан</v>
      </c>
      <c r="T489" s="26"/>
    </row>
    <row r="490" spans="1:20" ht="19.5" x14ac:dyDescent="0.4">
      <c r="A490" s="41">
        <v>489</v>
      </c>
      <c r="B490" s="42">
        <v>104</v>
      </c>
      <c r="C490" s="42">
        <v>276</v>
      </c>
      <c r="D490" s="42">
        <v>2</v>
      </c>
      <c r="E490" s="42">
        <v>552</v>
      </c>
      <c r="F490" s="43">
        <v>45372</v>
      </c>
      <c r="G490" s="42" t="s">
        <v>14</v>
      </c>
      <c r="H490" s="42">
        <v>134</v>
      </c>
      <c r="I490" s="42" t="str">
        <f>VLOOKUP(продажи!$B490,товар!$A$1:$C$433,2)</f>
        <v>Йогурт</v>
      </c>
      <c r="J490" s="42" t="str">
        <f>VLOOKUP(B490,товар!$A$1:$C$433,3)</f>
        <v>Ростагроэкспорт</v>
      </c>
      <c r="K490" s="44">
        <f>AVERAGEIF(продажи!$I$2:$I$1001,продажи!$I$2:$I$1001,продажи!$C$2:$C$1001)</f>
        <v>263.25423728813558</v>
      </c>
      <c r="L490" s="45">
        <f>продажи!$C490/продажи!$K490-1</f>
        <v>4.841617306206536E-2</v>
      </c>
      <c r="M490" s="33">
        <f t="shared" si="14"/>
        <v>5929</v>
      </c>
      <c r="N490" s="24">
        <f>Таблица1[[#This Row],[цена за шт в рублях]]/Таблица1[[#This Row],[средняя стоимость в категории по поставщику.]]-1</f>
        <v>-0.95344914825434302</v>
      </c>
      <c r="O490" s="26">
        <f>VLOOKUP(Таблица1[[#This Row],[id клиента]],клиенты!$A$2:$E$435,5,0)</f>
        <v>44753</v>
      </c>
      <c r="P490">
        <f>Таблица1[[#This Row],[дата создания чека]]-Таблица1[[#This Row],[Дата регистрации клента]]</f>
        <v>619</v>
      </c>
      <c r="Q490" s="26">
        <f t="shared" ca="1" si="15"/>
        <v>46059</v>
      </c>
      <c r="R490" s="51">
        <f ca="1">(TODAY()-Таблица1[[#This Row],[Дата регистрации клента]])/30</f>
        <v>43.533333333333331</v>
      </c>
      <c r="S490" s="63" t="str">
        <f>VLOOKUP(Таблица1[[#This Row],[id клиента]],Таблица8[[id клиента]:[Страна]],7,0)</f>
        <v>Россия</v>
      </c>
      <c r="T490" s="26"/>
    </row>
    <row r="491" spans="1:20" ht="19.5" x14ac:dyDescent="0.4">
      <c r="A491" s="37">
        <v>490</v>
      </c>
      <c r="B491" s="31">
        <v>61</v>
      </c>
      <c r="C491" s="31">
        <v>170</v>
      </c>
      <c r="D491" s="31">
        <v>2</v>
      </c>
      <c r="E491" s="31">
        <v>340</v>
      </c>
      <c r="F491" s="38">
        <v>45292</v>
      </c>
      <c r="G491" s="31" t="s">
        <v>11</v>
      </c>
      <c r="H491" s="31">
        <v>374</v>
      </c>
      <c r="I491" s="31" t="str">
        <f>VLOOKUP(продажи!$B491,товар!$A$1:$C$433,2)</f>
        <v>Йогурт</v>
      </c>
      <c r="J491" s="31" t="str">
        <f>VLOOKUP(B491,товар!$A$1:$C$433,3)</f>
        <v>Эрманн</v>
      </c>
      <c r="K491" s="39">
        <f>AVERAGEIF(продажи!$I$2:$I$1001,продажи!$I$2:$I$1001,продажи!$C$2:$C$1001)</f>
        <v>263.25423728813558</v>
      </c>
      <c r="L491" s="40">
        <f>продажи!$C491/продажи!$K491-1</f>
        <v>-0.35423641514293069</v>
      </c>
      <c r="M491" s="33">
        <f t="shared" si="14"/>
        <v>4970</v>
      </c>
      <c r="N491" s="24">
        <f>Таблица1[[#This Row],[цена за шт в рублях]]/Таблица1[[#This Row],[средняя стоимость в категории по поставщику.]]-1</f>
        <v>-0.96579476861167002</v>
      </c>
      <c r="O491" s="26">
        <f>VLOOKUP(Таблица1[[#This Row],[id клиента]],клиенты!$A$2:$E$435,5,0)</f>
        <v>44582</v>
      </c>
      <c r="P491">
        <f>Таблица1[[#This Row],[дата создания чека]]-Таблица1[[#This Row],[Дата регистрации клента]]</f>
        <v>710</v>
      </c>
      <c r="Q491" s="26">
        <f t="shared" ca="1" si="15"/>
        <v>46059</v>
      </c>
      <c r="R491" s="51">
        <f ca="1">(TODAY()-Таблица1[[#This Row],[Дата регистрации клента]])/30</f>
        <v>49.233333333333334</v>
      </c>
      <c r="S491" s="63" t="str">
        <f>VLOOKUP(Таблица1[[#This Row],[id клиента]],Таблица8[[id клиента]:[Страна]],7,0)</f>
        <v>Украина</v>
      </c>
      <c r="T491" s="26"/>
    </row>
    <row r="492" spans="1:20" ht="19.5" x14ac:dyDescent="0.4">
      <c r="A492" s="41">
        <v>491</v>
      </c>
      <c r="B492" s="42">
        <v>202</v>
      </c>
      <c r="C492" s="42">
        <v>89</v>
      </c>
      <c r="D492" s="42">
        <v>1</v>
      </c>
      <c r="E492" s="42">
        <v>89</v>
      </c>
      <c r="F492" s="43">
        <v>45389</v>
      </c>
      <c r="G492" s="42" t="s">
        <v>8</v>
      </c>
      <c r="H492" s="42">
        <v>441</v>
      </c>
      <c r="I492" s="42" t="str">
        <f>VLOOKUP(продажи!$B492,товар!$A$1:$C$433,2)</f>
        <v>Овощи</v>
      </c>
      <c r="J492" s="42" t="str">
        <f>VLOOKUP(B492,товар!$A$1:$C$433,3)</f>
        <v>Овощной ряд</v>
      </c>
      <c r="K492" s="44">
        <f>AVERAGEIF(продажи!$I$2:$I$1001,продажи!$I$2:$I$1001,продажи!$C$2:$C$1001)</f>
        <v>250.48780487804879</v>
      </c>
      <c r="L492" s="45">
        <f>продажи!$C492/продажи!$K492-1</f>
        <v>-0.64469328140214222</v>
      </c>
      <c r="M492" s="33">
        <f t="shared" si="14"/>
        <v>5165</v>
      </c>
      <c r="N492" s="24">
        <f>Таблица1[[#This Row],[цена за шт в рублях]]/Таблица1[[#This Row],[средняя стоимость в категории по поставщику.]]-1</f>
        <v>-0.98276863504356249</v>
      </c>
      <c r="O492" s="26">
        <f>VLOOKUP(Таблица1[[#This Row],[id клиента]],клиенты!$A$2:$E$435,5,0)</f>
        <v>44867</v>
      </c>
      <c r="P492">
        <f>Таблица1[[#This Row],[дата создания чека]]-Таблица1[[#This Row],[Дата регистрации клента]]</f>
        <v>522</v>
      </c>
      <c r="Q492" s="26">
        <f t="shared" ca="1" si="15"/>
        <v>46059</v>
      </c>
      <c r="R492" s="51">
        <f ca="1">(TODAY()-Таблица1[[#This Row],[Дата регистрации клента]])/30</f>
        <v>39.733333333333334</v>
      </c>
      <c r="S492" s="63" t="str">
        <f>VLOOKUP(Таблица1[[#This Row],[id клиента]],Таблица8[[id клиента]:[Страна]],7,0)</f>
        <v>Узбекистан</v>
      </c>
      <c r="T492" s="26"/>
    </row>
    <row r="493" spans="1:20" ht="19.5" x14ac:dyDescent="0.4">
      <c r="A493" s="37">
        <v>492</v>
      </c>
      <c r="B493" s="31">
        <v>464</v>
      </c>
      <c r="C493" s="31">
        <v>134</v>
      </c>
      <c r="D493" s="31">
        <v>1</v>
      </c>
      <c r="E493" s="31">
        <v>134</v>
      </c>
      <c r="F493" s="38">
        <v>45078</v>
      </c>
      <c r="G493" s="31" t="s">
        <v>8</v>
      </c>
      <c r="H493" s="31">
        <v>220</v>
      </c>
      <c r="I493" s="31" t="str">
        <f>VLOOKUP(продажи!$B493,товар!$A$1:$C$433,2)</f>
        <v>Сыр</v>
      </c>
      <c r="J493" s="31" t="str">
        <f>VLOOKUP(B493,товар!$A$1:$C$433,3)</f>
        <v>Сырная долина</v>
      </c>
      <c r="K493" s="39">
        <f>AVERAGEIF(продажи!$I$2:$I$1001,продажи!$I$2:$I$1001,продажи!$C$2:$C$1001)</f>
        <v>261.03225806451616</v>
      </c>
      <c r="L493" s="40">
        <f>продажи!$C493/продажи!$K493-1</f>
        <v>-0.48665348492338112</v>
      </c>
      <c r="M493" s="33">
        <f t="shared" si="14"/>
        <v>8943</v>
      </c>
      <c r="N493" s="24">
        <f>Таблица1[[#This Row],[цена за шт в рублях]]/Таблица1[[#This Row],[средняя стоимость в категории по поставщику.]]-1</f>
        <v>-0.98501621379850157</v>
      </c>
      <c r="O493" s="26">
        <f>VLOOKUP(Таблица1[[#This Row],[id клиента]],клиенты!$A$2:$E$435,5,0)</f>
        <v>44570</v>
      </c>
      <c r="P493">
        <f>Таблица1[[#This Row],[дата создания чека]]-Таблица1[[#This Row],[Дата регистрации клента]]</f>
        <v>508</v>
      </c>
      <c r="Q493" s="26">
        <f t="shared" ca="1" si="15"/>
        <v>46059</v>
      </c>
      <c r="R493" s="51">
        <f ca="1">(TODAY()-Таблица1[[#This Row],[Дата регистрации клента]])/30</f>
        <v>49.633333333333333</v>
      </c>
      <c r="S493" s="63" t="str">
        <f>VLOOKUP(Таблица1[[#This Row],[id клиента]],Таблица8[[id клиента]:[Страна]],7,0)</f>
        <v>Украина</v>
      </c>
      <c r="T493" s="26"/>
    </row>
    <row r="494" spans="1:20" ht="19.5" x14ac:dyDescent="0.4">
      <c r="A494" s="41">
        <v>493</v>
      </c>
      <c r="B494" s="42">
        <v>335</v>
      </c>
      <c r="C494" s="42">
        <v>436</v>
      </c>
      <c r="D494" s="42">
        <v>1</v>
      </c>
      <c r="E494" s="42">
        <v>436</v>
      </c>
      <c r="F494" s="43">
        <v>45407</v>
      </c>
      <c r="G494" s="42" t="s">
        <v>14</v>
      </c>
      <c r="H494" s="42">
        <v>235</v>
      </c>
      <c r="I494" s="42" t="str">
        <f>VLOOKUP(продажи!$B494,товар!$A$1:$C$433,2)</f>
        <v>Хлеб</v>
      </c>
      <c r="J494" s="42" t="str">
        <f>VLOOKUP(B494,товар!$A$1:$C$433,3)</f>
        <v>Каравай</v>
      </c>
      <c r="K494" s="44">
        <f>AVERAGEIF(продажи!$I$2:$I$1001,продажи!$I$2:$I$1001,продажи!$C$2:$C$1001)</f>
        <v>300.31818181818181</v>
      </c>
      <c r="L494" s="45">
        <f>продажи!$C494/продажи!$K494-1</f>
        <v>0.45179355229302254</v>
      </c>
      <c r="M494" s="33">
        <f t="shared" si="14"/>
        <v>3974</v>
      </c>
      <c r="N494" s="24">
        <f>Таблица1[[#This Row],[цена за шт в рублях]]/Таблица1[[#This Row],[средняя стоимость в категории по поставщику.]]-1</f>
        <v>-0.89028686462003015</v>
      </c>
      <c r="O494" s="26">
        <f>VLOOKUP(Таблица1[[#This Row],[id клиента]],клиенты!$A$2:$E$435,5,0)</f>
        <v>44635</v>
      </c>
      <c r="P494">
        <f>Таблица1[[#This Row],[дата создания чека]]-Таблица1[[#This Row],[Дата регистрации клента]]</f>
        <v>772</v>
      </c>
      <c r="Q494" s="26">
        <f t="shared" ca="1" si="15"/>
        <v>46059</v>
      </c>
      <c r="R494" s="51">
        <f ca="1">(TODAY()-Таблица1[[#This Row],[Дата регистрации клента]])/30</f>
        <v>47.466666666666669</v>
      </c>
      <c r="S494" s="63" t="str">
        <f>VLOOKUP(Таблица1[[#This Row],[id клиента]],Таблица8[[id клиента]:[Страна]],7,0)</f>
        <v>Узбекистан</v>
      </c>
      <c r="T494" s="26"/>
    </row>
    <row r="495" spans="1:20" ht="19.5" x14ac:dyDescent="0.4">
      <c r="A495" s="37">
        <v>494</v>
      </c>
      <c r="B495" s="31">
        <v>15</v>
      </c>
      <c r="C495" s="31">
        <v>318</v>
      </c>
      <c r="D495" s="31">
        <v>5</v>
      </c>
      <c r="E495" s="31">
        <v>1590</v>
      </c>
      <c r="F495" s="38">
        <v>44982</v>
      </c>
      <c r="G495" s="31" t="s">
        <v>26</v>
      </c>
      <c r="H495" s="31">
        <v>323</v>
      </c>
      <c r="I495" s="31" t="str">
        <f>VLOOKUP(продажи!$B495,товар!$A$1:$C$433,2)</f>
        <v>Сахар</v>
      </c>
      <c r="J495" s="31" t="str">
        <f>VLOOKUP(B495,товар!$A$1:$C$433,3)</f>
        <v>Агросахар</v>
      </c>
      <c r="K495" s="39">
        <f>AVERAGEIF(продажи!$I$2:$I$1001,продажи!$I$2:$I$1001,продажи!$C$2:$C$1001)</f>
        <v>254.58333333333334</v>
      </c>
      <c r="L495" s="40">
        <f>продажи!$C495/продажи!$K495-1</f>
        <v>0.24909983633387878</v>
      </c>
      <c r="M495" s="33">
        <f t="shared" si="14"/>
        <v>1511</v>
      </c>
      <c r="N495" s="24">
        <f>Таблица1[[#This Row],[цена за шт в рублях]]/Таблица1[[#This Row],[средняя стоимость в категории по поставщику.]]-1</f>
        <v>-0.78954334877564525</v>
      </c>
      <c r="O495" s="26">
        <f>VLOOKUP(Таблица1[[#This Row],[id клиента]],клиенты!$A$2:$E$435,5,0)</f>
        <v>44821</v>
      </c>
      <c r="P495">
        <f>Таблица1[[#This Row],[дата создания чека]]-Таблица1[[#This Row],[Дата регистрации клента]]</f>
        <v>161</v>
      </c>
      <c r="Q495" s="26">
        <f t="shared" ca="1" si="15"/>
        <v>46059</v>
      </c>
      <c r="R495" s="51">
        <f ca="1">(TODAY()-Таблица1[[#This Row],[Дата регистрации клента]])/30</f>
        <v>41.266666666666666</v>
      </c>
      <c r="S495" s="63" t="str">
        <f>VLOOKUP(Таблица1[[#This Row],[id клиента]],Таблица8[[id клиента]:[Страна]],7,0)</f>
        <v>Таджикистан</v>
      </c>
      <c r="T495" s="26"/>
    </row>
    <row r="496" spans="1:20" ht="19.5" x14ac:dyDescent="0.4">
      <c r="A496" s="41">
        <v>495</v>
      </c>
      <c r="B496" s="42">
        <v>441</v>
      </c>
      <c r="C496" s="42">
        <v>183</v>
      </c>
      <c r="D496" s="42">
        <v>1</v>
      </c>
      <c r="E496" s="42">
        <v>183</v>
      </c>
      <c r="F496" s="43">
        <v>45235</v>
      </c>
      <c r="G496" s="42" t="s">
        <v>14</v>
      </c>
      <c r="H496" s="42">
        <v>296</v>
      </c>
      <c r="I496" s="42" t="str">
        <f>VLOOKUP(продажи!$B496,товар!$A$1:$C$433,2)</f>
        <v>Чай</v>
      </c>
      <c r="J496" s="42" t="str">
        <f>VLOOKUP(B496,товар!$A$1:$C$433,3)</f>
        <v>Lipton</v>
      </c>
      <c r="K496" s="44">
        <f>AVERAGEIF(продажи!$I$2:$I$1001,продажи!$I$2:$I$1001,продажи!$C$2:$C$1001)</f>
        <v>271.18181818181819</v>
      </c>
      <c r="L496" s="45">
        <f>продажи!$C496/продажи!$K496-1</f>
        <v>-0.32517599731813607</v>
      </c>
      <c r="M496" s="33">
        <f t="shared" si="14"/>
        <v>4943</v>
      </c>
      <c r="N496" s="24">
        <f>Таблица1[[#This Row],[цена за шт в рублях]]/Таблица1[[#This Row],[средняя стоимость в категории по поставщику.]]-1</f>
        <v>-0.96297794861420194</v>
      </c>
      <c r="O496" s="26">
        <f>VLOOKUP(Таблица1[[#This Row],[id клиента]],клиенты!$A$2:$E$435,5,0)</f>
        <v>44758</v>
      </c>
      <c r="P496">
        <f>Таблица1[[#This Row],[дата создания чека]]-Таблица1[[#This Row],[Дата регистрации клента]]</f>
        <v>477</v>
      </c>
      <c r="Q496" s="26">
        <f t="shared" ca="1" si="15"/>
        <v>46059</v>
      </c>
      <c r="R496" s="51">
        <f ca="1">(TODAY()-Таблица1[[#This Row],[Дата регистрации клента]])/30</f>
        <v>43.366666666666667</v>
      </c>
      <c r="S496" s="63" t="str">
        <f>VLOOKUP(Таблица1[[#This Row],[id клиента]],Таблица8[[id клиента]:[Страна]],7,0)</f>
        <v>Узбекистан</v>
      </c>
      <c r="T496" s="26"/>
    </row>
    <row r="497" spans="1:20" ht="19.5" x14ac:dyDescent="0.4">
      <c r="A497" s="37">
        <v>496</v>
      </c>
      <c r="B497" s="31">
        <v>149</v>
      </c>
      <c r="C497" s="31">
        <v>448</v>
      </c>
      <c r="D497" s="31">
        <v>2</v>
      </c>
      <c r="E497" s="31">
        <v>896</v>
      </c>
      <c r="F497" s="38">
        <v>45069</v>
      </c>
      <c r="G497" s="31" t="s">
        <v>16</v>
      </c>
      <c r="H497" s="31">
        <v>206</v>
      </c>
      <c r="I497" s="31" t="str">
        <f>VLOOKUP(продажи!$B497,товар!$A$1:$C$433,2)</f>
        <v>Конфеты</v>
      </c>
      <c r="J497" s="31" t="str">
        <f>VLOOKUP(B497,товар!$A$1:$C$433,3)</f>
        <v>Бабаевский</v>
      </c>
      <c r="K497" s="39">
        <f>AVERAGEIF(продажи!$I$2:$I$1001,продажи!$I$2:$I$1001,продажи!$C$2:$C$1001)</f>
        <v>267.85483870967744</v>
      </c>
      <c r="L497" s="40">
        <f>продажи!$C497/продажи!$K497-1</f>
        <v>0.67254772084060921</v>
      </c>
      <c r="M497" s="33">
        <f t="shared" si="14"/>
        <v>6757</v>
      </c>
      <c r="N497" s="24">
        <f>Таблица1[[#This Row],[цена за шт в рублях]]/Таблица1[[#This Row],[средняя стоимость в категории по поставщику.]]-1</f>
        <v>-0.93369838685807305</v>
      </c>
      <c r="O497" s="26">
        <f>VLOOKUP(Таблица1[[#This Row],[id клиента]],клиенты!$A$2:$E$435,5,0)</f>
        <v>44568</v>
      </c>
      <c r="P497">
        <f>Таблица1[[#This Row],[дата создания чека]]-Таблица1[[#This Row],[Дата регистрации клента]]</f>
        <v>501</v>
      </c>
      <c r="Q497" s="26">
        <f t="shared" ca="1" si="15"/>
        <v>46059</v>
      </c>
      <c r="R497" s="51">
        <f ca="1">(TODAY()-Таблица1[[#This Row],[Дата регистрации клента]])/30</f>
        <v>49.7</v>
      </c>
      <c r="S497" s="63" t="str">
        <f>VLOOKUP(Таблица1[[#This Row],[id клиента]],Таблица8[[id клиента]:[Страна]],7,0)</f>
        <v>Россия</v>
      </c>
      <c r="T497" s="26"/>
    </row>
    <row r="498" spans="1:20" ht="19.5" x14ac:dyDescent="0.4">
      <c r="A498" s="41">
        <v>497</v>
      </c>
      <c r="B498" s="42">
        <v>490</v>
      </c>
      <c r="C498" s="42">
        <v>58</v>
      </c>
      <c r="D498" s="42">
        <v>4</v>
      </c>
      <c r="E498" s="42">
        <v>232</v>
      </c>
      <c r="F498" s="43">
        <v>45216</v>
      </c>
      <c r="G498" s="42" t="s">
        <v>26</v>
      </c>
      <c r="H498" s="42">
        <v>255</v>
      </c>
      <c r="I498" s="42" t="str">
        <f>VLOOKUP(продажи!$B498,товар!$A$1:$C$433,2)</f>
        <v>Сыр</v>
      </c>
      <c r="J498" s="42" t="str">
        <f>VLOOKUP(B498,товар!$A$1:$C$433,3)</f>
        <v>Сырная долина</v>
      </c>
      <c r="K498" s="44">
        <f>AVERAGEIF(продажи!$I$2:$I$1001,продажи!$I$2:$I$1001,продажи!$C$2:$C$1001)</f>
        <v>261.03225806451616</v>
      </c>
      <c r="L498" s="45">
        <f>продажи!$C498/продажи!$K498-1</f>
        <v>-0.77780523974295601</v>
      </c>
      <c r="M498" s="33">
        <f t="shared" si="14"/>
        <v>8943</v>
      </c>
      <c r="N498" s="24">
        <f>Таблица1[[#This Row],[цена за шт в рублях]]/Таблица1[[#This Row],[средняя стоимость в категории по поставщику.]]-1</f>
        <v>-0.99351448059935143</v>
      </c>
      <c r="O498" s="26">
        <f>VLOOKUP(Таблица1[[#This Row],[id клиента]],клиенты!$A$2:$E$435,5,0)</f>
        <v>44793</v>
      </c>
      <c r="P498">
        <f>Таблица1[[#This Row],[дата создания чека]]-Таблица1[[#This Row],[Дата регистрации клента]]</f>
        <v>423</v>
      </c>
      <c r="Q498" s="26">
        <f t="shared" ca="1" si="15"/>
        <v>46059</v>
      </c>
      <c r="R498" s="51">
        <f ca="1">(TODAY()-Таблица1[[#This Row],[Дата регистрации клента]])/30</f>
        <v>42.2</v>
      </c>
      <c r="S498" s="63" t="str">
        <f>VLOOKUP(Таблица1[[#This Row],[id клиента]],Таблица8[[id клиента]:[Страна]],7,0)</f>
        <v>Украина</v>
      </c>
      <c r="T498" s="26"/>
    </row>
    <row r="499" spans="1:20" ht="19.5" x14ac:dyDescent="0.4">
      <c r="A499" s="37">
        <v>498</v>
      </c>
      <c r="B499" s="31">
        <v>90</v>
      </c>
      <c r="C499" s="31">
        <v>162</v>
      </c>
      <c r="D499" s="31">
        <v>3</v>
      </c>
      <c r="E499" s="31">
        <v>486</v>
      </c>
      <c r="F499" s="38">
        <v>45207</v>
      </c>
      <c r="G499" s="31" t="s">
        <v>14</v>
      </c>
      <c r="H499" s="31">
        <v>88</v>
      </c>
      <c r="I499" s="31" t="str">
        <f>VLOOKUP(продажи!$B499,товар!$A$1:$C$433,2)</f>
        <v>Кофе</v>
      </c>
      <c r="J499" s="31" t="str">
        <f>VLOOKUP(B499,товар!$A$1:$C$433,3)</f>
        <v>Nescafe</v>
      </c>
      <c r="K499" s="39">
        <f>AVERAGEIF(продажи!$I$2:$I$1001,продажи!$I$2:$I$1001,продажи!$C$2:$C$1001)</f>
        <v>249.02380952380952</v>
      </c>
      <c r="L499" s="40">
        <f>продажи!$C499/продажи!$K499-1</f>
        <v>-0.34945979539152883</v>
      </c>
      <c r="M499" s="33">
        <f t="shared" si="14"/>
        <v>2569</v>
      </c>
      <c r="N499" s="24">
        <f>Таблица1[[#This Row],[цена за шт в рублях]]/Таблица1[[#This Row],[средняя стоимость в категории по поставщику.]]-1</f>
        <v>-0.93694044375243291</v>
      </c>
      <c r="O499" s="26">
        <f>VLOOKUP(Таблица1[[#This Row],[id клиента]],клиенты!$A$2:$E$435,5,0)</f>
        <v>44630</v>
      </c>
      <c r="P499">
        <f>Таблица1[[#This Row],[дата создания чека]]-Таблица1[[#This Row],[Дата регистрации клента]]</f>
        <v>577</v>
      </c>
      <c r="Q499" s="26">
        <f t="shared" ca="1" si="15"/>
        <v>46059</v>
      </c>
      <c r="R499" s="51">
        <f ca="1">(TODAY()-Таблица1[[#This Row],[Дата регистрации клента]])/30</f>
        <v>47.633333333333333</v>
      </c>
      <c r="S499" s="63" t="str">
        <f>VLOOKUP(Таблица1[[#This Row],[id клиента]],Таблица8[[id клиента]:[Страна]],7,0)</f>
        <v>Украина</v>
      </c>
      <c r="T499" s="26"/>
    </row>
    <row r="500" spans="1:20" ht="19.5" x14ac:dyDescent="0.4">
      <c r="A500" s="37">
        <v>932</v>
      </c>
      <c r="B500" s="31">
        <v>188</v>
      </c>
      <c r="C500" s="31">
        <v>233</v>
      </c>
      <c r="D500" s="31">
        <v>2</v>
      </c>
      <c r="E500" s="31">
        <v>466</v>
      </c>
      <c r="F500" s="57">
        <v>45214</v>
      </c>
      <c r="G500" s="31" t="s">
        <v>18</v>
      </c>
      <c r="H500" s="55">
        <v>445</v>
      </c>
      <c r="I500" s="31" t="str">
        <f>VLOOKUP(продажи!$B933,товар!$A$1:$C$433,2)</f>
        <v>Молоко</v>
      </c>
      <c r="J500" s="31" t="str">
        <f>VLOOKUP(B500,товар!$A$1:$C$433,3)</f>
        <v>Вимм-Билль-Данн</v>
      </c>
      <c r="K500" s="39">
        <f>AVERAGEIF(продажи!$I$2:$I$1001,продажи!$I$2:$I$1001,продажи!$C$2:$C$1001)</f>
        <v>294.95238095238096</v>
      </c>
      <c r="L500" s="40">
        <f>продажи!$C933/продажи!$K933-1</f>
        <v>0.60703907006780744</v>
      </c>
      <c r="M500" s="53">
        <f t="shared" si="14"/>
        <v>387</v>
      </c>
      <c r="N500" s="24">
        <f>Таблица1[[#This Row],[цена за шт в рублях]]/Таблица1[[#This Row],[средняя стоимость в категории по поставщику.]]-1</f>
        <v>-0.3979328165374677</v>
      </c>
      <c r="O500" s="26">
        <f>VLOOKUP(Таблица1[[#This Row],[id клиента]],клиенты!$A$2:$E$435,5,0)</f>
        <v>44676</v>
      </c>
      <c r="P500">
        <f>Таблица1[[#This Row],[дата создания чека]]-Таблица1[[#This Row],[Дата регистрации клента]]</f>
        <v>538</v>
      </c>
      <c r="Q500" s="26">
        <f t="shared" ca="1" si="15"/>
        <v>46059</v>
      </c>
      <c r="R500" s="51">
        <f ca="1">(TODAY()-Таблица1[[#This Row],[Дата регистрации клента]])/30</f>
        <v>46.1</v>
      </c>
      <c r="S500" s="63" t="str">
        <f>VLOOKUP(Таблица1[[#This Row],[id клиента]],Таблица8[[id клиента]:[Страна]],7,0)</f>
        <v>Россия</v>
      </c>
      <c r="T500" s="26"/>
    </row>
    <row r="501" spans="1:20" ht="19.5" x14ac:dyDescent="0.4">
      <c r="A501" s="37">
        <v>500</v>
      </c>
      <c r="B501" s="31">
        <v>323</v>
      </c>
      <c r="C501" s="31">
        <v>64</v>
      </c>
      <c r="D501" s="31">
        <v>4</v>
      </c>
      <c r="E501" s="31">
        <v>256</v>
      </c>
      <c r="F501" s="38">
        <v>45349</v>
      </c>
      <c r="G501" s="31" t="s">
        <v>9</v>
      </c>
      <c r="H501" s="31">
        <v>265</v>
      </c>
      <c r="I501" s="31" t="str">
        <f>VLOOKUP(продажи!$B501,товар!$A$1:$C$433,2)</f>
        <v>Рыба</v>
      </c>
      <c r="J501" s="31" t="str">
        <f>VLOOKUP(B501,товар!$A$1:$C$433,3)</f>
        <v>Меридиан</v>
      </c>
      <c r="K501" s="39">
        <f>AVERAGEIF(продажи!$I$2:$I$1001,продажи!$I$2:$I$1001,продажи!$C$2:$C$1001)</f>
        <v>258.5128205128205</v>
      </c>
      <c r="L501" s="40">
        <f>продажи!$C501/продажи!$K501-1</f>
        <v>-0.75243007339813528</v>
      </c>
      <c r="M501" s="33">
        <f t="shared" si="14"/>
        <v>4431</v>
      </c>
      <c r="N501" s="24">
        <f>Таблица1[[#This Row],[цена за шт в рублях]]/Таблица1[[#This Row],[средняя стоимость в категории по поставщику.]]-1</f>
        <v>-0.9855563078311893</v>
      </c>
      <c r="O501" s="26">
        <f>VLOOKUP(Таблица1[[#This Row],[id клиента]],клиенты!$A$2:$E$435,5,0)</f>
        <v>44756</v>
      </c>
      <c r="P501">
        <f>Таблица1[[#This Row],[дата создания чека]]-Таблица1[[#This Row],[Дата регистрации клента]]</f>
        <v>593</v>
      </c>
      <c r="Q501" s="26">
        <f t="shared" ca="1" si="15"/>
        <v>46059</v>
      </c>
      <c r="R501" s="51">
        <f ca="1">(TODAY()-Таблица1[[#This Row],[Дата регистрации клента]])/30</f>
        <v>43.43333333333333</v>
      </c>
      <c r="S501" s="63" t="str">
        <f>VLOOKUP(Таблица1[[#This Row],[id клиента]],Таблица8[[id клиента]:[Страна]],7,0)</f>
        <v>Узбекистан</v>
      </c>
      <c r="T501" s="26"/>
    </row>
    <row r="502" spans="1:20" ht="19.5" x14ac:dyDescent="0.4">
      <c r="A502" s="41">
        <v>501</v>
      </c>
      <c r="B502" s="42">
        <v>451</v>
      </c>
      <c r="C502" s="42">
        <v>187</v>
      </c>
      <c r="D502" s="42">
        <v>4</v>
      </c>
      <c r="E502" s="42">
        <v>748</v>
      </c>
      <c r="F502" s="43">
        <v>45160</v>
      </c>
      <c r="G502" s="42" t="s">
        <v>19</v>
      </c>
      <c r="H502" s="42">
        <v>164</v>
      </c>
      <c r="I502" s="42" t="str">
        <f>VLOOKUP(продажи!$B502,товар!$A$1:$C$433,2)</f>
        <v>Рис</v>
      </c>
      <c r="J502" s="42" t="str">
        <f>VLOOKUP(B502,товар!$A$1:$C$433,3)</f>
        <v>Белый Злат</v>
      </c>
      <c r="K502" s="44">
        <f>AVERAGEIF(продажи!$I$2:$I$1001,продажи!$I$2:$I$1001,продажи!$C$2:$C$1001)</f>
        <v>258.375</v>
      </c>
      <c r="L502" s="45">
        <f>продажи!$C502/продажи!$K502-1</f>
        <v>-0.27624576681180457</v>
      </c>
      <c r="M502" s="33">
        <f t="shared" si="14"/>
        <v>4585</v>
      </c>
      <c r="N502" s="24">
        <f>Таблица1[[#This Row],[цена за шт в рублях]]/Таблица1[[#This Row],[средняя стоимость в категории по поставщику.]]-1</f>
        <v>-0.95921483097055615</v>
      </c>
      <c r="O502" s="26">
        <f>VLOOKUP(Таблица1[[#This Row],[id клиента]],клиенты!$A$2:$E$435,5,0)</f>
        <v>44678</v>
      </c>
      <c r="P502">
        <f>Таблица1[[#This Row],[дата создания чека]]-Таблица1[[#This Row],[Дата регистрации клента]]</f>
        <v>482</v>
      </c>
      <c r="Q502" s="26">
        <f t="shared" ca="1" si="15"/>
        <v>46059</v>
      </c>
      <c r="R502" s="51">
        <f ca="1">(TODAY()-Таблица1[[#This Row],[Дата регистрации клента]])/30</f>
        <v>46.033333333333331</v>
      </c>
      <c r="S502" s="63" t="str">
        <f>VLOOKUP(Таблица1[[#This Row],[id клиента]],Таблица8[[id клиента]:[Страна]],7,0)</f>
        <v>Россия</v>
      </c>
      <c r="T502" s="26"/>
    </row>
    <row r="503" spans="1:20" ht="19.5" x14ac:dyDescent="0.4">
      <c r="A503" s="37">
        <v>502</v>
      </c>
      <c r="B503" s="31">
        <v>348</v>
      </c>
      <c r="C503" s="31">
        <v>461</v>
      </c>
      <c r="D503" s="31">
        <v>3</v>
      </c>
      <c r="E503" s="31">
        <v>1383</v>
      </c>
      <c r="F503" s="38">
        <v>45344</v>
      </c>
      <c r="G503" s="31" t="s">
        <v>18</v>
      </c>
      <c r="H503" s="31">
        <v>364</v>
      </c>
      <c r="I503" s="31" t="str">
        <f>VLOOKUP(продажи!$B503,товар!$A$1:$C$433,2)</f>
        <v>Чипсы</v>
      </c>
      <c r="J503" s="31" t="str">
        <f>VLOOKUP(B503,товар!$A$1:$C$433,3)</f>
        <v>Estrella</v>
      </c>
      <c r="K503" s="39">
        <f>AVERAGEIF(продажи!$I$2:$I$1001,продажи!$I$2:$I$1001,продажи!$C$2:$C$1001)</f>
        <v>273.72549019607845</v>
      </c>
      <c r="L503" s="40">
        <f>продажи!$C503/продажи!$K503-1</f>
        <v>0.68416905444126064</v>
      </c>
      <c r="M503" s="33">
        <f t="shared" si="14"/>
        <v>2929</v>
      </c>
      <c r="N503" s="24">
        <f>Таблица1[[#This Row],[цена за шт в рублях]]/Таблица1[[#This Row],[средняя стоимость в категории по поставщику.]]-1</f>
        <v>-0.84260839877091154</v>
      </c>
      <c r="O503" s="26">
        <f>VLOOKUP(Таблица1[[#This Row],[id клиента]],клиенты!$A$2:$E$435,5,0)</f>
        <v>44883</v>
      </c>
      <c r="P503">
        <f>Таблица1[[#This Row],[дата создания чека]]-Таблица1[[#This Row],[Дата регистрации клента]]</f>
        <v>461</v>
      </c>
      <c r="Q503" s="26">
        <f t="shared" ca="1" si="15"/>
        <v>46059</v>
      </c>
      <c r="R503" s="51">
        <f ca="1">(TODAY()-Таблица1[[#This Row],[Дата регистрации клента]])/30</f>
        <v>39.200000000000003</v>
      </c>
      <c r="S503" s="63" t="str">
        <f>VLOOKUP(Таблица1[[#This Row],[id клиента]],Таблица8[[id клиента]:[Страна]],7,0)</f>
        <v>Россия</v>
      </c>
      <c r="T503" s="26"/>
    </row>
    <row r="504" spans="1:20" ht="19.5" x14ac:dyDescent="0.4">
      <c r="A504" s="41">
        <v>503</v>
      </c>
      <c r="B504" s="42">
        <v>111</v>
      </c>
      <c r="C504" s="42">
        <v>321</v>
      </c>
      <c r="D504" s="42">
        <v>5</v>
      </c>
      <c r="E504" s="42">
        <v>1605</v>
      </c>
      <c r="F504" s="43">
        <v>45131</v>
      </c>
      <c r="G504" s="42" t="s">
        <v>17</v>
      </c>
      <c r="H504" s="42">
        <v>19</v>
      </c>
      <c r="I504" s="42" t="str">
        <f>VLOOKUP(продажи!$B504,товар!$A$1:$C$433,2)</f>
        <v>Сахар</v>
      </c>
      <c r="J504" s="42" t="str">
        <f>VLOOKUP(B504,товар!$A$1:$C$433,3)</f>
        <v>Сладов</v>
      </c>
      <c r="K504" s="44">
        <f>AVERAGEIF(продажи!$I$2:$I$1001,продажи!$I$2:$I$1001,продажи!$C$2:$C$1001)</f>
        <v>254.58333333333334</v>
      </c>
      <c r="L504" s="45">
        <f>продажи!$C504/продажи!$K504-1</f>
        <v>0.26088379705400988</v>
      </c>
      <c r="M504" s="33">
        <f t="shared" si="14"/>
        <v>3604</v>
      </c>
      <c r="N504" s="24">
        <f>Таблица1[[#This Row],[цена за шт в рублях]]/Таблица1[[#This Row],[средняя стоимость в категории по поставщику.]]-1</f>
        <v>-0.91093229744728077</v>
      </c>
      <c r="O504" s="26">
        <f>VLOOKUP(Таблица1[[#This Row],[id клиента]],клиенты!$A$2:$E$435,5,0)</f>
        <v>44902</v>
      </c>
      <c r="P504">
        <f>Таблица1[[#This Row],[дата создания чека]]-Таблица1[[#This Row],[Дата регистрации клента]]</f>
        <v>229</v>
      </c>
      <c r="Q504" s="26">
        <f t="shared" ca="1" si="15"/>
        <v>46059</v>
      </c>
      <c r="R504" s="51">
        <f ca="1">(TODAY()-Таблица1[[#This Row],[Дата регистрации клента]])/30</f>
        <v>38.56666666666667</v>
      </c>
      <c r="S504" s="63" t="str">
        <f>VLOOKUP(Таблица1[[#This Row],[id клиента]],Таблица8[[id клиента]:[Страна]],7,0)</f>
        <v>Россия</v>
      </c>
      <c r="T504" s="26"/>
    </row>
    <row r="505" spans="1:20" ht="19.5" x14ac:dyDescent="0.4">
      <c r="A505" s="37">
        <v>504</v>
      </c>
      <c r="B505" s="31">
        <v>234</v>
      </c>
      <c r="C505" s="31">
        <v>244</v>
      </c>
      <c r="D505" s="31">
        <v>3</v>
      </c>
      <c r="E505" s="31">
        <v>732</v>
      </c>
      <c r="F505" s="38">
        <v>45081</v>
      </c>
      <c r="G505" s="31" t="s">
        <v>20</v>
      </c>
      <c r="H505" s="31">
        <v>453</v>
      </c>
      <c r="I505" s="31" t="str">
        <f>VLOOKUP(продажи!$B505,товар!$A$1:$C$433,2)</f>
        <v>Чай</v>
      </c>
      <c r="J505" s="31" t="str">
        <f>VLOOKUP(B505,товар!$A$1:$C$433,3)</f>
        <v>Greenfield</v>
      </c>
      <c r="K505" s="39">
        <f>AVERAGEIF(продажи!$I$2:$I$1001,продажи!$I$2:$I$1001,продажи!$C$2:$C$1001)</f>
        <v>271.18181818181819</v>
      </c>
      <c r="L505" s="40">
        <f>продажи!$C505/продажи!$K505-1</f>
        <v>-0.10023466309084816</v>
      </c>
      <c r="M505" s="33">
        <f t="shared" si="14"/>
        <v>6412</v>
      </c>
      <c r="N505" s="24">
        <f>Таблица1[[#This Row],[цена за шт в рублях]]/Таблица1[[#This Row],[средняя стоимость в категории по поставщику.]]-1</f>
        <v>-0.96194635059263878</v>
      </c>
      <c r="O505" s="26">
        <f>VLOOKUP(Таблица1[[#This Row],[id клиента]],клиенты!$A$2:$E$435,5,0)</f>
        <v>44635</v>
      </c>
      <c r="P505">
        <f>Таблица1[[#This Row],[дата создания чека]]-Таблица1[[#This Row],[Дата регистрации клента]]</f>
        <v>446</v>
      </c>
      <c r="Q505" s="26">
        <f t="shared" ca="1" si="15"/>
        <v>46059</v>
      </c>
      <c r="R505" s="51">
        <f ca="1">(TODAY()-Таблица1[[#This Row],[Дата регистрации клента]])/30</f>
        <v>47.466666666666669</v>
      </c>
      <c r="S505" s="63" t="str">
        <f>VLOOKUP(Таблица1[[#This Row],[id клиента]],Таблица8[[id клиента]:[Страна]],7,0)</f>
        <v>Россия</v>
      </c>
      <c r="T505" s="26"/>
    </row>
    <row r="506" spans="1:20" ht="19.5" x14ac:dyDescent="0.4">
      <c r="A506" s="41">
        <v>505</v>
      </c>
      <c r="B506" s="42">
        <v>336</v>
      </c>
      <c r="C506" s="42">
        <v>416</v>
      </c>
      <c r="D506" s="42">
        <v>2</v>
      </c>
      <c r="E506" s="42">
        <v>832</v>
      </c>
      <c r="F506" s="43">
        <v>45173</v>
      </c>
      <c r="G506" s="42" t="s">
        <v>12</v>
      </c>
      <c r="H506" s="42">
        <v>335</v>
      </c>
      <c r="I506" s="42" t="str">
        <f>VLOOKUP(продажи!$B506,товар!$A$1:$C$433,2)</f>
        <v>Чипсы</v>
      </c>
      <c r="J506" s="42" t="str">
        <f>VLOOKUP(B506,товар!$A$1:$C$433,3)</f>
        <v>Estrella</v>
      </c>
      <c r="K506" s="44">
        <f>AVERAGEIF(продажи!$I$2:$I$1001,продажи!$I$2:$I$1001,продажи!$C$2:$C$1001)</f>
        <v>273.72549019607845</v>
      </c>
      <c r="L506" s="45">
        <f>продажи!$C506/продажи!$K506-1</f>
        <v>0.51977077363896829</v>
      </c>
      <c r="M506" s="33">
        <f t="shared" si="14"/>
        <v>2929</v>
      </c>
      <c r="N506" s="24">
        <f>Таблица1[[#This Row],[цена за шт в рублях]]/Таблица1[[#This Row],[средняя стоимость в категории по поставщику.]]-1</f>
        <v>-0.85797200409696139</v>
      </c>
      <c r="O506" s="26">
        <f>VLOOKUP(Таблица1[[#This Row],[id клиента]],клиенты!$A$2:$E$435,5,0)</f>
        <v>44619</v>
      </c>
      <c r="P506">
        <f>Таблица1[[#This Row],[дата создания чека]]-Таблица1[[#This Row],[Дата регистрации клента]]</f>
        <v>554</v>
      </c>
      <c r="Q506" s="26">
        <f t="shared" ca="1" si="15"/>
        <v>46059</v>
      </c>
      <c r="R506" s="51">
        <f ca="1">(TODAY()-Таблица1[[#This Row],[Дата регистрации клента]])/30</f>
        <v>48</v>
      </c>
      <c r="S506" s="63" t="str">
        <f>VLOOKUP(Таблица1[[#This Row],[id клиента]],Таблица8[[id клиента]:[Страна]],7,0)</f>
        <v>Узбекистан</v>
      </c>
      <c r="T506" s="26"/>
    </row>
    <row r="507" spans="1:20" ht="19.5" x14ac:dyDescent="0.4">
      <c r="A507" s="37">
        <v>506</v>
      </c>
      <c r="B507" s="31">
        <v>441</v>
      </c>
      <c r="C507" s="31">
        <v>293</v>
      </c>
      <c r="D507" s="31">
        <v>3</v>
      </c>
      <c r="E507" s="31">
        <v>879</v>
      </c>
      <c r="F507" s="38">
        <v>45274</v>
      </c>
      <c r="G507" s="31" t="s">
        <v>24</v>
      </c>
      <c r="H507" s="31">
        <v>136</v>
      </c>
      <c r="I507" s="31" t="str">
        <f>VLOOKUP(продажи!$B507,товар!$A$1:$C$433,2)</f>
        <v>Чай</v>
      </c>
      <c r="J507" s="31" t="str">
        <f>VLOOKUP(B507,товар!$A$1:$C$433,3)</f>
        <v>Lipton</v>
      </c>
      <c r="K507" s="39">
        <f>AVERAGEIF(продажи!$I$2:$I$1001,продажи!$I$2:$I$1001,продажи!$C$2:$C$1001)</f>
        <v>271.18181818181819</v>
      </c>
      <c r="L507" s="40">
        <f>продажи!$C507/продажи!$K507-1</f>
        <v>8.0455916862219201E-2</v>
      </c>
      <c r="M507" s="33">
        <f t="shared" si="14"/>
        <v>4943</v>
      </c>
      <c r="N507" s="24">
        <f>Таблица1[[#This Row],[цена за шт в рублях]]/Таблица1[[#This Row],[средняя стоимость в категории по поставщику.]]-1</f>
        <v>-0.94072425652437786</v>
      </c>
      <c r="O507" s="26">
        <f>VLOOKUP(Таблица1[[#This Row],[id клиента]],клиенты!$A$2:$E$435,5,0)</f>
        <v>44860</v>
      </c>
      <c r="P507">
        <f>Таблица1[[#This Row],[дата создания чека]]-Таблица1[[#This Row],[Дата регистрации клента]]</f>
        <v>414</v>
      </c>
      <c r="Q507" s="26">
        <f t="shared" ca="1" si="15"/>
        <v>46059</v>
      </c>
      <c r="R507" s="51">
        <f ca="1">(TODAY()-Таблица1[[#This Row],[Дата регистрации клента]])/30</f>
        <v>39.966666666666669</v>
      </c>
      <c r="S507" s="63" t="str">
        <f>VLOOKUP(Таблица1[[#This Row],[id клиента]],Таблица8[[id клиента]:[Страна]],7,0)</f>
        <v>Украина</v>
      </c>
      <c r="T507" s="26"/>
    </row>
    <row r="508" spans="1:20" ht="19.5" x14ac:dyDescent="0.4">
      <c r="A508" s="41">
        <v>507</v>
      </c>
      <c r="B508" s="42">
        <v>481</v>
      </c>
      <c r="C508" s="42">
        <v>63</v>
      </c>
      <c r="D508" s="42">
        <v>1</v>
      </c>
      <c r="E508" s="42">
        <v>63</v>
      </c>
      <c r="F508" s="43">
        <v>45301</v>
      </c>
      <c r="G508" s="42" t="s">
        <v>12</v>
      </c>
      <c r="H508" s="42">
        <v>388</v>
      </c>
      <c r="I508" s="42" t="str">
        <f>VLOOKUP(продажи!$B508,товар!$A$1:$C$433,2)</f>
        <v>Чипсы</v>
      </c>
      <c r="J508" s="42" t="str">
        <f>VLOOKUP(B508,товар!$A$1:$C$433,3)</f>
        <v>Pringles</v>
      </c>
      <c r="K508" s="44">
        <f>AVERAGEIF(продажи!$I$2:$I$1001,продажи!$I$2:$I$1001,продажи!$C$2:$C$1001)</f>
        <v>273.72549019607845</v>
      </c>
      <c r="L508" s="45">
        <f>продажи!$C508/продажи!$K508-1</f>
        <v>-0.76984240687679084</v>
      </c>
      <c r="M508" s="33">
        <f t="shared" si="14"/>
        <v>5885</v>
      </c>
      <c r="N508" s="24">
        <f>Таблица1[[#This Row],[цена за шт в рублях]]/Таблица1[[#This Row],[средняя стоимость в категории по поставщику.]]-1</f>
        <v>-0.98929481733220048</v>
      </c>
      <c r="O508" s="26">
        <f>VLOOKUP(Таблица1[[#This Row],[id клиента]],клиенты!$A$2:$E$435,5,0)</f>
        <v>44581</v>
      </c>
      <c r="P508">
        <f>Таблица1[[#This Row],[дата создания чека]]-Таблица1[[#This Row],[Дата регистрации клента]]</f>
        <v>720</v>
      </c>
      <c r="Q508" s="26">
        <f t="shared" ca="1" si="15"/>
        <v>46059</v>
      </c>
      <c r="R508" s="51">
        <f ca="1">(TODAY()-Таблица1[[#This Row],[Дата регистрации клента]])/30</f>
        <v>49.266666666666666</v>
      </c>
      <c r="S508" s="63" t="str">
        <f>VLOOKUP(Таблица1[[#This Row],[id клиента]],Таблица8[[id клиента]:[Страна]],7,0)</f>
        <v>Россия</v>
      </c>
      <c r="T508" s="26"/>
    </row>
    <row r="509" spans="1:20" ht="19.5" x14ac:dyDescent="0.4">
      <c r="A509" s="37">
        <v>508</v>
      </c>
      <c r="B509" s="31">
        <v>403</v>
      </c>
      <c r="C509" s="31">
        <v>240</v>
      </c>
      <c r="D509" s="31">
        <v>1</v>
      </c>
      <c r="E509" s="31">
        <v>240</v>
      </c>
      <c r="F509" s="38">
        <v>45359</v>
      </c>
      <c r="G509" s="31" t="s">
        <v>10</v>
      </c>
      <c r="H509" s="31">
        <v>341</v>
      </c>
      <c r="I509" s="31" t="str">
        <f>VLOOKUP(продажи!$B509,товар!$A$1:$C$433,2)</f>
        <v>Чай</v>
      </c>
      <c r="J509" s="31" t="str">
        <f>VLOOKUP(B509,товар!$A$1:$C$433,3)</f>
        <v>Ахмад</v>
      </c>
      <c r="K509" s="39">
        <f>AVERAGEIF(продажи!$I$2:$I$1001,продажи!$I$2:$I$1001,продажи!$C$2:$C$1001)</f>
        <v>271.18181818181819</v>
      </c>
      <c r="L509" s="40">
        <f>продажи!$C509/продажи!$K509-1</f>
        <v>-0.11498491451558834</v>
      </c>
      <c r="M509" s="33">
        <f t="shared" si="14"/>
        <v>2433</v>
      </c>
      <c r="N509" s="24">
        <f>Таблица1[[#This Row],[цена за шт в рублях]]/Таблица1[[#This Row],[средняя стоимость в категории по поставщику.]]-1</f>
        <v>-0.90135635018495686</v>
      </c>
      <c r="O509" s="26">
        <f>VLOOKUP(Таблица1[[#This Row],[id клиента]],клиенты!$A$2:$E$435,5,0)</f>
        <v>44724</v>
      </c>
      <c r="P509">
        <f>Таблица1[[#This Row],[дата создания чека]]-Таблица1[[#This Row],[Дата регистрации клента]]</f>
        <v>635</v>
      </c>
      <c r="Q509" s="26">
        <f t="shared" ca="1" si="15"/>
        <v>46059</v>
      </c>
      <c r="R509" s="51">
        <f ca="1">(TODAY()-Таблица1[[#This Row],[Дата регистрации клента]])/30</f>
        <v>44.5</v>
      </c>
      <c r="S509" s="63" t="str">
        <f>VLOOKUP(Таблица1[[#This Row],[id клиента]],Таблица8[[id клиента]:[Страна]],7,0)</f>
        <v>Россия</v>
      </c>
      <c r="T509" s="26"/>
    </row>
    <row r="510" spans="1:20" ht="19.5" x14ac:dyDescent="0.4">
      <c r="A510" s="41">
        <v>509</v>
      </c>
      <c r="B510" s="42">
        <v>137</v>
      </c>
      <c r="C510" s="42">
        <v>432</v>
      </c>
      <c r="D510" s="42">
        <v>5</v>
      </c>
      <c r="E510" s="42">
        <v>2160</v>
      </c>
      <c r="F510" s="43">
        <v>45131</v>
      </c>
      <c r="G510" s="42" t="s">
        <v>22</v>
      </c>
      <c r="H510" s="42">
        <v>185</v>
      </c>
      <c r="I510" s="42" t="str">
        <f>VLOOKUP(продажи!$B510,товар!$A$1:$C$433,2)</f>
        <v>Фрукты</v>
      </c>
      <c r="J510" s="42" t="str">
        <f>VLOOKUP(B510,товар!$A$1:$C$433,3)</f>
        <v>Экзотик</v>
      </c>
      <c r="K510" s="44">
        <f>AVERAGEIF(продажи!$I$2:$I$1001,продажи!$I$2:$I$1001,продажи!$C$2:$C$1001)</f>
        <v>274.16279069767444</v>
      </c>
      <c r="L510" s="45">
        <f>продажи!$C510/продажи!$K510-1</f>
        <v>0.57570616676562891</v>
      </c>
      <c r="M510" s="33">
        <f t="shared" si="14"/>
        <v>4059</v>
      </c>
      <c r="N510" s="24">
        <f>Таблица1[[#This Row],[цена за шт в рублях]]/Таблица1[[#This Row],[средняя стоимость в категории по поставщику.]]-1</f>
        <v>-0.89356984478935697</v>
      </c>
      <c r="O510" s="26">
        <f>VLOOKUP(Таблица1[[#This Row],[id клиента]],клиенты!$A$2:$E$435,5,0)</f>
        <v>44683</v>
      </c>
      <c r="P510">
        <f>Таблица1[[#This Row],[дата создания чека]]-Таблица1[[#This Row],[Дата регистрации клента]]</f>
        <v>448</v>
      </c>
      <c r="Q510" s="26">
        <f t="shared" ca="1" si="15"/>
        <v>46059</v>
      </c>
      <c r="R510" s="51">
        <f ca="1">(TODAY()-Таблица1[[#This Row],[Дата регистрации клента]])/30</f>
        <v>45.866666666666667</v>
      </c>
      <c r="S510" s="63" t="str">
        <f>VLOOKUP(Таблица1[[#This Row],[id клиента]],Таблица8[[id клиента]:[Страна]],7,0)</f>
        <v>Узбекистан</v>
      </c>
      <c r="T510" s="26"/>
    </row>
    <row r="511" spans="1:20" ht="19.5" x14ac:dyDescent="0.4">
      <c r="A511" s="37">
        <v>510</v>
      </c>
      <c r="B511" s="31">
        <v>246</v>
      </c>
      <c r="C511" s="31">
        <v>196</v>
      </c>
      <c r="D511" s="31">
        <v>5</v>
      </c>
      <c r="E511" s="31">
        <v>980</v>
      </c>
      <c r="F511" s="38">
        <v>45168</v>
      </c>
      <c r="G511" s="31" t="s">
        <v>15</v>
      </c>
      <c r="H511" s="31">
        <v>437</v>
      </c>
      <c r="I511" s="31" t="str">
        <f>VLOOKUP(продажи!$B511,товар!$A$1:$C$433,2)</f>
        <v>Сыр</v>
      </c>
      <c r="J511" s="31" t="str">
        <f>VLOOKUP(B511,товар!$A$1:$C$433,3)</f>
        <v>President</v>
      </c>
      <c r="K511" s="39">
        <f>AVERAGEIF(продажи!$I$2:$I$1001,продажи!$I$2:$I$1001,продажи!$C$2:$C$1001)</f>
        <v>261.03225806451616</v>
      </c>
      <c r="L511" s="40">
        <f>продажи!$C511/продажи!$K511-1</f>
        <v>-0.24913494809688586</v>
      </c>
      <c r="M511" s="33">
        <f t="shared" si="14"/>
        <v>3935</v>
      </c>
      <c r="N511" s="24">
        <f>Таблица1[[#This Row],[цена за шт в рублях]]/Таблица1[[#This Row],[средняя стоимость в категории по поставщику.]]-1</f>
        <v>-0.95019059720457433</v>
      </c>
      <c r="O511" s="26">
        <f>VLOOKUP(Таблица1[[#This Row],[id клиента]],клиенты!$A$2:$E$435,5,0)</f>
        <v>44576</v>
      </c>
      <c r="P511">
        <f>Таблица1[[#This Row],[дата создания чека]]-Таблица1[[#This Row],[Дата регистрации клента]]</f>
        <v>592</v>
      </c>
      <c r="Q511" s="26">
        <f t="shared" ca="1" si="15"/>
        <v>46059</v>
      </c>
      <c r="R511" s="51">
        <f ca="1">(TODAY()-Таблица1[[#This Row],[Дата регистрации клента]])/30</f>
        <v>49.43333333333333</v>
      </c>
      <c r="S511" s="63" t="str">
        <f>VLOOKUP(Таблица1[[#This Row],[id клиента]],Таблица8[[id клиента]:[Страна]],7,0)</f>
        <v>Узбекистан</v>
      </c>
      <c r="T511" s="26"/>
    </row>
    <row r="512" spans="1:20" ht="19.5" x14ac:dyDescent="0.4">
      <c r="A512" s="41">
        <v>511</v>
      </c>
      <c r="B512" s="42">
        <v>4</v>
      </c>
      <c r="C512" s="42">
        <v>493</v>
      </c>
      <c r="D512" s="42">
        <v>4</v>
      </c>
      <c r="E512" s="42">
        <v>1972</v>
      </c>
      <c r="F512" s="43">
        <v>45155</v>
      </c>
      <c r="G512" s="42" t="s">
        <v>16</v>
      </c>
      <c r="H512" s="42">
        <v>263</v>
      </c>
      <c r="I512" s="42" t="str">
        <f>VLOOKUP(продажи!$B512,товар!$A$1:$C$433,2)</f>
        <v>Рис</v>
      </c>
      <c r="J512" s="42" t="str">
        <f>VLOOKUP(B512,товар!$A$1:$C$433,3)</f>
        <v>Белый Злат</v>
      </c>
      <c r="K512" s="44">
        <f>AVERAGEIF(продажи!$I$2:$I$1001,продажи!$I$2:$I$1001,продажи!$C$2:$C$1001)</f>
        <v>258.375</v>
      </c>
      <c r="L512" s="45">
        <f>продажи!$C512/продажи!$K512-1</f>
        <v>0.90807934204160623</v>
      </c>
      <c r="M512" s="33">
        <f t="shared" si="14"/>
        <v>4585</v>
      </c>
      <c r="N512" s="24">
        <f>Таблица1[[#This Row],[цена за шт в рублях]]/Таблица1[[#This Row],[средняя стоимость в категории по поставщику.]]-1</f>
        <v>-0.89247546346782991</v>
      </c>
      <c r="O512" s="26">
        <f>VLOOKUP(Таблица1[[#This Row],[id клиента]],клиенты!$A$2:$E$435,5,0)</f>
        <v>44612</v>
      </c>
      <c r="P512">
        <f>Таблица1[[#This Row],[дата создания чека]]-Таблица1[[#This Row],[Дата регистрации клента]]</f>
        <v>543</v>
      </c>
      <c r="Q512" s="26">
        <f t="shared" ca="1" si="15"/>
        <v>46059</v>
      </c>
      <c r="R512" s="51">
        <f ca="1">(TODAY()-Таблица1[[#This Row],[Дата регистрации клента]])/30</f>
        <v>48.233333333333334</v>
      </c>
      <c r="S512" s="63" t="str">
        <f>VLOOKUP(Таблица1[[#This Row],[id клиента]],Таблица8[[id клиента]:[Страна]],7,0)</f>
        <v>Таджикистан</v>
      </c>
      <c r="T512" s="26"/>
    </row>
    <row r="513" spans="1:20" ht="19.5" x14ac:dyDescent="0.4">
      <c r="A513" s="37">
        <v>512</v>
      </c>
      <c r="B513" s="31">
        <v>484</v>
      </c>
      <c r="C513" s="31">
        <v>436</v>
      </c>
      <c r="D513" s="31">
        <v>2</v>
      </c>
      <c r="E513" s="31">
        <v>872</v>
      </c>
      <c r="F513" s="38">
        <v>45405</v>
      </c>
      <c r="G513" s="31" t="s">
        <v>15</v>
      </c>
      <c r="H513" s="31">
        <v>358</v>
      </c>
      <c r="I513" s="31" t="str">
        <f>VLOOKUP(продажи!$B513,товар!$A$1:$C$433,2)</f>
        <v>Печенье</v>
      </c>
      <c r="J513" s="31" t="str">
        <f>VLOOKUP(B513,товар!$A$1:$C$433,3)</f>
        <v>КДВ</v>
      </c>
      <c r="K513" s="39">
        <f>AVERAGEIF(продажи!$I$2:$I$1001,продажи!$I$2:$I$1001,продажи!$C$2:$C$1001)</f>
        <v>283.468085106383</v>
      </c>
      <c r="L513" s="40">
        <f>продажи!$C513/продажи!$K513-1</f>
        <v>0.53809202131652012</v>
      </c>
      <c r="M513" s="33">
        <f t="shared" si="14"/>
        <v>4200</v>
      </c>
      <c r="N513" s="24">
        <f>Таблица1[[#This Row],[цена за шт в рублях]]/Таблица1[[#This Row],[средняя стоимость в категории по поставщику.]]-1</f>
        <v>-0.8961904761904762</v>
      </c>
      <c r="O513" s="26">
        <f>VLOOKUP(Таблица1[[#This Row],[id клиента]],клиенты!$A$2:$E$435,5,0)</f>
        <v>44771</v>
      </c>
      <c r="P513">
        <f>Таблица1[[#This Row],[дата создания чека]]-Таблица1[[#This Row],[Дата регистрации клента]]</f>
        <v>634</v>
      </c>
      <c r="Q513" s="26">
        <f t="shared" ca="1" si="15"/>
        <v>46059</v>
      </c>
      <c r="R513" s="51">
        <f ca="1">(TODAY()-Таблица1[[#This Row],[Дата регистрации клента]])/30</f>
        <v>42.93333333333333</v>
      </c>
      <c r="S513" s="63" t="str">
        <f>VLOOKUP(Таблица1[[#This Row],[id клиента]],Таблица8[[id клиента]:[Страна]],7,0)</f>
        <v>Украина</v>
      </c>
      <c r="T513" s="26"/>
    </row>
    <row r="514" spans="1:20" ht="19.5" x14ac:dyDescent="0.4">
      <c r="A514" s="41">
        <v>513</v>
      </c>
      <c r="B514" s="42">
        <v>60</v>
      </c>
      <c r="C514" s="42">
        <v>412</v>
      </c>
      <c r="D514" s="42">
        <v>5</v>
      </c>
      <c r="E514" s="42">
        <v>2060</v>
      </c>
      <c r="F514" s="43">
        <v>44930</v>
      </c>
      <c r="G514" s="42" t="s">
        <v>17</v>
      </c>
      <c r="H514" s="42">
        <v>377</v>
      </c>
      <c r="I514" s="42" t="str">
        <f>VLOOKUP(продажи!$B514,товар!$A$1:$C$433,2)</f>
        <v>Кофе</v>
      </c>
      <c r="J514" s="42" t="str">
        <f>VLOOKUP(B514,товар!$A$1:$C$433,3)</f>
        <v>Jacobs</v>
      </c>
      <c r="K514" s="44">
        <f>AVERAGEIF(продажи!$I$2:$I$1001,продажи!$I$2:$I$1001,продажи!$C$2:$C$1001)</f>
        <v>249.02380952380952</v>
      </c>
      <c r="L514" s="45">
        <f>продажи!$C514/продажи!$K514-1</f>
        <v>0.65446027344870461</v>
      </c>
      <c r="M514" s="33">
        <f t="shared" ref="M514:M577" si="16">SUMIFS($C$2:$C$1001,$I$2:$I$1001,I514,$J$2:$J$1001,J514)</f>
        <v>5248</v>
      </c>
      <c r="N514" s="24">
        <f>Таблица1[[#This Row],[цена за шт в рублях]]/Таблица1[[#This Row],[средняя стоимость в категории по поставщику.]]-1</f>
        <v>-0.9214939024390244</v>
      </c>
      <c r="O514" s="26">
        <f>VLOOKUP(Таблица1[[#This Row],[id клиента]],клиенты!$A$2:$E$435,5,0)</f>
        <v>44794</v>
      </c>
      <c r="P514">
        <f>Таблица1[[#This Row],[дата создания чека]]-Таблица1[[#This Row],[Дата регистрации клента]]</f>
        <v>136</v>
      </c>
      <c r="Q514" s="26">
        <f t="shared" ref="Q514:Q577" ca="1" si="17">TODAY()</f>
        <v>46059</v>
      </c>
      <c r="R514" s="51">
        <f ca="1">(TODAY()-Таблица1[[#This Row],[Дата регистрации клента]])/30</f>
        <v>42.166666666666664</v>
      </c>
      <c r="S514" s="63" t="str">
        <f>VLOOKUP(Таблица1[[#This Row],[id клиента]],Таблица8[[id клиента]:[Страна]],7,0)</f>
        <v>Узбекистан</v>
      </c>
      <c r="T514" s="26"/>
    </row>
    <row r="515" spans="1:20" ht="19.5" x14ac:dyDescent="0.4">
      <c r="A515" s="37">
        <v>514</v>
      </c>
      <c r="B515" s="31">
        <v>477</v>
      </c>
      <c r="C515" s="31">
        <v>117</v>
      </c>
      <c r="D515" s="31">
        <v>3</v>
      </c>
      <c r="E515" s="31">
        <v>351</v>
      </c>
      <c r="F515" s="38">
        <v>45247</v>
      </c>
      <c r="G515" s="31" t="s">
        <v>23</v>
      </c>
      <c r="H515" s="31">
        <v>450</v>
      </c>
      <c r="I515" s="31" t="str">
        <f>VLOOKUP(продажи!$B515,товар!$A$1:$C$433,2)</f>
        <v>Макароны</v>
      </c>
      <c r="J515" s="31" t="str">
        <f>VLOOKUP(B515,товар!$A$1:$C$433,3)</f>
        <v>Борилла</v>
      </c>
      <c r="K515" s="39">
        <f>AVERAGEIF(продажи!$I$2:$I$1001,продажи!$I$2:$I$1001,продажи!$C$2:$C$1001)</f>
        <v>265.47674418604652</v>
      </c>
      <c r="L515" s="40">
        <f>продажи!$C515/продажи!$K515-1</f>
        <v>-0.559283430423547</v>
      </c>
      <c r="M515" s="33">
        <f t="shared" si="16"/>
        <v>6852</v>
      </c>
      <c r="N515" s="24">
        <f>Таблица1[[#This Row],[цена за шт в рублях]]/Таблица1[[#This Row],[средняя стоимость в категории по поставщику.]]-1</f>
        <v>-0.98292469352014011</v>
      </c>
      <c r="O515" s="26">
        <f>VLOOKUP(Таблица1[[#This Row],[id клиента]],клиенты!$A$2:$E$435,5,0)</f>
        <v>44619</v>
      </c>
      <c r="P515">
        <f>Таблица1[[#This Row],[дата создания чека]]-Таблица1[[#This Row],[Дата регистрации клента]]</f>
        <v>628</v>
      </c>
      <c r="Q515" s="26">
        <f t="shared" ca="1" si="17"/>
        <v>46059</v>
      </c>
      <c r="R515" s="51">
        <f ca="1">(TODAY()-Таблица1[[#This Row],[Дата регистрации клента]])/30</f>
        <v>48</v>
      </c>
      <c r="S515" s="63" t="str">
        <f>VLOOKUP(Таблица1[[#This Row],[id клиента]],Таблица8[[id клиента]:[Страна]],7,0)</f>
        <v>Россия</v>
      </c>
      <c r="T515" s="26"/>
    </row>
    <row r="516" spans="1:20" ht="19.5" x14ac:dyDescent="0.4">
      <c r="A516" s="41">
        <v>515</v>
      </c>
      <c r="B516" s="42">
        <v>174</v>
      </c>
      <c r="C516" s="42">
        <v>301</v>
      </c>
      <c r="D516" s="42">
        <v>4</v>
      </c>
      <c r="E516" s="42">
        <v>1204</v>
      </c>
      <c r="F516" s="43">
        <v>45382</v>
      </c>
      <c r="G516" s="42" t="s">
        <v>14</v>
      </c>
      <c r="H516" s="42">
        <v>210</v>
      </c>
      <c r="I516" s="42" t="str">
        <f>VLOOKUP(продажи!$B516,товар!$A$1:$C$433,2)</f>
        <v>Чай</v>
      </c>
      <c r="J516" s="42" t="str">
        <f>VLOOKUP(B516,товар!$A$1:$C$433,3)</f>
        <v>Ахмад</v>
      </c>
      <c r="K516" s="44">
        <f>AVERAGEIF(продажи!$I$2:$I$1001,продажи!$I$2:$I$1001,продажи!$C$2:$C$1001)</f>
        <v>271.18181818181819</v>
      </c>
      <c r="L516" s="45">
        <f>продажи!$C516/продажи!$K516-1</f>
        <v>0.10995641971169956</v>
      </c>
      <c r="M516" s="33">
        <f t="shared" si="16"/>
        <v>2433</v>
      </c>
      <c r="N516" s="24">
        <f>Таблица1[[#This Row],[цена за шт в рублях]]/Таблица1[[#This Row],[средняя стоимость в категории по поставщику.]]-1</f>
        <v>-0.87628442252363337</v>
      </c>
      <c r="O516" s="26">
        <f>VLOOKUP(Таблица1[[#This Row],[id клиента]],клиенты!$A$2:$E$435,5,0)</f>
        <v>44602</v>
      </c>
      <c r="P516">
        <f>Таблица1[[#This Row],[дата создания чека]]-Таблица1[[#This Row],[Дата регистрации клента]]</f>
        <v>780</v>
      </c>
      <c r="Q516" s="26">
        <f t="shared" ca="1" si="17"/>
        <v>46059</v>
      </c>
      <c r="R516" s="51">
        <f ca="1">(TODAY()-Таблица1[[#This Row],[Дата регистрации клента]])/30</f>
        <v>48.56666666666667</v>
      </c>
      <c r="S516" s="63" t="str">
        <f>VLOOKUP(Таблица1[[#This Row],[id клиента]],Таблица8[[id клиента]:[Страна]],7,0)</f>
        <v>Узбекистан</v>
      </c>
      <c r="T516" s="26"/>
    </row>
    <row r="517" spans="1:20" ht="19.5" x14ac:dyDescent="0.4">
      <c r="A517" s="37">
        <v>516</v>
      </c>
      <c r="B517" s="31">
        <v>240</v>
      </c>
      <c r="C517" s="31">
        <v>156</v>
      </c>
      <c r="D517" s="31">
        <v>4</v>
      </c>
      <c r="E517" s="31">
        <v>624</v>
      </c>
      <c r="F517" s="38">
        <v>45317</v>
      </c>
      <c r="G517" s="31" t="s">
        <v>23</v>
      </c>
      <c r="H517" s="31">
        <v>67</v>
      </c>
      <c r="I517" s="31" t="str">
        <f>VLOOKUP(продажи!$B517,товар!$A$1:$C$433,2)</f>
        <v>Макароны</v>
      </c>
      <c r="J517" s="31" t="str">
        <f>VLOOKUP(B517,товар!$A$1:$C$433,3)</f>
        <v>Борилла</v>
      </c>
      <c r="K517" s="39">
        <f>AVERAGEIF(продажи!$I$2:$I$1001,продажи!$I$2:$I$1001,продажи!$C$2:$C$1001)</f>
        <v>265.47674418604652</v>
      </c>
      <c r="L517" s="40">
        <f>продажи!$C517/продажи!$K517-1</f>
        <v>-0.41237790723139589</v>
      </c>
      <c r="M517" s="33">
        <f t="shared" si="16"/>
        <v>6852</v>
      </c>
      <c r="N517" s="24">
        <f>Таблица1[[#This Row],[цена за шт в рублях]]/Таблица1[[#This Row],[средняя стоимость в категории по поставщику.]]-1</f>
        <v>-0.97723292469352019</v>
      </c>
      <c r="O517" s="26">
        <f>VLOOKUP(Таблица1[[#This Row],[id клиента]],клиенты!$A$2:$E$435,5,0)</f>
        <v>44731</v>
      </c>
      <c r="P517">
        <f>Таблица1[[#This Row],[дата создания чека]]-Таблица1[[#This Row],[Дата регистрации клента]]</f>
        <v>586</v>
      </c>
      <c r="Q517" s="26">
        <f t="shared" ca="1" si="17"/>
        <v>46059</v>
      </c>
      <c r="R517" s="51">
        <f ca="1">(TODAY()-Таблица1[[#This Row],[Дата регистрации клента]])/30</f>
        <v>44.266666666666666</v>
      </c>
      <c r="S517" s="63" t="str">
        <f>VLOOKUP(Таблица1[[#This Row],[id клиента]],Таблица8[[id клиента]:[Страна]],7,0)</f>
        <v>Узбекистан</v>
      </c>
      <c r="T517" s="26"/>
    </row>
    <row r="518" spans="1:20" ht="19.5" x14ac:dyDescent="0.4">
      <c r="A518" s="41">
        <v>517</v>
      </c>
      <c r="B518" s="42">
        <v>299</v>
      </c>
      <c r="C518" s="42">
        <v>141</v>
      </c>
      <c r="D518" s="42">
        <v>4</v>
      </c>
      <c r="E518" s="42">
        <v>564</v>
      </c>
      <c r="F518" s="43">
        <v>45269</v>
      </c>
      <c r="G518" s="42" t="s">
        <v>18</v>
      </c>
      <c r="H518" s="42">
        <v>125</v>
      </c>
      <c r="I518" s="42" t="str">
        <f>VLOOKUP(продажи!$B518,товар!$A$1:$C$433,2)</f>
        <v>Чай</v>
      </c>
      <c r="J518" s="42" t="str">
        <f>VLOOKUP(B518,товар!$A$1:$C$433,3)</f>
        <v>Lipton</v>
      </c>
      <c r="K518" s="44">
        <f>AVERAGEIF(продажи!$I$2:$I$1001,продажи!$I$2:$I$1001,продажи!$C$2:$C$1001)</f>
        <v>271.18181818181819</v>
      </c>
      <c r="L518" s="45">
        <f>продажи!$C518/продажи!$K518-1</f>
        <v>-0.48005363727790817</v>
      </c>
      <c r="M518" s="33">
        <f t="shared" si="16"/>
        <v>4943</v>
      </c>
      <c r="N518" s="24">
        <f>Таблица1[[#This Row],[цена за шт в рублях]]/Таблица1[[#This Row],[средняя стоимость в категории по поставщику.]]-1</f>
        <v>-0.97147481286668014</v>
      </c>
      <c r="O518" s="26">
        <f>VLOOKUP(Таблица1[[#This Row],[id клиента]],клиенты!$A$2:$E$435,5,0)</f>
        <v>44701</v>
      </c>
      <c r="P518">
        <f>Таблица1[[#This Row],[дата создания чека]]-Таблица1[[#This Row],[Дата регистрации клента]]</f>
        <v>568</v>
      </c>
      <c r="Q518" s="26">
        <f t="shared" ca="1" si="17"/>
        <v>46059</v>
      </c>
      <c r="R518" s="51">
        <f ca="1">(TODAY()-Таблица1[[#This Row],[Дата регистрации клента]])/30</f>
        <v>45.266666666666666</v>
      </c>
      <c r="S518" s="63" t="str">
        <f>VLOOKUP(Таблица1[[#This Row],[id клиента]],Таблица8[[id клиента]:[Страна]],7,0)</f>
        <v>Россия</v>
      </c>
      <c r="T518" s="26"/>
    </row>
    <row r="519" spans="1:20" ht="19.5" x14ac:dyDescent="0.4">
      <c r="A519" s="37">
        <v>518</v>
      </c>
      <c r="B519" s="31">
        <v>481</v>
      </c>
      <c r="C519" s="31">
        <v>463</v>
      </c>
      <c r="D519" s="31">
        <v>2</v>
      </c>
      <c r="E519" s="31">
        <v>926</v>
      </c>
      <c r="F519" s="38">
        <v>45171</v>
      </c>
      <c r="G519" s="31" t="s">
        <v>22</v>
      </c>
      <c r="H519" s="31">
        <v>213</v>
      </c>
      <c r="I519" s="31" t="str">
        <f>VLOOKUP(продажи!$B519,товар!$A$1:$C$433,2)</f>
        <v>Чипсы</v>
      </c>
      <c r="J519" s="31" t="str">
        <f>VLOOKUP(B519,товар!$A$1:$C$433,3)</f>
        <v>Pringles</v>
      </c>
      <c r="K519" s="39">
        <f>AVERAGEIF(продажи!$I$2:$I$1001,продажи!$I$2:$I$1001,продажи!$C$2:$C$1001)</f>
        <v>273.72549019607845</v>
      </c>
      <c r="L519" s="40">
        <f>продажи!$C519/продажи!$K519-1</f>
        <v>0.69147564469914036</v>
      </c>
      <c r="M519" s="33">
        <f t="shared" si="16"/>
        <v>5885</v>
      </c>
      <c r="N519" s="24">
        <f>Таблица1[[#This Row],[цена за шт в рублях]]/Таблица1[[#This Row],[средняя стоимость в категории по поставщику.]]-1</f>
        <v>-0.92132540356839421</v>
      </c>
      <c r="O519" s="26">
        <f>VLOOKUP(Таблица1[[#This Row],[id клиента]],клиенты!$A$2:$E$435,5,0)</f>
        <v>44733</v>
      </c>
      <c r="P519">
        <f>Таблица1[[#This Row],[дата создания чека]]-Таблица1[[#This Row],[Дата регистрации клента]]</f>
        <v>438</v>
      </c>
      <c r="Q519" s="26">
        <f t="shared" ca="1" si="17"/>
        <v>46059</v>
      </c>
      <c r="R519" s="51">
        <f ca="1">(TODAY()-Таблица1[[#This Row],[Дата регистрации клента]])/30</f>
        <v>44.2</v>
      </c>
      <c r="S519" s="63" t="str">
        <f>VLOOKUP(Таблица1[[#This Row],[id клиента]],Таблица8[[id клиента]:[Страна]],7,0)</f>
        <v>Узбекистан</v>
      </c>
      <c r="T519" s="26"/>
    </row>
    <row r="520" spans="1:20" ht="19.5" x14ac:dyDescent="0.4">
      <c r="A520" s="41">
        <v>519</v>
      </c>
      <c r="B520" s="42">
        <v>213</v>
      </c>
      <c r="C520" s="42">
        <v>432</v>
      </c>
      <c r="D520" s="42">
        <v>3</v>
      </c>
      <c r="E520" s="42">
        <v>1296</v>
      </c>
      <c r="F520" s="43">
        <v>45196</v>
      </c>
      <c r="G520" s="42" t="s">
        <v>21</v>
      </c>
      <c r="H520" s="42">
        <v>254</v>
      </c>
      <c r="I520" s="42" t="str">
        <f>VLOOKUP(продажи!$B520,товар!$A$1:$C$433,2)</f>
        <v>Сахар</v>
      </c>
      <c r="J520" s="42" t="str">
        <f>VLOOKUP(B520,товар!$A$1:$C$433,3)</f>
        <v>Продимекс</v>
      </c>
      <c r="K520" s="44">
        <f>AVERAGEIF(продажи!$I$2:$I$1001,продажи!$I$2:$I$1001,продажи!$C$2:$C$1001)</f>
        <v>254.58333333333334</v>
      </c>
      <c r="L520" s="45">
        <f>продажи!$C520/продажи!$K520-1</f>
        <v>0.69689034369885428</v>
      </c>
      <c r="M520" s="33">
        <f t="shared" si="16"/>
        <v>5172</v>
      </c>
      <c r="N520" s="24">
        <f>Таблица1[[#This Row],[цена за шт в рублях]]/Таблица1[[#This Row],[средняя стоимость в категории по поставщику.]]-1</f>
        <v>-0.91647331786542918</v>
      </c>
      <c r="O520" s="26">
        <f>VLOOKUP(Таблица1[[#This Row],[id клиента]],клиенты!$A$2:$E$435,5,0)</f>
        <v>44862</v>
      </c>
      <c r="P520">
        <f>Таблица1[[#This Row],[дата создания чека]]-Таблица1[[#This Row],[Дата регистрации клента]]</f>
        <v>334</v>
      </c>
      <c r="Q520" s="26">
        <f t="shared" ca="1" si="17"/>
        <v>46059</v>
      </c>
      <c r="R520" s="51">
        <f ca="1">(TODAY()-Таблица1[[#This Row],[Дата регистрации клента]])/30</f>
        <v>39.9</v>
      </c>
      <c r="S520" s="63" t="str">
        <f>VLOOKUP(Таблица1[[#This Row],[id клиента]],Таблица8[[id клиента]:[Страна]],7,0)</f>
        <v>Беларусь</v>
      </c>
      <c r="T520" s="26"/>
    </row>
    <row r="521" spans="1:20" ht="19.5" x14ac:dyDescent="0.4">
      <c r="A521" s="37">
        <v>520</v>
      </c>
      <c r="B521" s="31">
        <v>484</v>
      </c>
      <c r="C521" s="31">
        <v>238</v>
      </c>
      <c r="D521" s="31">
        <v>2</v>
      </c>
      <c r="E521" s="31">
        <v>476</v>
      </c>
      <c r="F521" s="38">
        <v>45364</v>
      </c>
      <c r="G521" s="31" t="s">
        <v>14</v>
      </c>
      <c r="H521" s="31">
        <v>252</v>
      </c>
      <c r="I521" s="31" t="str">
        <f>VLOOKUP(продажи!$B521,товар!$A$1:$C$433,2)</f>
        <v>Печенье</v>
      </c>
      <c r="J521" s="31" t="str">
        <f>VLOOKUP(B521,товар!$A$1:$C$433,3)</f>
        <v>КДВ</v>
      </c>
      <c r="K521" s="39">
        <f>AVERAGEIF(продажи!$I$2:$I$1001,продажи!$I$2:$I$1001,продажи!$C$2:$C$1001)</f>
        <v>283.468085106383</v>
      </c>
      <c r="L521" s="40">
        <f>продажи!$C521/продажи!$K521-1</f>
        <v>-0.16039930946483527</v>
      </c>
      <c r="M521" s="33">
        <f t="shared" si="16"/>
        <v>4200</v>
      </c>
      <c r="N521" s="24">
        <f>Таблица1[[#This Row],[цена за шт в рублях]]/Таблица1[[#This Row],[средняя стоимость в категории по поставщику.]]-1</f>
        <v>-0.94333333333333336</v>
      </c>
      <c r="O521" s="26">
        <f>VLOOKUP(Таблица1[[#This Row],[id клиента]],клиенты!$A$2:$E$435,5,0)</f>
        <v>44643</v>
      </c>
      <c r="P521">
        <f>Таблица1[[#This Row],[дата создания чека]]-Таблица1[[#This Row],[Дата регистрации клента]]</f>
        <v>721</v>
      </c>
      <c r="Q521" s="26">
        <f t="shared" ca="1" si="17"/>
        <v>46059</v>
      </c>
      <c r="R521" s="51">
        <f ca="1">(TODAY()-Таблица1[[#This Row],[Дата регистрации клента]])/30</f>
        <v>47.2</v>
      </c>
      <c r="S521" s="63" t="str">
        <f>VLOOKUP(Таблица1[[#This Row],[id клиента]],Таблица8[[id клиента]:[Страна]],7,0)</f>
        <v>Россия</v>
      </c>
      <c r="T521" s="26"/>
    </row>
    <row r="522" spans="1:20" ht="19.5" x14ac:dyDescent="0.4">
      <c r="A522" s="41">
        <v>521</v>
      </c>
      <c r="B522" s="42">
        <v>479</v>
      </c>
      <c r="C522" s="42">
        <v>131</v>
      </c>
      <c r="D522" s="42">
        <v>5</v>
      </c>
      <c r="E522" s="42">
        <v>655</v>
      </c>
      <c r="F522" s="43">
        <v>44965</v>
      </c>
      <c r="G522" s="42" t="s">
        <v>12</v>
      </c>
      <c r="H522" s="42">
        <v>164</v>
      </c>
      <c r="I522" s="42" t="str">
        <f>VLOOKUP(продажи!$B522,товар!$A$1:$C$433,2)</f>
        <v>Овощи</v>
      </c>
      <c r="J522" s="42" t="str">
        <f>VLOOKUP(B522,товар!$A$1:$C$433,3)</f>
        <v>Гавриш</v>
      </c>
      <c r="K522" s="44">
        <f>AVERAGEIF(продажи!$I$2:$I$1001,продажи!$I$2:$I$1001,продажи!$C$2:$C$1001)</f>
        <v>250.48780487804879</v>
      </c>
      <c r="L522" s="45">
        <f>продажи!$C522/продажи!$K522-1</f>
        <v>-0.47702044790652387</v>
      </c>
      <c r="M522" s="33">
        <f t="shared" si="16"/>
        <v>2229</v>
      </c>
      <c r="N522" s="24">
        <f>Таблица1[[#This Row],[цена за шт в рублях]]/Таблица1[[#This Row],[средняя стоимость в категории по поставщику.]]-1</f>
        <v>-0.94122925078510544</v>
      </c>
      <c r="O522" s="26">
        <f>VLOOKUP(Таблица1[[#This Row],[id клиента]],клиенты!$A$2:$E$435,5,0)</f>
        <v>44678</v>
      </c>
      <c r="P522">
        <f>Таблица1[[#This Row],[дата создания чека]]-Таблица1[[#This Row],[Дата регистрации клента]]</f>
        <v>287</v>
      </c>
      <c r="Q522" s="26">
        <f t="shared" ca="1" si="17"/>
        <v>46059</v>
      </c>
      <c r="R522" s="51">
        <f ca="1">(TODAY()-Таблица1[[#This Row],[Дата регистрации клента]])/30</f>
        <v>46.033333333333331</v>
      </c>
      <c r="S522" s="63" t="str">
        <f>VLOOKUP(Таблица1[[#This Row],[id клиента]],Таблица8[[id клиента]:[Страна]],7,0)</f>
        <v>Россия</v>
      </c>
      <c r="T522" s="26"/>
    </row>
    <row r="523" spans="1:20" ht="19.5" x14ac:dyDescent="0.4">
      <c r="A523" s="37">
        <v>522</v>
      </c>
      <c r="B523" s="31">
        <v>159</v>
      </c>
      <c r="C523" s="31">
        <v>225</v>
      </c>
      <c r="D523" s="31">
        <v>1</v>
      </c>
      <c r="E523" s="31">
        <v>225</v>
      </c>
      <c r="F523" s="38">
        <v>45016</v>
      </c>
      <c r="G523" s="31" t="s">
        <v>21</v>
      </c>
      <c r="H523" s="31">
        <v>258</v>
      </c>
      <c r="I523" s="31" t="str">
        <f>VLOOKUP(продажи!$B523,товар!$A$1:$C$433,2)</f>
        <v>Крупа</v>
      </c>
      <c r="J523" s="31" t="str">
        <f>VLOOKUP(B523,товар!$A$1:$C$433,3)</f>
        <v>Националь</v>
      </c>
      <c r="K523" s="39">
        <f>AVERAGEIF(продажи!$I$2:$I$1001,продажи!$I$2:$I$1001,продажи!$C$2:$C$1001)</f>
        <v>255.11627906976744</v>
      </c>
      <c r="L523" s="40">
        <f>продажи!$C523/продажи!$K523-1</f>
        <v>-0.11804922515952598</v>
      </c>
      <c r="M523" s="33">
        <f t="shared" si="16"/>
        <v>1920</v>
      </c>
      <c r="N523" s="24">
        <f>Таблица1[[#This Row],[цена за шт в рублях]]/Таблица1[[#This Row],[средняя стоимость в категории по поставщику.]]-1</f>
        <v>-0.8828125</v>
      </c>
      <c r="O523" s="26">
        <f>VLOOKUP(Таблица1[[#This Row],[id клиента]],клиенты!$A$2:$E$435,5,0)</f>
        <v>44717</v>
      </c>
      <c r="P523">
        <f>Таблица1[[#This Row],[дата создания чека]]-Таблица1[[#This Row],[Дата регистрации клента]]</f>
        <v>299</v>
      </c>
      <c r="Q523" s="26">
        <f t="shared" ca="1" si="17"/>
        <v>46059</v>
      </c>
      <c r="R523" s="51">
        <f ca="1">(TODAY()-Таблица1[[#This Row],[Дата регистрации клента]])/30</f>
        <v>44.733333333333334</v>
      </c>
      <c r="S523" s="63" t="str">
        <f>VLOOKUP(Таблица1[[#This Row],[id клиента]],Таблица8[[id клиента]:[Страна]],7,0)</f>
        <v>Украина</v>
      </c>
      <c r="T523" s="26"/>
    </row>
    <row r="524" spans="1:20" ht="19.5" x14ac:dyDescent="0.4">
      <c r="A524" s="41">
        <v>523</v>
      </c>
      <c r="B524" s="42">
        <v>110</v>
      </c>
      <c r="C524" s="42">
        <v>279</v>
      </c>
      <c r="D524" s="42">
        <v>1</v>
      </c>
      <c r="E524" s="42">
        <v>279</v>
      </c>
      <c r="F524" s="43">
        <v>45311</v>
      </c>
      <c r="G524" s="42" t="s">
        <v>18</v>
      </c>
      <c r="H524" s="42">
        <v>290</v>
      </c>
      <c r="I524" s="42" t="str">
        <f>VLOOKUP(продажи!$B524,товар!$A$1:$C$433,2)</f>
        <v>Макароны</v>
      </c>
      <c r="J524" s="42" t="str">
        <f>VLOOKUP(B524,товар!$A$1:$C$433,3)</f>
        <v>Паста Зара</v>
      </c>
      <c r="K524" s="44">
        <f>AVERAGEIF(продажи!$I$2:$I$1001,продажи!$I$2:$I$1001,продажи!$C$2:$C$1001)</f>
        <v>265.47674418604652</v>
      </c>
      <c r="L524" s="45">
        <f>продажи!$C524/продажи!$K524-1</f>
        <v>5.0939512066926484E-2</v>
      </c>
      <c r="M524" s="33">
        <f t="shared" si="16"/>
        <v>10237</v>
      </c>
      <c r="N524" s="24">
        <f>Таблица1[[#This Row],[цена за шт в рублях]]/Таблица1[[#This Row],[средняя стоимость в категории по поставщику.]]-1</f>
        <v>-0.97274592165673535</v>
      </c>
      <c r="O524" s="26">
        <f>VLOOKUP(Таблица1[[#This Row],[id клиента]],клиенты!$A$2:$E$435,5,0)</f>
        <v>44777</v>
      </c>
      <c r="P524">
        <f>Таблица1[[#This Row],[дата создания чека]]-Таблица1[[#This Row],[Дата регистрации клента]]</f>
        <v>534</v>
      </c>
      <c r="Q524" s="26">
        <f t="shared" ca="1" si="17"/>
        <v>46059</v>
      </c>
      <c r="R524" s="51">
        <f ca="1">(TODAY()-Таблица1[[#This Row],[Дата регистрации клента]])/30</f>
        <v>42.733333333333334</v>
      </c>
      <c r="S524" s="63" t="str">
        <f>VLOOKUP(Таблица1[[#This Row],[id клиента]],Таблица8[[id клиента]:[Страна]],7,0)</f>
        <v>Россия</v>
      </c>
      <c r="T524" s="26"/>
    </row>
    <row r="525" spans="1:20" ht="19.5" x14ac:dyDescent="0.4">
      <c r="A525" s="37">
        <v>524</v>
      </c>
      <c r="B525" s="31">
        <v>224</v>
      </c>
      <c r="C525" s="31">
        <v>161</v>
      </c>
      <c r="D525" s="31">
        <v>2</v>
      </c>
      <c r="E525" s="31">
        <v>322</v>
      </c>
      <c r="F525" s="38">
        <v>45177</v>
      </c>
      <c r="G525" s="31" t="s">
        <v>18</v>
      </c>
      <c r="H525" s="31">
        <v>336</v>
      </c>
      <c r="I525" s="31" t="str">
        <f>VLOOKUP(продажи!$B525,товар!$A$1:$C$433,2)</f>
        <v>Чипсы</v>
      </c>
      <c r="J525" s="31" t="str">
        <f>VLOOKUP(B525,товар!$A$1:$C$433,3)</f>
        <v>Pringles</v>
      </c>
      <c r="K525" s="39">
        <f>AVERAGEIF(продажи!$I$2:$I$1001,продажи!$I$2:$I$1001,продажи!$C$2:$C$1001)</f>
        <v>273.72549019607845</v>
      </c>
      <c r="L525" s="40">
        <f>продажи!$C525/продажи!$K525-1</f>
        <v>-0.41181948424068771</v>
      </c>
      <c r="M525" s="33">
        <f t="shared" si="16"/>
        <v>5885</v>
      </c>
      <c r="N525" s="24">
        <f>Таблица1[[#This Row],[цена за шт в рублях]]/Таблица1[[#This Row],[средняя стоимость в категории по поставщику.]]-1</f>
        <v>-0.97264231096006792</v>
      </c>
      <c r="O525" s="26">
        <f>VLOOKUP(Таблица1[[#This Row],[id клиента]],клиенты!$A$2:$E$435,5,0)</f>
        <v>44856</v>
      </c>
      <c r="P525">
        <f>Таблица1[[#This Row],[дата создания чека]]-Таблица1[[#This Row],[Дата регистрации клента]]</f>
        <v>321</v>
      </c>
      <c r="Q525" s="26">
        <f t="shared" ca="1" si="17"/>
        <v>46059</v>
      </c>
      <c r="R525" s="51">
        <f ca="1">(TODAY()-Таблица1[[#This Row],[Дата регистрации клента]])/30</f>
        <v>40.1</v>
      </c>
      <c r="S525" s="63" t="str">
        <f>VLOOKUP(Таблица1[[#This Row],[id клиента]],Таблица8[[id клиента]:[Страна]],7,0)</f>
        <v>Узбекистан</v>
      </c>
      <c r="T525" s="26"/>
    </row>
    <row r="526" spans="1:20" ht="19.5" x14ac:dyDescent="0.4">
      <c r="A526" s="41">
        <v>525</v>
      </c>
      <c r="B526" s="42">
        <v>126</v>
      </c>
      <c r="C526" s="42">
        <v>267</v>
      </c>
      <c r="D526" s="42">
        <v>1</v>
      </c>
      <c r="E526" s="42">
        <v>267</v>
      </c>
      <c r="F526" s="43">
        <v>44989</v>
      </c>
      <c r="G526" s="42" t="s">
        <v>24</v>
      </c>
      <c r="H526" s="42">
        <v>437</v>
      </c>
      <c r="I526" s="42" t="str">
        <f>VLOOKUP(продажи!$B526,товар!$A$1:$C$433,2)</f>
        <v>Сахар</v>
      </c>
      <c r="J526" s="42" t="str">
        <f>VLOOKUP(B526,товар!$A$1:$C$433,3)</f>
        <v>Русский сахар</v>
      </c>
      <c r="K526" s="44">
        <f>AVERAGEIF(продажи!$I$2:$I$1001,продажи!$I$2:$I$1001,продажи!$C$2:$C$1001)</f>
        <v>254.58333333333334</v>
      </c>
      <c r="L526" s="45">
        <f>продажи!$C526/продажи!$K526-1</f>
        <v>4.8772504091652902E-2</v>
      </c>
      <c r="M526" s="33">
        <f t="shared" si="16"/>
        <v>4988</v>
      </c>
      <c r="N526" s="24">
        <f>Таблица1[[#This Row],[цена за шт в рублях]]/Таблица1[[#This Row],[средняя стоимость в категории по поставщику.]]-1</f>
        <v>-0.94647153167602249</v>
      </c>
      <c r="O526" s="26">
        <f>VLOOKUP(Таблица1[[#This Row],[id клиента]],клиенты!$A$2:$E$435,5,0)</f>
        <v>44576</v>
      </c>
      <c r="P526">
        <f>Таблица1[[#This Row],[дата создания чека]]-Таблица1[[#This Row],[Дата регистрации клента]]</f>
        <v>413</v>
      </c>
      <c r="Q526" s="26">
        <f t="shared" ca="1" si="17"/>
        <v>46059</v>
      </c>
      <c r="R526" s="51">
        <f ca="1">(TODAY()-Таблица1[[#This Row],[Дата регистрации клента]])/30</f>
        <v>49.43333333333333</v>
      </c>
      <c r="S526" s="63" t="str">
        <f>VLOOKUP(Таблица1[[#This Row],[id клиента]],Таблица8[[id клиента]:[Страна]],7,0)</f>
        <v>Узбекистан</v>
      </c>
      <c r="T526" s="26"/>
    </row>
    <row r="527" spans="1:20" ht="19.5" x14ac:dyDescent="0.4">
      <c r="A527" s="37">
        <v>526</v>
      </c>
      <c r="B527" s="31">
        <v>344</v>
      </c>
      <c r="C527" s="31">
        <v>110</v>
      </c>
      <c r="D527" s="31">
        <v>4</v>
      </c>
      <c r="E527" s="31">
        <v>440</v>
      </c>
      <c r="F527" s="38">
        <v>45284</v>
      </c>
      <c r="G527" s="31" t="s">
        <v>25</v>
      </c>
      <c r="H527" s="31">
        <v>294</v>
      </c>
      <c r="I527" s="31" t="str">
        <f>VLOOKUP(продажи!$B527,товар!$A$1:$C$433,2)</f>
        <v>Сок</v>
      </c>
      <c r="J527" s="31" t="str">
        <f>VLOOKUP(B527,товар!$A$1:$C$433,3)</f>
        <v>Сады Придонья</v>
      </c>
      <c r="K527" s="39">
        <f>AVERAGEIF(продажи!$I$2:$I$1001,продажи!$I$2:$I$1001,продажи!$C$2:$C$1001)</f>
        <v>268.60344827586209</v>
      </c>
      <c r="L527" s="40">
        <f>продажи!$C527/продажи!$K527-1</f>
        <v>-0.59047435650555236</v>
      </c>
      <c r="M527" s="33">
        <f t="shared" si="16"/>
        <v>2796</v>
      </c>
      <c r="N527" s="24">
        <f>Таблица1[[#This Row],[цена за шт в рублях]]/Таблица1[[#This Row],[средняя стоимость в категории по поставщику.]]-1</f>
        <v>-0.96065808297567956</v>
      </c>
      <c r="O527" s="26">
        <f>VLOOKUP(Таблица1[[#This Row],[id клиента]],клиенты!$A$2:$E$435,5,0)</f>
        <v>44879</v>
      </c>
      <c r="P527">
        <f>Таблица1[[#This Row],[дата создания чека]]-Таблица1[[#This Row],[Дата регистрации клента]]</f>
        <v>405</v>
      </c>
      <c r="Q527" s="26">
        <f t="shared" ca="1" si="17"/>
        <v>46059</v>
      </c>
      <c r="R527" s="51">
        <f ca="1">(TODAY()-Таблица1[[#This Row],[Дата регистрации клента]])/30</f>
        <v>39.333333333333336</v>
      </c>
      <c r="S527" s="63" t="str">
        <f>VLOOKUP(Таблица1[[#This Row],[id клиента]],Таблица8[[id клиента]:[Страна]],7,0)</f>
        <v>Украина</v>
      </c>
      <c r="T527" s="26"/>
    </row>
    <row r="528" spans="1:20" ht="19.5" x14ac:dyDescent="0.4">
      <c r="A528" s="41">
        <v>527</v>
      </c>
      <c r="B528" s="42">
        <v>447</v>
      </c>
      <c r="C528" s="42">
        <v>316</v>
      </c>
      <c r="D528" s="42">
        <v>1</v>
      </c>
      <c r="E528" s="42">
        <v>316</v>
      </c>
      <c r="F528" s="43">
        <v>45121</v>
      </c>
      <c r="G528" s="42" t="s">
        <v>17</v>
      </c>
      <c r="H528" s="42">
        <v>297</v>
      </c>
      <c r="I528" s="42" t="str">
        <f>VLOOKUP(продажи!$B528,товар!$A$1:$C$433,2)</f>
        <v>Йогурт</v>
      </c>
      <c r="J528" s="42" t="str">
        <f>VLOOKUP(B528,товар!$A$1:$C$433,3)</f>
        <v>Эрманн</v>
      </c>
      <c r="K528" s="44">
        <f>AVERAGEIF(продажи!$I$2:$I$1001,продажи!$I$2:$I$1001,продажи!$C$2:$C$1001)</f>
        <v>263.25423728813558</v>
      </c>
      <c r="L528" s="45">
        <f>продажи!$C528/продажи!$K528-1</f>
        <v>0.20036054596961117</v>
      </c>
      <c r="M528" s="33">
        <f t="shared" si="16"/>
        <v>4970</v>
      </c>
      <c r="N528" s="24">
        <f>Таблица1[[#This Row],[цена за шт в рублях]]/Таблица1[[#This Row],[средняя стоимость в категории по поставщику.]]-1</f>
        <v>-0.9364185110663984</v>
      </c>
      <c r="O528" s="26">
        <f>VLOOKUP(Таблица1[[#This Row],[id клиента]],клиенты!$A$2:$E$435,5,0)</f>
        <v>44666</v>
      </c>
      <c r="P528">
        <f>Таблица1[[#This Row],[дата создания чека]]-Таблица1[[#This Row],[Дата регистрации клента]]</f>
        <v>455</v>
      </c>
      <c r="Q528" s="26">
        <f t="shared" ca="1" si="17"/>
        <v>46059</v>
      </c>
      <c r="R528" s="51">
        <f ca="1">(TODAY()-Таблица1[[#This Row],[Дата регистрации клента]])/30</f>
        <v>46.43333333333333</v>
      </c>
      <c r="S528" s="63" t="str">
        <f>VLOOKUP(Таблица1[[#This Row],[id клиента]],Таблица8[[id клиента]:[Страна]],7,0)</f>
        <v>Украина</v>
      </c>
      <c r="T528" s="26"/>
    </row>
    <row r="529" spans="1:20" ht="19.5" x14ac:dyDescent="0.4">
      <c r="A529" s="37">
        <v>528</v>
      </c>
      <c r="B529" s="31">
        <v>450</v>
      </c>
      <c r="C529" s="31">
        <v>228</v>
      </c>
      <c r="D529" s="31">
        <v>4</v>
      </c>
      <c r="E529" s="31">
        <v>912</v>
      </c>
      <c r="F529" s="38">
        <v>45193</v>
      </c>
      <c r="G529" s="31" t="s">
        <v>15</v>
      </c>
      <c r="H529" s="31">
        <v>27</v>
      </c>
      <c r="I529" s="31" t="str">
        <f>VLOOKUP(продажи!$B529,товар!$A$1:$C$433,2)</f>
        <v>Хлеб</v>
      </c>
      <c r="J529" s="31" t="str">
        <f>VLOOKUP(B529,товар!$A$1:$C$433,3)</f>
        <v>Хлебный Дом</v>
      </c>
      <c r="K529" s="39">
        <f>AVERAGEIF(продажи!$I$2:$I$1001,продажи!$I$2:$I$1001,продажи!$C$2:$C$1001)</f>
        <v>300.31818181818181</v>
      </c>
      <c r="L529" s="40">
        <f>продажи!$C529/продажи!$K529-1</f>
        <v>-0.24080520659906157</v>
      </c>
      <c r="M529" s="33">
        <f t="shared" si="16"/>
        <v>4226</v>
      </c>
      <c r="N529" s="24">
        <f>Таблица1[[#This Row],[цена за шт в рублях]]/Таблица1[[#This Row],[средняя стоимость в категории по поставщику.]]-1</f>
        <v>-0.94604827259820157</v>
      </c>
      <c r="O529" s="26">
        <f>VLOOKUP(Таблица1[[#This Row],[id клиента]],клиенты!$A$2:$E$435,5,0)</f>
        <v>44586</v>
      </c>
      <c r="P529">
        <f>Таблица1[[#This Row],[дата создания чека]]-Таблица1[[#This Row],[Дата регистрации клента]]</f>
        <v>607</v>
      </c>
      <c r="Q529" s="26">
        <f t="shared" ca="1" si="17"/>
        <v>46059</v>
      </c>
      <c r="R529" s="51">
        <f ca="1">(TODAY()-Таблица1[[#This Row],[Дата регистрации клента]])/30</f>
        <v>49.1</v>
      </c>
      <c r="S529" s="63" t="str">
        <f>VLOOKUP(Таблица1[[#This Row],[id клиента]],Таблица8[[id клиента]:[Страна]],7,0)</f>
        <v>Украина</v>
      </c>
      <c r="T529" s="26"/>
    </row>
    <row r="530" spans="1:20" ht="19.5" x14ac:dyDescent="0.4">
      <c r="A530" s="41">
        <v>529</v>
      </c>
      <c r="B530" s="42">
        <v>60</v>
      </c>
      <c r="C530" s="42">
        <v>100</v>
      </c>
      <c r="D530" s="42">
        <v>1</v>
      </c>
      <c r="E530" s="42">
        <v>100</v>
      </c>
      <c r="F530" s="43">
        <v>45397</v>
      </c>
      <c r="G530" s="42" t="s">
        <v>27</v>
      </c>
      <c r="H530" s="42">
        <v>102</v>
      </c>
      <c r="I530" s="42" t="str">
        <f>VLOOKUP(продажи!$B530,товар!$A$1:$C$433,2)</f>
        <v>Кофе</v>
      </c>
      <c r="J530" s="42" t="str">
        <f>VLOOKUP(B530,товар!$A$1:$C$433,3)</f>
        <v>Jacobs</v>
      </c>
      <c r="K530" s="44">
        <f>AVERAGEIF(продажи!$I$2:$I$1001,продажи!$I$2:$I$1001,продажи!$C$2:$C$1001)</f>
        <v>249.02380952380952</v>
      </c>
      <c r="L530" s="45">
        <f>продажи!$C530/продажи!$K530-1</f>
        <v>-0.59843197246390667</v>
      </c>
      <c r="M530" s="33">
        <f t="shared" si="16"/>
        <v>5248</v>
      </c>
      <c r="N530" s="24">
        <f>Таблица1[[#This Row],[цена за шт в рублях]]/Таблица1[[#This Row],[средняя стоимость в категории по поставщику.]]-1</f>
        <v>-0.98094512195121952</v>
      </c>
      <c r="O530" s="26">
        <f>VLOOKUP(Таблица1[[#This Row],[id клиента]],клиенты!$A$2:$E$435,5,0)</f>
        <v>44723</v>
      </c>
      <c r="P530">
        <f>Таблица1[[#This Row],[дата создания чека]]-Таблица1[[#This Row],[Дата регистрации клента]]</f>
        <v>674</v>
      </c>
      <c r="Q530" s="26">
        <f t="shared" ca="1" si="17"/>
        <v>46059</v>
      </c>
      <c r="R530" s="51">
        <f ca="1">(TODAY()-Таблица1[[#This Row],[Дата регистрации клента]])/30</f>
        <v>44.533333333333331</v>
      </c>
      <c r="S530" s="63" t="str">
        <f>VLOOKUP(Таблица1[[#This Row],[id клиента]],Таблица8[[id клиента]:[Страна]],7,0)</f>
        <v>Узбекистан</v>
      </c>
      <c r="T530" s="26"/>
    </row>
    <row r="531" spans="1:20" ht="19.5" x14ac:dyDescent="0.4">
      <c r="A531" s="37">
        <v>530</v>
      </c>
      <c r="B531" s="31">
        <v>42</v>
      </c>
      <c r="C531" s="31">
        <v>332</v>
      </c>
      <c r="D531" s="31">
        <v>2</v>
      </c>
      <c r="E531" s="31">
        <v>664</v>
      </c>
      <c r="F531" s="38">
        <v>45301</v>
      </c>
      <c r="G531" s="31" t="s">
        <v>8</v>
      </c>
      <c r="H531" s="31">
        <v>323</v>
      </c>
      <c r="I531" s="31" t="str">
        <f>VLOOKUP(продажи!$B531,товар!$A$1:$C$433,2)</f>
        <v>Рис</v>
      </c>
      <c r="J531" s="31" t="str">
        <f>VLOOKUP(B531,товар!$A$1:$C$433,3)</f>
        <v>Мистраль</v>
      </c>
      <c r="K531" s="39">
        <f>AVERAGEIF(продажи!$I$2:$I$1001,продажи!$I$2:$I$1001,продажи!$C$2:$C$1001)</f>
        <v>258.375</v>
      </c>
      <c r="L531" s="40">
        <f>продажи!$C531/продажи!$K531-1</f>
        <v>0.28495403967102084</v>
      </c>
      <c r="M531" s="33">
        <f t="shared" si="16"/>
        <v>1271</v>
      </c>
      <c r="N531" s="24">
        <f>Таблица1[[#This Row],[цена за шт в рублях]]/Таблица1[[#This Row],[средняя стоимость в категории по поставщику.]]-1</f>
        <v>-0.73878835562549172</v>
      </c>
      <c r="O531" s="26">
        <f>VLOOKUP(Таблица1[[#This Row],[id клиента]],клиенты!$A$2:$E$435,5,0)</f>
        <v>44821</v>
      </c>
      <c r="P531">
        <f>Таблица1[[#This Row],[дата создания чека]]-Таблица1[[#This Row],[Дата регистрации клента]]</f>
        <v>480</v>
      </c>
      <c r="Q531" s="26">
        <f t="shared" ca="1" si="17"/>
        <v>46059</v>
      </c>
      <c r="R531" s="51">
        <f ca="1">(TODAY()-Таблица1[[#This Row],[Дата регистрации клента]])/30</f>
        <v>41.266666666666666</v>
      </c>
      <c r="S531" s="63" t="str">
        <f>VLOOKUP(Таблица1[[#This Row],[id клиента]],Таблица8[[id клиента]:[Страна]],7,0)</f>
        <v>Таджикистан</v>
      </c>
      <c r="T531" s="26"/>
    </row>
    <row r="532" spans="1:20" ht="19.5" x14ac:dyDescent="0.4">
      <c r="A532" s="41">
        <v>531</v>
      </c>
      <c r="B532" s="42">
        <v>267</v>
      </c>
      <c r="C532" s="42">
        <v>65</v>
      </c>
      <c r="D532" s="42">
        <v>2</v>
      </c>
      <c r="E532" s="42">
        <v>130</v>
      </c>
      <c r="F532" s="43">
        <v>45142</v>
      </c>
      <c r="G532" s="42" t="s">
        <v>25</v>
      </c>
      <c r="H532" s="42">
        <v>53</v>
      </c>
      <c r="I532" s="42" t="str">
        <f>VLOOKUP(продажи!$B532,товар!$A$1:$C$433,2)</f>
        <v>Овощи</v>
      </c>
      <c r="J532" s="42" t="str">
        <f>VLOOKUP(B532,товар!$A$1:$C$433,3)</f>
        <v>Семко</v>
      </c>
      <c r="K532" s="44">
        <f>AVERAGEIF(продажи!$I$2:$I$1001,продажи!$I$2:$I$1001,продажи!$C$2:$C$1001)</f>
        <v>250.48780487804879</v>
      </c>
      <c r="L532" s="45">
        <f>продажи!$C532/продажи!$K532-1</f>
        <v>-0.740506329113924</v>
      </c>
      <c r="M532" s="33">
        <f t="shared" si="16"/>
        <v>2080</v>
      </c>
      <c r="N532" s="24">
        <f>Таблица1[[#This Row],[цена за шт в рублях]]/Таблица1[[#This Row],[средняя стоимость в категории по поставщику.]]-1</f>
        <v>-0.96875</v>
      </c>
      <c r="O532" s="26">
        <f>VLOOKUP(Таблица1[[#This Row],[id клиента]],клиенты!$A$2:$E$435,5,0)</f>
        <v>44593</v>
      </c>
      <c r="P532">
        <f>Таблица1[[#This Row],[дата создания чека]]-Таблица1[[#This Row],[Дата регистрации клента]]</f>
        <v>549</v>
      </c>
      <c r="Q532" s="26">
        <f t="shared" ca="1" si="17"/>
        <v>46059</v>
      </c>
      <c r="R532" s="51">
        <f ca="1">(TODAY()-Таблица1[[#This Row],[Дата регистрации клента]])/30</f>
        <v>48.866666666666667</v>
      </c>
      <c r="S532" s="63" t="str">
        <f>VLOOKUP(Таблица1[[#This Row],[id клиента]],Таблица8[[id клиента]:[Страна]],7,0)</f>
        <v>Россия</v>
      </c>
      <c r="T532" s="26"/>
    </row>
    <row r="533" spans="1:20" ht="19.5" x14ac:dyDescent="0.4">
      <c r="A533" s="41">
        <v>203</v>
      </c>
      <c r="B533" s="42">
        <v>369</v>
      </c>
      <c r="C533" s="42">
        <v>74</v>
      </c>
      <c r="D533" s="42">
        <v>1</v>
      </c>
      <c r="E533" s="42">
        <v>74</v>
      </c>
      <c r="F533" s="58">
        <v>45208</v>
      </c>
      <c r="G533" s="42" t="s">
        <v>18</v>
      </c>
      <c r="H533" s="56">
        <v>411</v>
      </c>
      <c r="I533" s="42" t="str">
        <f>VLOOKUP(продажи!$B204,товар!$A$1:$C$433,2)</f>
        <v>Молоко</v>
      </c>
      <c r="J533" s="42" t="str">
        <f>VLOOKUP(B533,товар!$A$1:$C$433,3)</f>
        <v>Домик в деревне</v>
      </c>
      <c r="K533" s="44">
        <f>AVERAGEIF(продажи!$I$2:$I$1001,продажи!$I$2:$I$1001,продажи!$C$2:$C$1001)</f>
        <v>294.95238095238096</v>
      </c>
      <c r="L533" s="45">
        <f>продажи!$C204/продажи!$K204-1</f>
        <v>-0.68469486599935425</v>
      </c>
      <c r="M533" s="53">
        <f t="shared" si="16"/>
        <v>4946</v>
      </c>
      <c r="N533" s="24">
        <f>Таблица1[[#This Row],[цена за шт в рублях]]/Таблица1[[#This Row],[средняя стоимость в категории по поставщику.]]-1</f>
        <v>-0.98503841488071164</v>
      </c>
      <c r="O533" s="26">
        <f>VLOOKUP(Таблица1[[#This Row],[id клиента]],клиенты!$A$2:$E$435,5,0)</f>
        <v>44673</v>
      </c>
      <c r="P533">
        <f>Таблица1[[#This Row],[дата создания чека]]-Таблица1[[#This Row],[Дата регистрации клента]]</f>
        <v>535</v>
      </c>
      <c r="Q533" s="26">
        <f t="shared" ca="1" si="17"/>
        <v>46059</v>
      </c>
      <c r="R533" s="51">
        <f ca="1">(TODAY()-Таблица1[[#This Row],[Дата регистрации клента]])/30</f>
        <v>46.2</v>
      </c>
      <c r="S533" s="63" t="str">
        <f>VLOOKUP(Таблица1[[#This Row],[id клиента]],Таблица8[[id клиента]:[Страна]],7,0)</f>
        <v>Таджикистан</v>
      </c>
      <c r="T533" s="26"/>
    </row>
    <row r="534" spans="1:20" ht="19.5" x14ac:dyDescent="0.4">
      <c r="A534" s="41">
        <v>533</v>
      </c>
      <c r="B534" s="42">
        <v>83</v>
      </c>
      <c r="C534" s="42">
        <v>315</v>
      </c>
      <c r="D534" s="42">
        <v>2</v>
      </c>
      <c r="E534" s="42">
        <v>630</v>
      </c>
      <c r="F534" s="43">
        <v>45369</v>
      </c>
      <c r="G534" s="42" t="s">
        <v>16</v>
      </c>
      <c r="H534" s="42">
        <v>135</v>
      </c>
      <c r="I534" s="42" t="str">
        <f>VLOOKUP(продажи!$B534,товар!$A$1:$C$433,2)</f>
        <v>Сок</v>
      </c>
      <c r="J534" s="42" t="str">
        <f>VLOOKUP(B534,товар!$A$1:$C$433,3)</f>
        <v>Сады Придонья</v>
      </c>
      <c r="K534" s="44">
        <f>AVERAGEIF(продажи!$I$2:$I$1001,продажи!$I$2:$I$1001,продажи!$C$2:$C$1001)</f>
        <v>268.60344827586209</v>
      </c>
      <c r="L534" s="45">
        <f>продажи!$C534/продажи!$K534-1</f>
        <v>0.17273252455228172</v>
      </c>
      <c r="M534" s="33">
        <f t="shared" si="16"/>
        <v>2796</v>
      </c>
      <c r="N534" s="24">
        <f>Таблица1[[#This Row],[цена за шт в рублях]]/Таблица1[[#This Row],[средняя стоимость в категории по поставщику.]]-1</f>
        <v>-0.88733905579399142</v>
      </c>
      <c r="O534" s="26">
        <f>VLOOKUP(Таблица1[[#This Row],[id клиента]],клиенты!$A$2:$E$435,5,0)</f>
        <v>44602</v>
      </c>
      <c r="P534">
        <f>Таблица1[[#This Row],[дата создания чека]]-Таблица1[[#This Row],[Дата регистрации клента]]</f>
        <v>767</v>
      </c>
      <c r="Q534" s="26">
        <f t="shared" ca="1" si="17"/>
        <v>46059</v>
      </c>
      <c r="R534" s="51">
        <f ca="1">(TODAY()-Таблица1[[#This Row],[Дата регистрации клента]])/30</f>
        <v>48.56666666666667</v>
      </c>
      <c r="S534" s="63" t="str">
        <f>VLOOKUP(Таблица1[[#This Row],[id клиента]],Таблица8[[id клиента]:[Страна]],7,0)</f>
        <v>Россия</v>
      </c>
      <c r="T534" s="26"/>
    </row>
    <row r="535" spans="1:20" ht="19.5" x14ac:dyDescent="0.4">
      <c r="A535" s="37">
        <v>534</v>
      </c>
      <c r="B535" s="31">
        <v>315</v>
      </c>
      <c r="C535" s="31">
        <v>348</v>
      </c>
      <c r="D535" s="31">
        <v>2</v>
      </c>
      <c r="E535" s="31">
        <v>696</v>
      </c>
      <c r="F535" s="38">
        <v>45002</v>
      </c>
      <c r="G535" s="31" t="s">
        <v>12</v>
      </c>
      <c r="H535" s="31">
        <v>402</v>
      </c>
      <c r="I535" s="31" t="str">
        <f>VLOOKUP(продажи!$B535,товар!$A$1:$C$433,2)</f>
        <v>Йогурт</v>
      </c>
      <c r="J535" s="31" t="str">
        <f>VLOOKUP(B535,товар!$A$1:$C$433,3)</f>
        <v>Чудо</v>
      </c>
      <c r="K535" s="39">
        <f>AVERAGEIF(продажи!$I$2:$I$1001,продажи!$I$2:$I$1001,продажи!$C$2:$C$1001)</f>
        <v>263.25423728813558</v>
      </c>
      <c r="L535" s="40">
        <f>продажи!$C535/продажи!$K535-1</f>
        <v>0.32191604429564769</v>
      </c>
      <c r="M535" s="33">
        <f t="shared" si="16"/>
        <v>2871</v>
      </c>
      <c r="N535" s="24">
        <f>Таблица1[[#This Row],[цена за шт в рублях]]/Таблица1[[#This Row],[средняя стоимость в категории по поставщику.]]-1</f>
        <v>-0.87878787878787878</v>
      </c>
      <c r="O535" s="26">
        <f>VLOOKUP(Таблица1[[#This Row],[id клиента]],клиенты!$A$2:$E$435,5,0)</f>
        <v>44742</v>
      </c>
      <c r="P535">
        <f>Таблица1[[#This Row],[дата создания чека]]-Таблица1[[#This Row],[Дата регистрации клента]]</f>
        <v>260</v>
      </c>
      <c r="Q535" s="26">
        <f t="shared" ca="1" si="17"/>
        <v>46059</v>
      </c>
      <c r="R535" s="51">
        <f ca="1">(TODAY()-Таблица1[[#This Row],[Дата регистрации клента]])/30</f>
        <v>43.9</v>
      </c>
      <c r="S535" s="63" t="str">
        <f>VLOOKUP(Таблица1[[#This Row],[id клиента]],Таблица8[[id клиента]:[Страна]],7,0)</f>
        <v>Узбекистан</v>
      </c>
      <c r="T535" s="26"/>
    </row>
    <row r="536" spans="1:20" ht="19.5" x14ac:dyDescent="0.4">
      <c r="A536" s="41">
        <v>535</v>
      </c>
      <c r="B536" s="42">
        <v>121</v>
      </c>
      <c r="C536" s="42">
        <v>77</v>
      </c>
      <c r="D536" s="42">
        <v>1</v>
      </c>
      <c r="E536" s="42">
        <v>77</v>
      </c>
      <c r="F536" s="43">
        <v>45047</v>
      </c>
      <c r="G536" s="42" t="s">
        <v>11</v>
      </c>
      <c r="H536" s="42">
        <v>279</v>
      </c>
      <c r="I536" s="42" t="str">
        <f>VLOOKUP(продажи!$B536,товар!$A$1:$C$433,2)</f>
        <v>Чипсы</v>
      </c>
      <c r="J536" s="42" t="str">
        <f>VLOOKUP(B536,товар!$A$1:$C$433,3)</f>
        <v>Pringles</v>
      </c>
      <c r="K536" s="44">
        <f>AVERAGEIF(продажи!$I$2:$I$1001,продажи!$I$2:$I$1001,продажи!$C$2:$C$1001)</f>
        <v>273.72549019607845</v>
      </c>
      <c r="L536" s="45">
        <f>продажи!$C536/продажи!$K536-1</f>
        <v>-0.71869627507163325</v>
      </c>
      <c r="M536" s="33">
        <f t="shared" si="16"/>
        <v>5885</v>
      </c>
      <c r="N536" s="24">
        <f>Таблица1[[#This Row],[цена за шт в рублях]]/Таблица1[[#This Row],[средняя стоимость в категории по поставщику.]]-1</f>
        <v>-0.98691588785046724</v>
      </c>
      <c r="O536" s="26">
        <f>VLOOKUP(Таблица1[[#This Row],[id клиента]],клиенты!$A$2:$E$435,5,0)</f>
        <v>44786</v>
      </c>
      <c r="P536">
        <f>Таблица1[[#This Row],[дата создания чека]]-Таблица1[[#This Row],[Дата регистрации клента]]</f>
        <v>261</v>
      </c>
      <c r="Q536" s="26">
        <f t="shared" ca="1" si="17"/>
        <v>46059</v>
      </c>
      <c r="R536" s="51">
        <f ca="1">(TODAY()-Таблица1[[#This Row],[Дата регистрации клента]])/30</f>
        <v>42.43333333333333</v>
      </c>
      <c r="S536" s="63" t="str">
        <f>VLOOKUP(Таблица1[[#This Row],[id клиента]],Таблица8[[id клиента]:[Страна]],7,0)</f>
        <v>Узбекистан</v>
      </c>
      <c r="T536" s="26"/>
    </row>
    <row r="537" spans="1:20" ht="19.5" x14ac:dyDescent="0.4">
      <c r="A537" s="37">
        <v>536</v>
      </c>
      <c r="B537" s="31">
        <v>371</v>
      </c>
      <c r="C537" s="31">
        <v>62</v>
      </c>
      <c r="D537" s="31">
        <v>5</v>
      </c>
      <c r="E537" s="31">
        <v>310</v>
      </c>
      <c r="F537" s="38">
        <v>45330</v>
      </c>
      <c r="G537" s="31" t="s">
        <v>10</v>
      </c>
      <c r="H537" s="31">
        <v>385</v>
      </c>
      <c r="I537" s="31" t="str">
        <f>VLOOKUP(продажи!$B537,товар!$A$1:$C$433,2)</f>
        <v>Сахар</v>
      </c>
      <c r="J537" s="31" t="str">
        <f>VLOOKUP(B537,товар!$A$1:$C$433,3)</f>
        <v>Русский сахар</v>
      </c>
      <c r="K537" s="39">
        <f>AVERAGEIF(продажи!$I$2:$I$1001,продажи!$I$2:$I$1001,продажи!$C$2:$C$1001)</f>
        <v>254.58333333333334</v>
      </c>
      <c r="L537" s="40">
        <f>продажи!$C537/продажи!$K537-1</f>
        <v>-0.75646481178396074</v>
      </c>
      <c r="M537" s="33">
        <f t="shared" si="16"/>
        <v>4988</v>
      </c>
      <c r="N537" s="24">
        <f>Таблица1[[#This Row],[цена за шт в рублях]]/Таблица1[[#This Row],[средняя стоимость в категории по поставщику.]]-1</f>
        <v>-0.98757016840417</v>
      </c>
      <c r="O537" s="26">
        <f>VLOOKUP(Таблица1[[#This Row],[id клиента]],клиенты!$A$2:$E$435,5,0)</f>
        <v>44753</v>
      </c>
      <c r="P537">
        <f>Таблица1[[#This Row],[дата создания чека]]-Таблица1[[#This Row],[Дата регистрации клента]]</f>
        <v>577</v>
      </c>
      <c r="Q537" s="26">
        <f t="shared" ca="1" si="17"/>
        <v>46059</v>
      </c>
      <c r="R537" s="51">
        <f ca="1">(TODAY()-Таблица1[[#This Row],[Дата регистрации клента]])/30</f>
        <v>43.533333333333331</v>
      </c>
      <c r="S537" s="63" t="str">
        <f>VLOOKUP(Таблица1[[#This Row],[id клиента]],Таблица8[[id клиента]:[Страна]],7,0)</f>
        <v>Украина</v>
      </c>
      <c r="T537" s="26"/>
    </row>
    <row r="538" spans="1:20" ht="19.5" x14ac:dyDescent="0.4">
      <c r="A538" s="41">
        <v>537</v>
      </c>
      <c r="B538" s="42">
        <v>169</v>
      </c>
      <c r="C538" s="42">
        <v>429</v>
      </c>
      <c r="D538" s="42">
        <v>2</v>
      </c>
      <c r="E538" s="42">
        <v>858</v>
      </c>
      <c r="F538" s="43">
        <v>45289</v>
      </c>
      <c r="G538" s="42" t="s">
        <v>26</v>
      </c>
      <c r="H538" s="42">
        <v>326</v>
      </c>
      <c r="I538" s="42" t="str">
        <f>VLOOKUP(продажи!$B538,товар!$A$1:$C$433,2)</f>
        <v>Фрукты</v>
      </c>
      <c r="J538" s="42" t="str">
        <f>VLOOKUP(B538,товар!$A$1:$C$433,3)</f>
        <v>Фруктовый Рай</v>
      </c>
      <c r="K538" s="44">
        <f>AVERAGEIF(продажи!$I$2:$I$1001,продажи!$I$2:$I$1001,продажи!$C$2:$C$1001)</f>
        <v>274.16279069767444</v>
      </c>
      <c r="L538" s="45">
        <f>продажи!$C538/продажи!$K538-1</f>
        <v>0.56476376282975638</v>
      </c>
      <c r="M538" s="33">
        <f t="shared" si="16"/>
        <v>3358</v>
      </c>
      <c r="N538" s="24">
        <f>Таблица1[[#This Row],[цена за шт в рублях]]/Таблица1[[#This Row],[средняя стоимость в категории по поставщику.]]-1</f>
        <v>-0.8722453841572364</v>
      </c>
      <c r="O538" s="26">
        <f>VLOOKUP(Таблица1[[#This Row],[id клиента]],клиенты!$A$2:$E$435,5,0)</f>
        <v>44655</v>
      </c>
      <c r="P538">
        <f>Таблица1[[#This Row],[дата создания чека]]-Таблица1[[#This Row],[Дата регистрации клента]]</f>
        <v>634</v>
      </c>
      <c r="Q538" s="26">
        <f t="shared" ca="1" si="17"/>
        <v>46059</v>
      </c>
      <c r="R538" s="51">
        <f ca="1">(TODAY()-Таблица1[[#This Row],[Дата регистрации клента]])/30</f>
        <v>46.8</v>
      </c>
      <c r="S538" s="63" t="str">
        <f>VLOOKUP(Таблица1[[#This Row],[id клиента]],Таблица8[[id клиента]:[Страна]],7,0)</f>
        <v>Россия</v>
      </c>
      <c r="T538" s="26"/>
    </row>
    <row r="539" spans="1:20" ht="19.5" x14ac:dyDescent="0.4">
      <c r="A539" s="37">
        <v>538</v>
      </c>
      <c r="B539" s="31">
        <v>433</v>
      </c>
      <c r="C539" s="31">
        <v>115</v>
      </c>
      <c r="D539" s="31">
        <v>4</v>
      </c>
      <c r="E539" s="31">
        <v>460</v>
      </c>
      <c r="F539" s="38">
        <v>45203</v>
      </c>
      <c r="G539" s="31" t="s">
        <v>25</v>
      </c>
      <c r="H539" s="31">
        <v>138</v>
      </c>
      <c r="I539" s="31" t="str">
        <f>VLOOKUP(продажи!$B539,товар!$A$1:$C$433,2)</f>
        <v>Рыба</v>
      </c>
      <c r="J539" s="31" t="str">
        <f>VLOOKUP(B539,товар!$A$1:$C$433,3)</f>
        <v>Меридиан</v>
      </c>
      <c r="K539" s="39">
        <f>AVERAGEIF(продажи!$I$2:$I$1001,продажи!$I$2:$I$1001,продажи!$C$2:$C$1001)</f>
        <v>258.5128205128205</v>
      </c>
      <c r="L539" s="40">
        <f>продажи!$C539/продажи!$K539-1</f>
        <v>-0.55514778813727439</v>
      </c>
      <c r="M539" s="33">
        <f t="shared" si="16"/>
        <v>4431</v>
      </c>
      <c r="N539" s="24">
        <f>Таблица1[[#This Row],[цена за шт в рублях]]/Таблица1[[#This Row],[средняя стоимость в категории по поставщику.]]-1</f>
        <v>-0.97404649063416837</v>
      </c>
      <c r="O539" s="26">
        <f>VLOOKUP(Таблица1[[#This Row],[id клиента]],клиенты!$A$2:$E$435,5,0)</f>
        <v>44723</v>
      </c>
      <c r="P539">
        <f>Таблица1[[#This Row],[дата создания чека]]-Таблица1[[#This Row],[Дата регистрации клента]]</f>
        <v>480</v>
      </c>
      <c r="Q539" s="26">
        <f t="shared" ca="1" si="17"/>
        <v>46059</v>
      </c>
      <c r="R539" s="51">
        <f ca="1">(TODAY()-Таблица1[[#This Row],[Дата регистрации клента]])/30</f>
        <v>44.533333333333331</v>
      </c>
      <c r="S539" s="63" t="str">
        <f>VLOOKUP(Таблица1[[#This Row],[id клиента]],Таблица8[[id клиента]:[Страна]],7,0)</f>
        <v>Украина</v>
      </c>
      <c r="T539" s="26"/>
    </row>
    <row r="540" spans="1:20" ht="19.5" x14ac:dyDescent="0.4">
      <c r="A540" s="41">
        <v>539</v>
      </c>
      <c r="B540" s="42">
        <v>43</v>
      </c>
      <c r="C540" s="42">
        <v>158</v>
      </c>
      <c r="D540" s="42">
        <v>5</v>
      </c>
      <c r="E540" s="42">
        <v>790</v>
      </c>
      <c r="F540" s="43">
        <v>45397</v>
      </c>
      <c r="G540" s="42" t="s">
        <v>16</v>
      </c>
      <c r="H540" s="42">
        <v>271</v>
      </c>
      <c r="I540" s="42" t="str">
        <f>VLOOKUP(продажи!$B540,товар!$A$1:$C$433,2)</f>
        <v>Печенье</v>
      </c>
      <c r="J540" s="42" t="str">
        <f>VLOOKUP(B540,товар!$A$1:$C$433,3)</f>
        <v>КДВ</v>
      </c>
      <c r="K540" s="44">
        <f>AVERAGEIF(продажи!$I$2:$I$1001,продажи!$I$2:$I$1001,продажи!$C$2:$C$1001)</f>
        <v>283.468085106383</v>
      </c>
      <c r="L540" s="45">
        <f>продажи!$C540/продажи!$K540-1</f>
        <v>-0.44261802897245373</v>
      </c>
      <c r="M540" s="33">
        <f t="shared" si="16"/>
        <v>4200</v>
      </c>
      <c r="N540" s="24">
        <f>Таблица1[[#This Row],[цена за шт в рублях]]/Таблица1[[#This Row],[средняя стоимость в категории по поставщику.]]-1</f>
        <v>-0.96238095238095234</v>
      </c>
      <c r="O540" s="26">
        <f>VLOOKUP(Таблица1[[#This Row],[id клиента]],клиенты!$A$2:$E$435,5,0)</f>
        <v>44892</v>
      </c>
      <c r="P540">
        <f>Таблица1[[#This Row],[дата создания чека]]-Таблица1[[#This Row],[Дата регистрации клента]]</f>
        <v>505</v>
      </c>
      <c r="Q540" s="26">
        <f t="shared" ca="1" si="17"/>
        <v>46059</v>
      </c>
      <c r="R540" s="51">
        <f ca="1">(TODAY()-Таблица1[[#This Row],[Дата регистрации клента]])/30</f>
        <v>38.9</v>
      </c>
      <c r="S540" s="63" t="str">
        <f>VLOOKUP(Таблица1[[#This Row],[id клиента]],Таблица8[[id клиента]:[Страна]],7,0)</f>
        <v>Беларусь</v>
      </c>
      <c r="T540" s="26"/>
    </row>
    <row r="541" spans="1:20" ht="19.5" x14ac:dyDescent="0.4">
      <c r="A541" s="37">
        <v>540</v>
      </c>
      <c r="B541" s="31">
        <v>453</v>
      </c>
      <c r="C541" s="31">
        <v>318</v>
      </c>
      <c r="D541" s="31">
        <v>4</v>
      </c>
      <c r="E541" s="31">
        <v>1272</v>
      </c>
      <c r="F541" s="38">
        <v>45355</v>
      </c>
      <c r="G541" s="31" t="s">
        <v>16</v>
      </c>
      <c r="H541" s="31">
        <v>408</v>
      </c>
      <c r="I541" s="31" t="str">
        <f>VLOOKUP(продажи!$B541,товар!$A$1:$C$433,2)</f>
        <v>Макароны</v>
      </c>
      <c r="J541" s="31" t="str">
        <f>VLOOKUP(B541,товар!$A$1:$C$433,3)</f>
        <v>Макфа</v>
      </c>
      <c r="K541" s="39">
        <f>AVERAGEIF(продажи!$I$2:$I$1001,продажи!$I$2:$I$1001,продажи!$C$2:$C$1001)</f>
        <v>265.47674418604652</v>
      </c>
      <c r="L541" s="40">
        <f>продажи!$C541/продажи!$K541-1</f>
        <v>0.19784503525907748</v>
      </c>
      <c r="M541" s="33">
        <f t="shared" si="16"/>
        <v>3622</v>
      </c>
      <c r="N541" s="24">
        <f>Таблица1[[#This Row],[цена за шт в рублях]]/Таблица1[[#This Row],[средняя стоимость в категории по поставщику.]]-1</f>
        <v>-0.91220320265046939</v>
      </c>
      <c r="O541" s="26">
        <f>VLOOKUP(Таблица1[[#This Row],[id клиента]],клиенты!$A$2:$E$435,5,0)</f>
        <v>44857</v>
      </c>
      <c r="P541">
        <f>Таблица1[[#This Row],[дата создания чека]]-Таблица1[[#This Row],[Дата регистрации клента]]</f>
        <v>498</v>
      </c>
      <c r="Q541" s="26">
        <f t="shared" ca="1" si="17"/>
        <v>46059</v>
      </c>
      <c r="R541" s="51">
        <f ca="1">(TODAY()-Таблица1[[#This Row],[Дата регистрации клента]])/30</f>
        <v>40.06666666666667</v>
      </c>
      <c r="S541" s="63" t="str">
        <f>VLOOKUP(Таблица1[[#This Row],[id клиента]],Таблица8[[id клиента]:[Страна]],7,0)</f>
        <v>Россия</v>
      </c>
      <c r="T541" s="26"/>
    </row>
    <row r="542" spans="1:20" ht="19.5" x14ac:dyDescent="0.4">
      <c r="A542" s="41">
        <v>541</v>
      </c>
      <c r="B542" s="42">
        <v>403</v>
      </c>
      <c r="C542" s="42">
        <v>184</v>
      </c>
      <c r="D542" s="42">
        <v>5</v>
      </c>
      <c r="E542" s="42">
        <v>920</v>
      </c>
      <c r="F542" s="43">
        <v>45378</v>
      </c>
      <c r="G542" s="42" t="s">
        <v>11</v>
      </c>
      <c r="H542" s="42">
        <v>444</v>
      </c>
      <c r="I542" s="42" t="str">
        <f>VLOOKUP(продажи!$B542,товар!$A$1:$C$433,2)</f>
        <v>Чай</v>
      </c>
      <c r="J542" s="42" t="str">
        <f>VLOOKUP(B542,товар!$A$1:$C$433,3)</f>
        <v>Ахмад</v>
      </c>
      <c r="K542" s="44">
        <f>AVERAGEIF(продажи!$I$2:$I$1001,продажи!$I$2:$I$1001,продажи!$C$2:$C$1001)</f>
        <v>271.18181818181819</v>
      </c>
      <c r="L542" s="45">
        <f>продажи!$C542/продажи!$K542-1</f>
        <v>-0.32148843446195108</v>
      </c>
      <c r="M542" s="33">
        <f t="shared" si="16"/>
        <v>2433</v>
      </c>
      <c r="N542" s="24">
        <f>Таблица1[[#This Row],[цена за шт в рублях]]/Таблица1[[#This Row],[средняя стоимость в категории по поставщику.]]-1</f>
        <v>-0.92437320180846694</v>
      </c>
      <c r="O542" s="26">
        <f>VLOOKUP(Таблица1[[#This Row],[id клиента]],клиенты!$A$2:$E$435,5,0)</f>
        <v>44688</v>
      </c>
      <c r="P542">
        <f>Таблица1[[#This Row],[дата создания чека]]-Таблица1[[#This Row],[Дата регистрации клента]]</f>
        <v>690</v>
      </c>
      <c r="Q542" s="26">
        <f t="shared" ca="1" si="17"/>
        <v>46059</v>
      </c>
      <c r="R542" s="51">
        <f ca="1">(TODAY()-Таблица1[[#This Row],[Дата регистрации клента]])/30</f>
        <v>45.7</v>
      </c>
      <c r="S542" s="63" t="str">
        <f>VLOOKUP(Таблица1[[#This Row],[id клиента]],Таблица8[[id клиента]:[Страна]],7,0)</f>
        <v>Россия</v>
      </c>
      <c r="T542" s="26"/>
    </row>
    <row r="543" spans="1:20" ht="19.5" x14ac:dyDescent="0.4">
      <c r="A543" s="37">
        <v>542</v>
      </c>
      <c r="B543" s="31">
        <v>248</v>
      </c>
      <c r="C543" s="31">
        <v>497</v>
      </c>
      <c r="D543" s="31">
        <v>2</v>
      </c>
      <c r="E543" s="31">
        <v>994</v>
      </c>
      <c r="F543" s="38">
        <v>45051</v>
      </c>
      <c r="G543" s="31" t="s">
        <v>17</v>
      </c>
      <c r="H543" s="31">
        <v>116</v>
      </c>
      <c r="I543" s="31" t="str">
        <f>VLOOKUP(продажи!$B543,товар!$A$1:$C$433,2)</f>
        <v>Конфеты</v>
      </c>
      <c r="J543" s="31" t="str">
        <f>VLOOKUP(B543,товар!$A$1:$C$433,3)</f>
        <v>Красный Октябрь</v>
      </c>
      <c r="K543" s="39">
        <f>AVERAGEIF(продажи!$I$2:$I$1001,продажи!$I$2:$I$1001,продажи!$C$2:$C$1001)</f>
        <v>267.85483870967744</v>
      </c>
      <c r="L543" s="40">
        <f>продажи!$C543/продажи!$K543-1</f>
        <v>0.85548262780755091</v>
      </c>
      <c r="M543" s="33">
        <f t="shared" si="16"/>
        <v>2189</v>
      </c>
      <c r="N543" s="24">
        <f>Таблица1[[#This Row],[цена за шт в рублях]]/Таблица1[[#This Row],[средняя стоимость в категории по поставщику.]]-1</f>
        <v>-0.77295568752855182</v>
      </c>
      <c r="O543" s="26">
        <f>VLOOKUP(Таблица1[[#This Row],[id клиента]],клиенты!$A$2:$E$435,5,0)</f>
        <v>44643</v>
      </c>
      <c r="P543">
        <f>Таблица1[[#This Row],[дата создания чека]]-Таблица1[[#This Row],[Дата регистрации клента]]</f>
        <v>408</v>
      </c>
      <c r="Q543" s="26">
        <f t="shared" ca="1" si="17"/>
        <v>46059</v>
      </c>
      <c r="R543" s="51">
        <f ca="1">(TODAY()-Таблица1[[#This Row],[Дата регистрации клента]])/30</f>
        <v>47.2</v>
      </c>
      <c r="S543" s="63" t="str">
        <f>VLOOKUP(Таблица1[[#This Row],[id клиента]],Таблица8[[id клиента]:[Страна]],7,0)</f>
        <v>Россия</v>
      </c>
      <c r="T543" s="26"/>
    </row>
    <row r="544" spans="1:20" ht="19.5" x14ac:dyDescent="0.4">
      <c r="A544" s="41">
        <v>543</v>
      </c>
      <c r="B544" s="42">
        <v>492</v>
      </c>
      <c r="C544" s="42">
        <v>469</v>
      </c>
      <c r="D544" s="42">
        <v>4</v>
      </c>
      <c r="E544" s="42">
        <v>1876</v>
      </c>
      <c r="F544" s="43">
        <v>45386</v>
      </c>
      <c r="G544" s="42" t="s">
        <v>10</v>
      </c>
      <c r="H544" s="42">
        <v>38</v>
      </c>
      <c r="I544" s="42" t="str">
        <f>VLOOKUP(продажи!$B544,товар!$A$1:$C$433,2)</f>
        <v>Рыба</v>
      </c>
      <c r="J544" s="42" t="str">
        <f>VLOOKUP(B544,товар!$A$1:$C$433,3)</f>
        <v>Русское море</v>
      </c>
      <c r="K544" s="44">
        <f>AVERAGEIF(продажи!$I$2:$I$1001,продажи!$I$2:$I$1001,продажи!$C$2:$C$1001)</f>
        <v>258.5128205128205</v>
      </c>
      <c r="L544" s="45">
        <f>продажи!$C544/продажи!$K544-1</f>
        <v>0.81422336837928988</v>
      </c>
      <c r="M544" s="33">
        <f t="shared" si="16"/>
        <v>878</v>
      </c>
      <c r="N544" s="24">
        <f>Таблица1[[#This Row],[цена за шт в рублях]]/Таблица1[[#This Row],[средняя стоимость в категории по поставщику.]]-1</f>
        <v>-0.46583143507972669</v>
      </c>
      <c r="O544" s="26">
        <f>VLOOKUP(Таблица1[[#This Row],[id клиента]],клиенты!$A$2:$E$435,5,0)</f>
        <v>44819</v>
      </c>
      <c r="P544">
        <f>Таблица1[[#This Row],[дата создания чека]]-Таблица1[[#This Row],[Дата регистрации клента]]</f>
        <v>567</v>
      </c>
      <c r="Q544" s="26">
        <f t="shared" ca="1" si="17"/>
        <v>46059</v>
      </c>
      <c r="R544" s="51">
        <f ca="1">(TODAY()-Таблица1[[#This Row],[Дата регистрации клента]])/30</f>
        <v>41.333333333333336</v>
      </c>
      <c r="S544" s="63" t="str">
        <f>VLOOKUP(Таблица1[[#This Row],[id клиента]],Таблица8[[id клиента]:[Страна]],7,0)</f>
        <v>Таджикистан</v>
      </c>
      <c r="T544" s="26"/>
    </row>
    <row r="545" spans="1:20" ht="19.5" x14ac:dyDescent="0.4">
      <c r="A545" s="37">
        <v>544</v>
      </c>
      <c r="B545" s="31">
        <v>428</v>
      </c>
      <c r="C545" s="31">
        <v>263</v>
      </c>
      <c r="D545" s="31">
        <v>4</v>
      </c>
      <c r="E545" s="31">
        <v>1052</v>
      </c>
      <c r="F545" s="38">
        <v>45385</v>
      </c>
      <c r="G545" s="31" t="s">
        <v>22</v>
      </c>
      <c r="H545" s="31">
        <v>136</v>
      </c>
      <c r="I545" s="31" t="str">
        <f>VLOOKUP(продажи!$B545,товар!$A$1:$C$433,2)</f>
        <v>Конфеты</v>
      </c>
      <c r="J545" s="31" t="str">
        <f>VLOOKUP(B545,товар!$A$1:$C$433,3)</f>
        <v>Бабаевский</v>
      </c>
      <c r="K545" s="39">
        <f>AVERAGEIF(продажи!$I$2:$I$1001,продажи!$I$2:$I$1001,продажи!$C$2:$C$1001)</f>
        <v>267.85483870967744</v>
      </c>
      <c r="L545" s="40">
        <f>продажи!$C545/продажи!$K545-1</f>
        <v>-1.8124887095803066E-2</v>
      </c>
      <c r="M545" s="33">
        <f t="shared" si="16"/>
        <v>6757</v>
      </c>
      <c r="N545" s="24">
        <f>Таблица1[[#This Row],[цена за шт в рублях]]/Таблица1[[#This Row],[средняя стоимость в категории по поставщику.]]-1</f>
        <v>-0.96107740121355634</v>
      </c>
      <c r="O545" s="26">
        <f>VLOOKUP(Таблица1[[#This Row],[id клиента]],клиенты!$A$2:$E$435,5,0)</f>
        <v>44860</v>
      </c>
      <c r="P545">
        <f>Таблица1[[#This Row],[дата создания чека]]-Таблица1[[#This Row],[Дата регистрации клента]]</f>
        <v>525</v>
      </c>
      <c r="Q545" s="26">
        <f t="shared" ca="1" si="17"/>
        <v>46059</v>
      </c>
      <c r="R545" s="51">
        <f ca="1">(TODAY()-Таблица1[[#This Row],[Дата регистрации клента]])/30</f>
        <v>39.966666666666669</v>
      </c>
      <c r="S545" s="63" t="str">
        <f>VLOOKUP(Таблица1[[#This Row],[id клиента]],Таблица8[[id клиента]:[Страна]],7,0)</f>
        <v>Украина</v>
      </c>
      <c r="T545" s="26"/>
    </row>
    <row r="546" spans="1:20" ht="19.5" x14ac:dyDescent="0.4">
      <c r="A546" s="41">
        <v>545</v>
      </c>
      <c r="B546" s="42">
        <v>91</v>
      </c>
      <c r="C546" s="42">
        <v>335</v>
      </c>
      <c r="D546" s="42">
        <v>2</v>
      </c>
      <c r="E546" s="42">
        <v>670</v>
      </c>
      <c r="F546" s="43">
        <v>45186</v>
      </c>
      <c r="G546" s="42" t="s">
        <v>23</v>
      </c>
      <c r="H546" s="42">
        <v>310</v>
      </c>
      <c r="I546" s="42" t="str">
        <f>VLOOKUP(продажи!$B546,товар!$A$1:$C$433,2)</f>
        <v>Сыр</v>
      </c>
      <c r="J546" s="42" t="str">
        <f>VLOOKUP(B546,товар!$A$1:$C$433,3)</f>
        <v>Сырная долина</v>
      </c>
      <c r="K546" s="44">
        <f>AVERAGEIF(продажи!$I$2:$I$1001,продажи!$I$2:$I$1001,продажи!$C$2:$C$1001)</f>
        <v>261.03225806451616</v>
      </c>
      <c r="L546" s="45">
        <f>продажи!$C546/продажи!$K546-1</f>
        <v>0.28336628769154704</v>
      </c>
      <c r="M546" s="33">
        <f t="shared" si="16"/>
        <v>8943</v>
      </c>
      <c r="N546" s="24">
        <f>Таблица1[[#This Row],[цена за шт в рублях]]/Таблица1[[#This Row],[средняя стоимость в категории по поставщику.]]-1</f>
        <v>-0.9625405344962541</v>
      </c>
      <c r="O546" s="26">
        <f>VLOOKUP(Таблица1[[#This Row],[id клиента]],клиенты!$A$2:$E$435,5,0)</f>
        <v>44807</v>
      </c>
      <c r="P546">
        <f>Таблица1[[#This Row],[дата создания чека]]-Таблица1[[#This Row],[Дата регистрации клента]]</f>
        <v>379</v>
      </c>
      <c r="Q546" s="26">
        <f t="shared" ca="1" si="17"/>
        <v>46059</v>
      </c>
      <c r="R546" s="51">
        <f ca="1">(TODAY()-Таблица1[[#This Row],[Дата регистрации клента]])/30</f>
        <v>41.733333333333334</v>
      </c>
      <c r="S546" s="63" t="str">
        <f>VLOOKUP(Таблица1[[#This Row],[id клиента]],Таблица8[[id клиента]:[Страна]],7,0)</f>
        <v>Таджикистан</v>
      </c>
      <c r="T546" s="26"/>
    </row>
    <row r="547" spans="1:20" ht="19.5" x14ac:dyDescent="0.4">
      <c r="A547" s="37">
        <v>546</v>
      </c>
      <c r="B547" s="31">
        <v>122</v>
      </c>
      <c r="C547" s="31">
        <v>309</v>
      </c>
      <c r="D547" s="31">
        <v>3</v>
      </c>
      <c r="E547" s="31">
        <v>927</v>
      </c>
      <c r="F547" s="38">
        <v>45073</v>
      </c>
      <c r="G547" s="31" t="s">
        <v>19</v>
      </c>
      <c r="H547" s="31">
        <v>263</v>
      </c>
      <c r="I547" s="31" t="str">
        <f>VLOOKUP(продажи!$B547,товар!$A$1:$C$433,2)</f>
        <v>Фрукты</v>
      </c>
      <c r="J547" s="31" t="str">
        <f>VLOOKUP(B547,товар!$A$1:$C$433,3)</f>
        <v>Фрукты-Ягоды</v>
      </c>
      <c r="K547" s="39">
        <f>AVERAGEIF(продажи!$I$2:$I$1001,продажи!$I$2:$I$1001,продажи!$C$2:$C$1001)</f>
        <v>274.16279069767444</v>
      </c>
      <c r="L547" s="40">
        <f>продажи!$C547/продажи!$K547-1</f>
        <v>0.12706760539485962</v>
      </c>
      <c r="M547" s="33">
        <f t="shared" si="16"/>
        <v>2526</v>
      </c>
      <c r="N547" s="24">
        <f>Таблица1[[#This Row],[цена за шт в рублях]]/Таблица1[[#This Row],[средняя стоимость в категории по поставщику.]]-1</f>
        <v>-0.8776722090261283</v>
      </c>
      <c r="O547" s="26">
        <f>VLOOKUP(Таблица1[[#This Row],[id клиента]],клиенты!$A$2:$E$435,5,0)</f>
        <v>44612</v>
      </c>
      <c r="P547">
        <f>Таблица1[[#This Row],[дата создания чека]]-Таблица1[[#This Row],[Дата регистрации клента]]</f>
        <v>461</v>
      </c>
      <c r="Q547" s="26">
        <f t="shared" ca="1" si="17"/>
        <v>46059</v>
      </c>
      <c r="R547" s="51">
        <f ca="1">(TODAY()-Таблица1[[#This Row],[Дата регистрации клента]])/30</f>
        <v>48.233333333333334</v>
      </c>
      <c r="S547" s="63" t="str">
        <f>VLOOKUP(Таблица1[[#This Row],[id клиента]],Таблица8[[id клиента]:[Страна]],7,0)</f>
        <v>Таджикистан</v>
      </c>
      <c r="T547" s="26"/>
    </row>
    <row r="548" spans="1:20" ht="19.5" x14ac:dyDescent="0.4">
      <c r="A548" s="41">
        <v>547</v>
      </c>
      <c r="B548" s="42">
        <v>444</v>
      </c>
      <c r="C548" s="42">
        <v>59</v>
      </c>
      <c r="D548" s="42">
        <v>2</v>
      </c>
      <c r="E548" s="42">
        <v>118</v>
      </c>
      <c r="F548" s="43">
        <v>45263</v>
      </c>
      <c r="G548" s="42" t="s">
        <v>27</v>
      </c>
      <c r="H548" s="42">
        <v>381</v>
      </c>
      <c r="I548" s="42" t="str">
        <f>VLOOKUP(продажи!$B548,товар!$A$1:$C$433,2)</f>
        <v>Йогурт</v>
      </c>
      <c r="J548" s="42" t="str">
        <f>VLOOKUP(B548,товар!$A$1:$C$433,3)</f>
        <v>Эрманн</v>
      </c>
      <c r="K548" s="44">
        <f>AVERAGEIF(продажи!$I$2:$I$1001,продажи!$I$2:$I$1001,продажи!$C$2:$C$1001)</f>
        <v>263.25423728813558</v>
      </c>
      <c r="L548" s="45">
        <f>продажи!$C548/продажи!$K548-1</f>
        <v>-0.77588204996137011</v>
      </c>
      <c r="M548" s="33">
        <f t="shared" si="16"/>
        <v>4970</v>
      </c>
      <c r="N548" s="24">
        <f>Таблица1[[#This Row],[цена за шт в рублях]]/Таблица1[[#This Row],[средняя стоимость в категории по поставщику.]]-1</f>
        <v>-0.98812877263581489</v>
      </c>
      <c r="O548" s="26">
        <f>VLOOKUP(Таблица1[[#This Row],[id клиента]],клиенты!$A$2:$E$435,5,0)</f>
        <v>44714</v>
      </c>
      <c r="P548">
        <f>Таблица1[[#This Row],[дата создания чека]]-Таблица1[[#This Row],[Дата регистрации клента]]</f>
        <v>549</v>
      </c>
      <c r="Q548" s="26">
        <f t="shared" ca="1" si="17"/>
        <v>46059</v>
      </c>
      <c r="R548" s="51">
        <f ca="1">(TODAY()-Таблица1[[#This Row],[Дата регистрации клента]])/30</f>
        <v>44.833333333333336</v>
      </c>
      <c r="S548" s="63" t="str">
        <f>VLOOKUP(Таблица1[[#This Row],[id клиента]],Таблица8[[id клиента]:[Страна]],7,0)</f>
        <v>Узбекистан</v>
      </c>
      <c r="T548" s="26"/>
    </row>
    <row r="549" spans="1:20" ht="19.5" x14ac:dyDescent="0.4">
      <c r="A549" s="37">
        <v>532</v>
      </c>
      <c r="B549" s="31">
        <v>161</v>
      </c>
      <c r="C549" s="31">
        <v>489</v>
      </c>
      <c r="D549" s="31">
        <v>5</v>
      </c>
      <c r="E549" s="31">
        <v>2445</v>
      </c>
      <c r="F549" s="57">
        <v>45117</v>
      </c>
      <c r="G549" s="31" t="s">
        <v>13</v>
      </c>
      <c r="H549" s="55">
        <v>143</v>
      </c>
      <c r="I549" s="31" t="str">
        <f>VLOOKUP(продажи!$B533,товар!$A$1:$C$433,2)</f>
        <v>Молоко</v>
      </c>
      <c r="J549" s="31" t="str">
        <f>VLOOKUP(B549,товар!$A$1:$C$433,3)</f>
        <v>Простоквашино</v>
      </c>
      <c r="K549" s="39">
        <f>AVERAGEIF(продажи!$I$2:$I$1001,продажи!$I$2:$I$1001,продажи!$C$2:$C$1001)</f>
        <v>294.95238095238096</v>
      </c>
      <c r="L549" s="40">
        <f>продажи!$C533/продажи!$K533-1</f>
        <v>-0.74911204391346464</v>
      </c>
      <c r="M549" s="53">
        <f t="shared" si="16"/>
        <v>3507</v>
      </c>
      <c r="N549" s="24">
        <f>Таблица1[[#This Row],[цена за шт в рублях]]/Таблица1[[#This Row],[средняя стоимость в категории по поставщику.]]-1</f>
        <v>-0.86056458511548328</v>
      </c>
      <c r="O549" s="26">
        <f>VLOOKUP(Таблица1[[#This Row],[id клиента]],клиенты!$A$2:$E$435,5,0)</f>
        <v>44601</v>
      </c>
      <c r="P549">
        <f>Таблица1[[#This Row],[дата создания чека]]-Таблица1[[#This Row],[Дата регистрации клента]]</f>
        <v>516</v>
      </c>
      <c r="Q549" s="26">
        <f t="shared" ca="1" si="17"/>
        <v>46059</v>
      </c>
      <c r="R549" s="51">
        <f ca="1">(TODAY()-Таблица1[[#This Row],[Дата регистрации клента]])/30</f>
        <v>48.6</v>
      </c>
      <c r="S549" s="63" t="str">
        <f>VLOOKUP(Таблица1[[#This Row],[id клиента]],Таблица8[[id клиента]:[Страна]],7,0)</f>
        <v>Россия</v>
      </c>
      <c r="T549" s="26"/>
    </row>
    <row r="550" spans="1:20" ht="19.5" x14ac:dyDescent="0.4">
      <c r="A550" s="41">
        <v>549</v>
      </c>
      <c r="B550" s="42">
        <v>431</v>
      </c>
      <c r="C550" s="42">
        <v>149</v>
      </c>
      <c r="D550" s="42">
        <v>5</v>
      </c>
      <c r="E550" s="42">
        <v>745</v>
      </c>
      <c r="F550" s="43">
        <v>45271</v>
      </c>
      <c r="G550" s="42" t="s">
        <v>23</v>
      </c>
      <c r="H550" s="42">
        <v>12</v>
      </c>
      <c r="I550" s="42" t="str">
        <f>VLOOKUP(продажи!$B550,товар!$A$1:$C$433,2)</f>
        <v>Овощи</v>
      </c>
      <c r="J550" s="42" t="str">
        <f>VLOOKUP(B550,товар!$A$1:$C$433,3)</f>
        <v>Гавриш</v>
      </c>
      <c r="K550" s="44">
        <f>AVERAGEIF(продажи!$I$2:$I$1001,продажи!$I$2:$I$1001,продажи!$C$2:$C$1001)</f>
        <v>250.48780487804879</v>
      </c>
      <c r="L550" s="45">
        <f>продажи!$C550/продажи!$K550-1</f>
        <v>-0.40516066212268742</v>
      </c>
      <c r="M550" s="33">
        <f t="shared" si="16"/>
        <v>2229</v>
      </c>
      <c r="N550" s="24">
        <f>Таблица1[[#This Row],[цена за шт в рублях]]/Таблица1[[#This Row],[средняя стоимость в категории по поставщику.]]-1</f>
        <v>-0.93315388066397487</v>
      </c>
      <c r="O550" s="26">
        <f>VLOOKUP(Таблица1[[#This Row],[id клиента]],клиенты!$A$2:$E$435,5,0)</f>
        <v>44842</v>
      </c>
      <c r="P550">
        <f>Таблица1[[#This Row],[дата создания чека]]-Таблица1[[#This Row],[Дата регистрации клента]]</f>
        <v>429</v>
      </c>
      <c r="Q550" s="26">
        <f t="shared" ca="1" si="17"/>
        <v>46059</v>
      </c>
      <c r="R550" s="51">
        <f ca="1">(TODAY()-Таблица1[[#This Row],[Дата регистрации клента]])/30</f>
        <v>40.56666666666667</v>
      </c>
      <c r="S550" s="63" t="str">
        <f>VLOOKUP(Таблица1[[#This Row],[id клиента]],Таблица8[[id клиента]:[Страна]],7,0)</f>
        <v>Беларусь</v>
      </c>
      <c r="T550" s="26"/>
    </row>
    <row r="551" spans="1:20" ht="19.5" x14ac:dyDescent="0.4">
      <c r="A551" s="37">
        <v>550</v>
      </c>
      <c r="B551" s="31">
        <v>62</v>
      </c>
      <c r="C551" s="31">
        <v>88</v>
      </c>
      <c r="D551" s="31">
        <v>1</v>
      </c>
      <c r="E551" s="31">
        <v>88</v>
      </c>
      <c r="F551" s="38">
        <v>44950</v>
      </c>
      <c r="G551" s="31" t="s">
        <v>14</v>
      </c>
      <c r="H551" s="31">
        <v>44</v>
      </c>
      <c r="I551" s="31" t="str">
        <f>VLOOKUP(продажи!$B551,товар!$A$1:$C$433,2)</f>
        <v>Рыба</v>
      </c>
      <c r="J551" s="31" t="str">
        <f>VLOOKUP(B551,товар!$A$1:$C$433,3)</f>
        <v>Балтийский берег</v>
      </c>
      <c r="K551" s="39">
        <f>AVERAGEIF(продажи!$I$2:$I$1001,продажи!$I$2:$I$1001,продажи!$C$2:$C$1001)</f>
        <v>258.5128205128205</v>
      </c>
      <c r="L551" s="40">
        <f>продажи!$C551/продажи!$K551-1</f>
        <v>-0.65959135092243604</v>
      </c>
      <c r="M551" s="33">
        <f t="shared" si="16"/>
        <v>2609</v>
      </c>
      <c r="N551" s="24">
        <f>Таблица1[[#This Row],[цена за шт в рублях]]/Таблица1[[#This Row],[средняя стоимость в категории по поставщику.]]-1</f>
        <v>-0.96627060176312762</v>
      </c>
      <c r="O551" s="26">
        <f>VLOOKUP(Таблица1[[#This Row],[id клиента]],клиенты!$A$2:$E$435,5,0)</f>
        <v>44701</v>
      </c>
      <c r="P551">
        <f>Таблица1[[#This Row],[дата создания чека]]-Таблица1[[#This Row],[Дата регистрации клента]]</f>
        <v>249</v>
      </c>
      <c r="Q551" s="26">
        <f t="shared" ca="1" si="17"/>
        <v>46059</v>
      </c>
      <c r="R551" s="51">
        <f ca="1">(TODAY()-Таблица1[[#This Row],[Дата регистрации клента]])/30</f>
        <v>45.266666666666666</v>
      </c>
      <c r="S551" s="63" t="str">
        <f>VLOOKUP(Таблица1[[#This Row],[id клиента]],Таблица8[[id клиента]:[Страна]],7,0)</f>
        <v>Беларусь</v>
      </c>
      <c r="T551" s="26"/>
    </row>
    <row r="552" spans="1:20" ht="19.5" x14ac:dyDescent="0.4">
      <c r="A552" s="41">
        <v>551</v>
      </c>
      <c r="B552" s="42">
        <v>458</v>
      </c>
      <c r="C552" s="42">
        <v>79</v>
      </c>
      <c r="D552" s="42">
        <v>2</v>
      </c>
      <c r="E552" s="42">
        <v>158</v>
      </c>
      <c r="F552" s="43">
        <v>45023</v>
      </c>
      <c r="G552" s="42" t="s">
        <v>22</v>
      </c>
      <c r="H552" s="42">
        <v>133</v>
      </c>
      <c r="I552" s="42" t="str">
        <f>VLOOKUP(продажи!$B552,товар!$A$1:$C$433,2)</f>
        <v>Макароны</v>
      </c>
      <c r="J552" s="42" t="str">
        <f>VLOOKUP(B552,товар!$A$1:$C$433,3)</f>
        <v>Борилла</v>
      </c>
      <c r="K552" s="44">
        <f>AVERAGEIF(продажи!$I$2:$I$1001,продажи!$I$2:$I$1001,продажи!$C$2:$C$1001)</f>
        <v>265.47674418604652</v>
      </c>
      <c r="L552" s="45">
        <f>продажи!$C552/продажи!$K552-1</f>
        <v>-0.70242214532871972</v>
      </c>
      <c r="M552" s="33">
        <f t="shared" si="16"/>
        <v>6852</v>
      </c>
      <c r="N552" s="24">
        <f>Таблица1[[#This Row],[цена за шт в рублях]]/Таблица1[[#This Row],[средняя стоимость в категории по поставщику.]]-1</f>
        <v>-0.98847051955633392</v>
      </c>
      <c r="O552" s="26">
        <f>VLOOKUP(Таблица1[[#This Row],[id клиента]],клиенты!$A$2:$E$435,5,0)</f>
        <v>44588</v>
      </c>
      <c r="P552">
        <f>Таблица1[[#This Row],[дата создания чека]]-Таблица1[[#This Row],[Дата регистрации клента]]</f>
        <v>435</v>
      </c>
      <c r="Q552" s="26">
        <f t="shared" ca="1" si="17"/>
        <v>46059</v>
      </c>
      <c r="R552" s="51">
        <f ca="1">(TODAY()-Таблица1[[#This Row],[Дата регистрации клента]])/30</f>
        <v>49.033333333333331</v>
      </c>
      <c r="S552" s="63" t="str">
        <f>VLOOKUP(Таблица1[[#This Row],[id клиента]],Таблица8[[id клиента]:[Страна]],7,0)</f>
        <v>Узбекистан</v>
      </c>
      <c r="T552" s="26"/>
    </row>
    <row r="553" spans="1:20" ht="19.5" x14ac:dyDescent="0.4">
      <c r="A553" s="37">
        <v>552</v>
      </c>
      <c r="B553" s="31">
        <v>119</v>
      </c>
      <c r="C553" s="31">
        <v>369</v>
      </c>
      <c r="D553" s="31">
        <v>2</v>
      </c>
      <c r="E553" s="31">
        <v>738</v>
      </c>
      <c r="F553" s="38">
        <v>45105</v>
      </c>
      <c r="G553" s="31" t="s">
        <v>20</v>
      </c>
      <c r="H553" s="31">
        <v>21</v>
      </c>
      <c r="I553" s="31" t="str">
        <f>VLOOKUP(продажи!$B553,товар!$A$1:$C$433,2)</f>
        <v>Печенье</v>
      </c>
      <c r="J553" s="31" t="str">
        <f>VLOOKUP(B553,товар!$A$1:$C$433,3)</f>
        <v>КДВ</v>
      </c>
      <c r="K553" s="39">
        <f>AVERAGEIF(продажи!$I$2:$I$1001,продажи!$I$2:$I$1001,продажи!$C$2:$C$1001)</f>
        <v>283.468085106383</v>
      </c>
      <c r="L553" s="40">
        <f>продажи!$C553/продажи!$K553-1</f>
        <v>0.30173384372888989</v>
      </c>
      <c r="M553" s="33">
        <f t="shared" si="16"/>
        <v>4200</v>
      </c>
      <c r="N553" s="24">
        <f>Таблица1[[#This Row],[цена за шт в рублях]]/Таблица1[[#This Row],[средняя стоимость в категории по поставщику.]]-1</f>
        <v>-0.91214285714285714</v>
      </c>
      <c r="O553" s="26">
        <f>VLOOKUP(Таблица1[[#This Row],[id клиента]],клиенты!$A$2:$E$435,5,0)</f>
        <v>44881</v>
      </c>
      <c r="P553">
        <f>Таблица1[[#This Row],[дата создания чека]]-Таблица1[[#This Row],[Дата регистрации клента]]</f>
        <v>224</v>
      </c>
      <c r="Q553" s="26">
        <f t="shared" ca="1" si="17"/>
        <v>46059</v>
      </c>
      <c r="R553" s="51">
        <f ca="1">(TODAY()-Таблица1[[#This Row],[Дата регистрации клента]])/30</f>
        <v>39.266666666666666</v>
      </c>
      <c r="S553" s="63" t="str">
        <f>VLOOKUP(Таблица1[[#This Row],[id клиента]],Таблица8[[id клиента]:[Страна]],7,0)</f>
        <v>Беларусь</v>
      </c>
      <c r="T553" s="26"/>
    </row>
    <row r="554" spans="1:20" ht="19.5" x14ac:dyDescent="0.4">
      <c r="A554" s="41">
        <v>553</v>
      </c>
      <c r="B554" s="42">
        <v>388</v>
      </c>
      <c r="C554" s="42">
        <v>107</v>
      </c>
      <c r="D554" s="42">
        <v>1</v>
      </c>
      <c r="E554" s="42">
        <v>107</v>
      </c>
      <c r="F554" s="43">
        <v>45137</v>
      </c>
      <c r="G554" s="42" t="s">
        <v>12</v>
      </c>
      <c r="H554" s="42">
        <v>179</v>
      </c>
      <c r="I554" s="42" t="str">
        <f>VLOOKUP(продажи!$B554,товар!$A$1:$C$433,2)</f>
        <v>Рыба</v>
      </c>
      <c r="J554" s="42" t="str">
        <f>VLOOKUP(B554,товар!$A$1:$C$433,3)</f>
        <v>Меридиан</v>
      </c>
      <c r="K554" s="44">
        <f>AVERAGEIF(продажи!$I$2:$I$1001,продажи!$I$2:$I$1001,продажи!$C$2:$C$1001)</f>
        <v>258.5128205128205</v>
      </c>
      <c r="L554" s="45">
        <f>продажи!$C554/продажи!$K554-1</f>
        <v>-0.5860940289625074</v>
      </c>
      <c r="M554" s="33">
        <f t="shared" si="16"/>
        <v>4431</v>
      </c>
      <c r="N554" s="24">
        <f>Таблица1[[#This Row],[цена за шт в рублях]]/Таблица1[[#This Row],[средняя стоимость в категории по поставщику.]]-1</f>
        <v>-0.97585195215526965</v>
      </c>
      <c r="O554" s="26">
        <f>VLOOKUP(Таблица1[[#This Row],[id клиента]],клиенты!$A$2:$E$435,5,0)</f>
        <v>44833</v>
      </c>
      <c r="P554">
        <f>Таблица1[[#This Row],[дата создания чека]]-Таблица1[[#This Row],[Дата регистрации клента]]</f>
        <v>304</v>
      </c>
      <c r="Q554" s="26">
        <f t="shared" ca="1" si="17"/>
        <v>46059</v>
      </c>
      <c r="R554" s="51">
        <f ca="1">(TODAY()-Таблица1[[#This Row],[Дата регистрации клента]])/30</f>
        <v>40.866666666666667</v>
      </c>
      <c r="S554" s="63" t="str">
        <f>VLOOKUP(Таблица1[[#This Row],[id клиента]],Таблица8[[id клиента]:[Страна]],7,0)</f>
        <v>Россия</v>
      </c>
      <c r="T554" s="26"/>
    </row>
    <row r="555" spans="1:20" ht="19.5" x14ac:dyDescent="0.4">
      <c r="A555" s="37">
        <v>554</v>
      </c>
      <c r="B555" s="31">
        <v>303</v>
      </c>
      <c r="C555" s="31">
        <v>258</v>
      </c>
      <c r="D555" s="31">
        <v>4</v>
      </c>
      <c r="E555" s="31">
        <v>1032</v>
      </c>
      <c r="F555" s="38">
        <v>45076</v>
      </c>
      <c r="G555" s="31" t="s">
        <v>18</v>
      </c>
      <c r="H555" s="31">
        <v>300</v>
      </c>
      <c r="I555" s="31" t="str">
        <f>VLOOKUP(продажи!$B555,товар!$A$1:$C$433,2)</f>
        <v>Фрукты</v>
      </c>
      <c r="J555" s="31" t="str">
        <f>VLOOKUP(B555,товар!$A$1:$C$433,3)</f>
        <v>Фруктовый Рай</v>
      </c>
      <c r="K555" s="39">
        <f>AVERAGEIF(продажи!$I$2:$I$1001,продажи!$I$2:$I$1001,продажи!$C$2:$C$1001)</f>
        <v>274.16279069767444</v>
      </c>
      <c r="L555" s="40">
        <f>продажи!$C555/продажи!$K555-1</f>
        <v>-5.89532615149716E-2</v>
      </c>
      <c r="M555" s="33">
        <f t="shared" si="16"/>
        <v>3358</v>
      </c>
      <c r="N555" s="24">
        <f>Таблица1[[#This Row],[цена за шт в рублях]]/Таблица1[[#This Row],[средняя стоимость в категории по поставщику.]]-1</f>
        <v>-0.92316855270994636</v>
      </c>
      <c r="O555" s="26">
        <f>VLOOKUP(Таблица1[[#This Row],[id клиента]],клиенты!$A$2:$E$435,5,0)</f>
        <v>44824</v>
      </c>
      <c r="P555">
        <f>Таблица1[[#This Row],[дата создания чека]]-Таблица1[[#This Row],[Дата регистрации клента]]</f>
        <v>252</v>
      </c>
      <c r="Q555" s="26">
        <f t="shared" ca="1" si="17"/>
        <v>46059</v>
      </c>
      <c r="R555" s="51">
        <f ca="1">(TODAY()-Таблица1[[#This Row],[Дата регистрации клента]])/30</f>
        <v>41.166666666666664</v>
      </c>
      <c r="S555" s="63" t="str">
        <f>VLOOKUP(Таблица1[[#This Row],[id клиента]],Таблица8[[id клиента]:[Страна]],7,0)</f>
        <v>Украина</v>
      </c>
      <c r="T555" s="26"/>
    </row>
    <row r="556" spans="1:20" ht="19.5" x14ac:dyDescent="0.4">
      <c r="A556" s="41">
        <v>555</v>
      </c>
      <c r="B556" s="42">
        <v>160</v>
      </c>
      <c r="C556" s="42">
        <v>400</v>
      </c>
      <c r="D556" s="42">
        <v>3</v>
      </c>
      <c r="E556" s="42">
        <v>1200</v>
      </c>
      <c r="F556" s="43">
        <v>45181</v>
      </c>
      <c r="G556" s="42" t="s">
        <v>27</v>
      </c>
      <c r="H556" s="42">
        <v>134</v>
      </c>
      <c r="I556" s="42" t="str">
        <f>VLOOKUP(продажи!$B556,товар!$A$1:$C$433,2)</f>
        <v>Крупа</v>
      </c>
      <c r="J556" s="42" t="str">
        <f>VLOOKUP(B556,товар!$A$1:$C$433,3)</f>
        <v>Мистраль</v>
      </c>
      <c r="K556" s="44">
        <f>AVERAGEIF(продажи!$I$2:$I$1001,продажи!$I$2:$I$1001,продажи!$C$2:$C$1001)</f>
        <v>255.11627906976744</v>
      </c>
      <c r="L556" s="45">
        <f>продажи!$C556/продажи!$K556-1</f>
        <v>0.56791248860528709</v>
      </c>
      <c r="M556" s="33">
        <f t="shared" si="16"/>
        <v>3254</v>
      </c>
      <c r="N556" s="24">
        <f>Таблица1[[#This Row],[цена за шт в рублях]]/Таблица1[[#This Row],[средняя стоимость в категории по поставщику.]]-1</f>
        <v>-0.8770743700061463</v>
      </c>
      <c r="O556" s="26">
        <f>VLOOKUP(Таблица1[[#This Row],[id клиента]],клиенты!$A$2:$E$435,5,0)</f>
        <v>44753</v>
      </c>
      <c r="P556">
        <f>Таблица1[[#This Row],[дата создания чека]]-Таблица1[[#This Row],[Дата регистрации клента]]</f>
        <v>428</v>
      </c>
      <c r="Q556" s="26">
        <f t="shared" ca="1" si="17"/>
        <v>46059</v>
      </c>
      <c r="R556" s="51">
        <f ca="1">(TODAY()-Таблица1[[#This Row],[Дата регистрации клента]])/30</f>
        <v>43.533333333333331</v>
      </c>
      <c r="S556" s="63" t="str">
        <f>VLOOKUP(Таблица1[[#This Row],[id клиента]],Таблица8[[id клиента]:[Страна]],7,0)</f>
        <v>Россия</v>
      </c>
      <c r="T556" s="26"/>
    </row>
    <row r="557" spans="1:20" ht="19.5" x14ac:dyDescent="0.4">
      <c r="A557" s="37">
        <v>556</v>
      </c>
      <c r="B557" s="31">
        <v>66</v>
      </c>
      <c r="C557" s="31">
        <v>230</v>
      </c>
      <c r="D557" s="31">
        <v>2</v>
      </c>
      <c r="E557" s="31">
        <v>460</v>
      </c>
      <c r="F557" s="38">
        <v>45074</v>
      </c>
      <c r="G557" s="31" t="s">
        <v>21</v>
      </c>
      <c r="H557" s="31">
        <v>391</v>
      </c>
      <c r="I557" s="31" t="str">
        <f>VLOOKUP(продажи!$B557,товар!$A$1:$C$433,2)</f>
        <v>Кофе</v>
      </c>
      <c r="J557" s="31" t="str">
        <f>VLOOKUP(B557,товар!$A$1:$C$433,3)</f>
        <v>Черная Карта</v>
      </c>
      <c r="K557" s="39">
        <f>AVERAGEIF(продажи!$I$2:$I$1001,продажи!$I$2:$I$1001,продажи!$C$2:$C$1001)</f>
        <v>249.02380952380952</v>
      </c>
      <c r="L557" s="40">
        <f>продажи!$C557/продажи!$K557-1</f>
        <v>-7.639353666698534E-2</v>
      </c>
      <c r="M557" s="33">
        <f t="shared" si="16"/>
        <v>2222</v>
      </c>
      <c r="N557" s="24">
        <f>Таблица1[[#This Row],[цена за шт в рублях]]/Таблица1[[#This Row],[средняя стоимость в категории по поставщику.]]-1</f>
        <v>-0.89648964896489647</v>
      </c>
      <c r="O557" s="26">
        <f>VLOOKUP(Таблица1[[#This Row],[id клиента]],клиенты!$A$2:$E$435,5,0)</f>
        <v>44675</v>
      </c>
      <c r="P557">
        <f>Таблица1[[#This Row],[дата создания чека]]-Таблица1[[#This Row],[Дата регистрации клента]]</f>
        <v>399</v>
      </c>
      <c r="Q557" s="26">
        <f t="shared" ca="1" si="17"/>
        <v>46059</v>
      </c>
      <c r="R557" s="51">
        <f ca="1">(TODAY()-Таблица1[[#This Row],[Дата регистрации клента]])/30</f>
        <v>46.133333333333333</v>
      </c>
      <c r="S557" s="63" t="str">
        <f>VLOOKUP(Таблица1[[#This Row],[id клиента]],Таблица8[[id клиента]:[Страна]],7,0)</f>
        <v>Таджикистан</v>
      </c>
      <c r="T557" s="26"/>
    </row>
    <row r="558" spans="1:20" ht="19.5" x14ac:dyDescent="0.4">
      <c r="A558" s="41">
        <v>557</v>
      </c>
      <c r="B558" s="42">
        <v>125</v>
      </c>
      <c r="C558" s="42">
        <v>187</v>
      </c>
      <c r="D558" s="42">
        <v>5</v>
      </c>
      <c r="E558" s="42">
        <v>935</v>
      </c>
      <c r="F558" s="43">
        <v>45027</v>
      </c>
      <c r="G558" s="42" t="s">
        <v>23</v>
      </c>
      <c r="H558" s="42">
        <v>54</v>
      </c>
      <c r="I558" s="42" t="str">
        <f>VLOOKUP(продажи!$B558,товар!$A$1:$C$433,2)</f>
        <v>Рис</v>
      </c>
      <c r="J558" s="42" t="str">
        <f>VLOOKUP(B558,товар!$A$1:$C$433,3)</f>
        <v>Националь</v>
      </c>
      <c r="K558" s="44">
        <f>AVERAGEIF(продажи!$I$2:$I$1001,продажи!$I$2:$I$1001,продажи!$C$2:$C$1001)</f>
        <v>258.375</v>
      </c>
      <c r="L558" s="45">
        <f>продажи!$C558/продажи!$K558-1</f>
        <v>-0.27624576681180457</v>
      </c>
      <c r="M558" s="33">
        <f t="shared" si="16"/>
        <v>187</v>
      </c>
      <c r="N558" s="24">
        <f>Таблица1[[#This Row],[цена за шт в рублях]]/Таблица1[[#This Row],[средняя стоимость в категории по поставщику.]]-1</f>
        <v>0</v>
      </c>
      <c r="O558" s="26">
        <f>VLOOKUP(Таблица1[[#This Row],[id клиента]],клиенты!$A$2:$E$435,5,0)</f>
        <v>44847</v>
      </c>
      <c r="P558">
        <f>Таблица1[[#This Row],[дата создания чека]]-Таблица1[[#This Row],[Дата регистрации клента]]</f>
        <v>180</v>
      </c>
      <c r="Q558" s="26">
        <f t="shared" ca="1" si="17"/>
        <v>46059</v>
      </c>
      <c r="R558" s="51">
        <f ca="1">(TODAY()-Таблица1[[#This Row],[Дата регистрации клента]])/30</f>
        <v>40.4</v>
      </c>
      <c r="S558" s="63" t="str">
        <f>VLOOKUP(Таблица1[[#This Row],[id клиента]],Таблица8[[id клиента]:[Страна]],7,0)</f>
        <v>Беларусь</v>
      </c>
      <c r="T558" s="26"/>
    </row>
    <row r="559" spans="1:20" ht="19.5" x14ac:dyDescent="0.4">
      <c r="A559" s="37">
        <v>558</v>
      </c>
      <c r="B559" s="31">
        <v>280</v>
      </c>
      <c r="C559" s="31">
        <v>234</v>
      </c>
      <c r="D559" s="31">
        <v>2</v>
      </c>
      <c r="E559" s="31">
        <v>468</v>
      </c>
      <c r="F559" s="38">
        <v>45088</v>
      </c>
      <c r="G559" s="31" t="s">
        <v>12</v>
      </c>
      <c r="H559" s="31">
        <v>19</v>
      </c>
      <c r="I559" s="31" t="str">
        <f>VLOOKUP(продажи!$B559,товар!$A$1:$C$433,2)</f>
        <v>Сыр</v>
      </c>
      <c r="J559" s="31" t="str">
        <f>VLOOKUP(B559,товар!$A$1:$C$433,3)</f>
        <v>President</v>
      </c>
      <c r="K559" s="39">
        <f>AVERAGEIF(продажи!$I$2:$I$1001,продажи!$I$2:$I$1001,продажи!$C$2:$C$1001)</f>
        <v>261.03225806451616</v>
      </c>
      <c r="L559" s="40">
        <f>продажи!$C559/продажи!$K559-1</f>
        <v>-0.10355907068709846</v>
      </c>
      <c r="M559" s="33">
        <f t="shared" si="16"/>
        <v>3935</v>
      </c>
      <c r="N559" s="24">
        <f>Таблица1[[#This Row],[цена за шт в рублях]]/Таблица1[[#This Row],[средняя стоимость в категории по поставщику.]]-1</f>
        <v>-0.94053367217280814</v>
      </c>
      <c r="O559" s="26">
        <f>VLOOKUP(Таблица1[[#This Row],[id клиента]],клиенты!$A$2:$E$435,5,0)</f>
        <v>44902</v>
      </c>
      <c r="P559">
        <f>Таблица1[[#This Row],[дата создания чека]]-Таблица1[[#This Row],[Дата регистрации клента]]</f>
        <v>186</v>
      </c>
      <c r="Q559" s="26">
        <f t="shared" ca="1" si="17"/>
        <v>46059</v>
      </c>
      <c r="R559" s="51">
        <f ca="1">(TODAY()-Таблица1[[#This Row],[Дата регистрации клента]])/30</f>
        <v>38.56666666666667</v>
      </c>
      <c r="S559" s="63" t="str">
        <f>VLOOKUP(Таблица1[[#This Row],[id клиента]],Таблица8[[id клиента]:[Страна]],7,0)</f>
        <v>Россия</v>
      </c>
      <c r="T559" s="26"/>
    </row>
    <row r="560" spans="1:20" ht="19.5" x14ac:dyDescent="0.4">
      <c r="A560" s="41">
        <v>559</v>
      </c>
      <c r="B560" s="42">
        <v>309</v>
      </c>
      <c r="C560" s="42">
        <v>368</v>
      </c>
      <c r="D560" s="42">
        <v>3</v>
      </c>
      <c r="E560" s="42">
        <v>1104</v>
      </c>
      <c r="F560" s="43">
        <v>44960</v>
      </c>
      <c r="G560" s="42" t="s">
        <v>15</v>
      </c>
      <c r="H560" s="42">
        <v>340</v>
      </c>
      <c r="I560" s="42" t="str">
        <f>VLOOKUP(продажи!$B560,товар!$A$1:$C$433,2)</f>
        <v>Конфеты</v>
      </c>
      <c r="J560" s="42" t="str">
        <f>VLOOKUP(B560,товар!$A$1:$C$433,3)</f>
        <v>Рот Фронт</v>
      </c>
      <c r="K560" s="44">
        <f>AVERAGEIF(продажи!$I$2:$I$1001,продажи!$I$2:$I$1001,продажи!$C$2:$C$1001)</f>
        <v>267.85483870967744</v>
      </c>
      <c r="L560" s="45">
        <f>продажи!$C560/продажи!$K560-1</f>
        <v>0.37387848497621468</v>
      </c>
      <c r="M560" s="33">
        <f t="shared" si="16"/>
        <v>6053</v>
      </c>
      <c r="N560" s="24">
        <f>Таблица1[[#This Row],[цена за шт в рублях]]/Таблица1[[#This Row],[средняя стоимость в категории по поставщику.]]-1</f>
        <v>-0.93920370064430858</v>
      </c>
      <c r="O560" s="26">
        <f>VLOOKUP(Таблица1[[#This Row],[id клиента]],клиенты!$A$2:$E$435,5,0)</f>
        <v>44896</v>
      </c>
      <c r="P560">
        <f>Таблица1[[#This Row],[дата создания чека]]-Таблица1[[#This Row],[Дата регистрации клента]]</f>
        <v>64</v>
      </c>
      <c r="Q560" s="26">
        <f t="shared" ca="1" si="17"/>
        <v>46059</v>
      </c>
      <c r="R560" s="51">
        <f ca="1">(TODAY()-Таблица1[[#This Row],[Дата регистрации клента]])/30</f>
        <v>38.766666666666666</v>
      </c>
      <c r="S560" s="63" t="str">
        <f>VLOOKUP(Таблица1[[#This Row],[id клиента]],Таблица8[[id клиента]:[Страна]],7,0)</f>
        <v>Россия</v>
      </c>
      <c r="T560" s="26"/>
    </row>
    <row r="561" spans="1:20" ht="19.5" x14ac:dyDescent="0.4">
      <c r="A561" s="37">
        <v>560</v>
      </c>
      <c r="B561" s="31">
        <v>317</v>
      </c>
      <c r="C561" s="31">
        <v>267</v>
      </c>
      <c r="D561" s="31">
        <v>3</v>
      </c>
      <c r="E561" s="31">
        <v>801</v>
      </c>
      <c r="F561" s="38">
        <v>45396</v>
      </c>
      <c r="G561" s="31" t="s">
        <v>26</v>
      </c>
      <c r="H561" s="31">
        <v>71</v>
      </c>
      <c r="I561" s="31" t="str">
        <f>VLOOKUP(продажи!$B561,товар!$A$1:$C$433,2)</f>
        <v>Сок</v>
      </c>
      <c r="J561" s="31" t="str">
        <f>VLOOKUP(B561,товар!$A$1:$C$433,3)</f>
        <v>Фруктовый сад</v>
      </c>
      <c r="K561" s="39">
        <f>AVERAGEIF(продажи!$I$2:$I$1001,продажи!$I$2:$I$1001,продажи!$C$2:$C$1001)</f>
        <v>268.60344827586209</v>
      </c>
      <c r="L561" s="40">
        <f>продажи!$C561/продажи!$K561-1</f>
        <v>-5.9695744271135442E-3</v>
      </c>
      <c r="M561" s="33">
        <f t="shared" si="16"/>
        <v>9023</v>
      </c>
      <c r="N561" s="24">
        <f>Таблица1[[#This Row],[цена за шт в рублях]]/Таблица1[[#This Row],[средняя стоимость в категории по поставщику.]]-1</f>
        <v>-0.97040895489305112</v>
      </c>
      <c r="O561" s="26">
        <f>VLOOKUP(Таблица1[[#This Row],[id клиента]],клиенты!$A$2:$E$435,5,0)</f>
        <v>44762</v>
      </c>
      <c r="P561">
        <f>Таблица1[[#This Row],[дата создания чека]]-Таблица1[[#This Row],[Дата регистрации клента]]</f>
        <v>634</v>
      </c>
      <c r="Q561" s="26">
        <f t="shared" ca="1" si="17"/>
        <v>46059</v>
      </c>
      <c r="R561" s="51">
        <f ca="1">(TODAY()-Таблица1[[#This Row],[Дата регистрации клента]])/30</f>
        <v>43.233333333333334</v>
      </c>
      <c r="S561" s="63" t="str">
        <f>VLOOKUP(Таблица1[[#This Row],[id клиента]],Таблица8[[id клиента]:[Страна]],7,0)</f>
        <v>Украина</v>
      </c>
      <c r="T561" s="26"/>
    </row>
    <row r="562" spans="1:20" ht="19.5" x14ac:dyDescent="0.4">
      <c r="A562" s="41">
        <v>561</v>
      </c>
      <c r="B562" s="42">
        <v>260</v>
      </c>
      <c r="C562" s="42">
        <v>370</v>
      </c>
      <c r="D562" s="42">
        <v>5</v>
      </c>
      <c r="E562" s="42">
        <v>1850</v>
      </c>
      <c r="F562" s="43">
        <v>44958</v>
      </c>
      <c r="G562" s="42" t="s">
        <v>18</v>
      </c>
      <c r="H562" s="42">
        <v>102</v>
      </c>
      <c r="I562" s="42" t="str">
        <f>VLOOKUP(продажи!$B562,товар!$A$1:$C$433,2)</f>
        <v>Соль</v>
      </c>
      <c r="J562" s="42" t="str">
        <f>VLOOKUP(B562,товар!$A$1:$C$433,3)</f>
        <v>Экстра</v>
      </c>
      <c r="K562" s="44">
        <f>AVERAGEIF(продажи!$I$2:$I$1001,продажи!$I$2:$I$1001,продажи!$C$2:$C$1001)</f>
        <v>264.8679245283019</v>
      </c>
      <c r="L562" s="45">
        <f>продажи!$C562/продажи!$K562-1</f>
        <v>0.39692263855250021</v>
      </c>
      <c r="M562" s="33">
        <f t="shared" si="16"/>
        <v>4171</v>
      </c>
      <c r="N562" s="24">
        <f>Таблица1[[#This Row],[цена за шт в рублях]]/Таблица1[[#This Row],[средняя стоимость в категории по поставщику.]]-1</f>
        <v>-0.91129225605370412</v>
      </c>
      <c r="O562" s="26">
        <f>VLOOKUP(Таблица1[[#This Row],[id клиента]],клиенты!$A$2:$E$435,5,0)</f>
        <v>44723</v>
      </c>
      <c r="P562">
        <f>Таблица1[[#This Row],[дата создания чека]]-Таблица1[[#This Row],[Дата регистрации клента]]</f>
        <v>235</v>
      </c>
      <c r="Q562" s="26">
        <f t="shared" ca="1" si="17"/>
        <v>46059</v>
      </c>
      <c r="R562" s="51">
        <f ca="1">(TODAY()-Таблица1[[#This Row],[Дата регистрации клента]])/30</f>
        <v>44.533333333333331</v>
      </c>
      <c r="S562" s="63" t="str">
        <f>VLOOKUP(Таблица1[[#This Row],[id клиента]],Таблица8[[id клиента]:[Страна]],7,0)</f>
        <v>Узбекистан</v>
      </c>
      <c r="T562" s="26"/>
    </row>
    <row r="563" spans="1:20" ht="19.5" x14ac:dyDescent="0.4">
      <c r="A563" s="37">
        <v>562</v>
      </c>
      <c r="B563" s="31">
        <v>448</v>
      </c>
      <c r="C563" s="31">
        <v>170</v>
      </c>
      <c r="D563" s="31">
        <v>1</v>
      </c>
      <c r="E563" s="31">
        <v>170</v>
      </c>
      <c r="F563" s="38">
        <v>45075</v>
      </c>
      <c r="G563" s="31" t="s">
        <v>26</v>
      </c>
      <c r="H563" s="31">
        <v>43</v>
      </c>
      <c r="I563" s="31" t="str">
        <f>VLOOKUP(продажи!$B563,товар!$A$1:$C$433,2)</f>
        <v>Йогурт</v>
      </c>
      <c r="J563" s="31" t="str">
        <f>VLOOKUP(B563,товар!$A$1:$C$433,3)</f>
        <v>Ростагроэкспорт</v>
      </c>
      <c r="K563" s="39">
        <f>AVERAGEIF(продажи!$I$2:$I$1001,продажи!$I$2:$I$1001,продажи!$C$2:$C$1001)</f>
        <v>263.25423728813558</v>
      </c>
      <c r="L563" s="40">
        <f>продажи!$C563/продажи!$K563-1</f>
        <v>-0.35423641514293069</v>
      </c>
      <c r="M563" s="33">
        <f t="shared" si="16"/>
        <v>5929</v>
      </c>
      <c r="N563" s="24">
        <f>Таблица1[[#This Row],[цена за шт в рублях]]/Таблица1[[#This Row],[средняя стоимость в категории по поставщику.]]-1</f>
        <v>-0.97132737392477653</v>
      </c>
      <c r="O563" s="26">
        <f>VLOOKUP(Таблица1[[#This Row],[id клиента]],клиенты!$A$2:$E$435,5,0)</f>
        <v>44912</v>
      </c>
      <c r="P563">
        <f>Таблица1[[#This Row],[дата создания чека]]-Таблица1[[#This Row],[Дата регистрации клента]]</f>
        <v>163</v>
      </c>
      <c r="Q563" s="26">
        <f t="shared" ca="1" si="17"/>
        <v>46059</v>
      </c>
      <c r="R563" s="51">
        <f ca="1">(TODAY()-Таблица1[[#This Row],[Дата регистрации клента]])/30</f>
        <v>38.233333333333334</v>
      </c>
      <c r="S563" s="63" t="str">
        <f>VLOOKUP(Таблица1[[#This Row],[id клиента]],Таблица8[[id клиента]:[Страна]],7,0)</f>
        <v>Россия</v>
      </c>
      <c r="T563" s="26"/>
    </row>
    <row r="564" spans="1:20" ht="19.5" x14ac:dyDescent="0.4">
      <c r="A564" s="41">
        <v>563</v>
      </c>
      <c r="B564" s="42">
        <v>158</v>
      </c>
      <c r="C564" s="42">
        <v>71</v>
      </c>
      <c r="D564" s="42">
        <v>2</v>
      </c>
      <c r="E564" s="42">
        <v>142</v>
      </c>
      <c r="F564" s="43">
        <v>45051</v>
      </c>
      <c r="G564" s="42" t="s">
        <v>13</v>
      </c>
      <c r="H564" s="42">
        <v>29</v>
      </c>
      <c r="I564" s="42" t="str">
        <f>VLOOKUP(продажи!$B564,товар!$A$1:$C$433,2)</f>
        <v>Сахар</v>
      </c>
      <c r="J564" s="42" t="str">
        <f>VLOOKUP(B564,товар!$A$1:$C$433,3)</f>
        <v>Сладов</v>
      </c>
      <c r="K564" s="44">
        <f>AVERAGEIF(продажи!$I$2:$I$1001,продажи!$I$2:$I$1001,продажи!$C$2:$C$1001)</f>
        <v>254.58333333333334</v>
      </c>
      <c r="L564" s="45">
        <f>продажи!$C564/продажи!$K564-1</f>
        <v>-0.72111292962356788</v>
      </c>
      <c r="M564" s="33">
        <f t="shared" si="16"/>
        <v>3604</v>
      </c>
      <c r="N564" s="24">
        <f>Таблица1[[#This Row],[цена за шт в рублях]]/Таблица1[[#This Row],[средняя стоимость в категории по поставщику.]]-1</f>
        <v>-0.98029966703662597</v>
      </c>
      <c r="O564" s="26">
        <f>VLOOKUP(Таблица1[[#This Row],[id клиента]],клиенты!$A$2:$E$435,5,0)</f>
        <v>44704</v>
      </c>
      <c r="P564">
        <f>Таблица1[[#This Row],[дата создания чека]]-Таблица1[[#This Row],[Дата регистрации клента]]</f>
        <v>347</v>
      </c>
      <c r="Q564" s="26">
        <f t="shared" ca="1" si="17"/>
        <v>46059</v>
      </c>
      <c r="R564" s="51">
        <f ca="1">(TODAY()-Таблица1[[#This Row],[Дата регистрации клента]])/30</f>
        <v>45.166666666666664</v>
      </c>
      <c r="S564" s="63" t="str">
        <f>VLOOKUP(Таблица1[[#This Row],[id клиента]],Таблица8[[id клиента]:[Страна]],7,0)</f>
        <v>Россия</v>
      </c>
      <c r="T564" s="26"/>
    </row>
    <row r="565" spans="1:20" ht="19.5" x14ac:dyDescent="0.4">
      <c r="A565" s="37">
        <v>652</v>
      </c>
      <c r="B565" s="31">
        <v>112</v>
      </c>
      <c r="C565" s="31">
        <v>237</v>
      </c>
      <c r="D565" s="31">
        <v>3</v>
      </c>
      <c r="E565" s="31">
        <v>711</v>
      </c>
      <c r="F565" s="57">
        <v>45079</v>
      </c>
      <c r="G565" s="31" t="s">
        <v>25</v>
      </c>
      <c r="H565" s="55">
        <v>342</v>
      </c>
      <c r="I565" s="31" t="str">
        <f>VLOOKUP(продажи!$B653,товар!$A$1:$C$433,2)</f>
        <v>Молоко</v>
      </c>
      <c r="J565" s="31" t="str">
        <f>VLOOKUP(B565,товар!$A$1:$C$433,3)</f>
        <v>Беллакт</v>
      </c>
      <c r="K565" s="39">
        <f>AVERAGEIF(продажи!$I$2:$I$1001,продажи!$I$2:$I$1001,продажи!$C$2:$C$1001)</f>
        <v>294.95238095238096</v>
      </c>
      <c r="L565" s="40">
        <f>продажи!$C653/продажи!$K653-1</f>
        <v>-0.30158217629964479</v>
      </c>
      <c r="M565" s="53">
        <f t="shared" si="16"/>
        <v>3548</v>
      </c>
      <c r="N565" s="24">
        <f>Таблица1[[#This Row],[цена за шт в рублях]]/Таблица1[[#This Row],[средняя стоимость в категории по поставщику.]]-1</f>
        <v>-0.93320180383314544</v>
      </c>
      <c r="O565" s="26">
        <f>VLOOKUP(Таблица1[[#This Row],[id клиента]],клиенты!$A$2:$E$435,5,0)</f>
        <v>44570</v>
      </c>
      <c r="P565">
        <f>Таблица1[[#This Row],[дата создания чека]]-Таблица1[[#This Row],[Дата регистрации клента]]</f>
        <v>509</v>
      </c>
      <c r="Q565" s="26">
        <f t="shared" ca="1" si="17"/>
        <v>46059</v>
      </c>
      <c r="R565" s="51">
        <f ca="1">(TODAY()-Таблица1[[#This Row],[Дата регистрации клента]])/30</f>
        <v>49.633333333333333</v>
      </c>
      <c r="S565" s="63" t="str">
        <f>VLOOKUP(Таблица1[[#This Row],[id клиента]],Таблица8[[id клиента]:[Страна]],7,0)</f>
        <v>Таджикистан</v>
      </c>
      <c r="T565" s="26"/>
    </row>
    <row r="566" spans="1:20" ht="19.5" x14ac:dyDescent="0.4">
      <c r="A566" s="41">
        <v>565</v>
      </c>
      <c r="B566" s="42">
        <v>471</v>
      </c>
      <c r="C566" s="42">
        <v>294</v>
      </c>
      <c r="D566" s="42">
        <v>2</v>
      </c>
      <c r="E566" s="42">
        <v>588</v>
      </c>
      <c r="F566" s="43">
        <v>45112</v>
      </c>
      <c r="G566" s="42" t="s">
        <v>11</v>
      </c>
      <c r="H566" s="42">
        <v>370</v>
      </c>
      <c r="I566" s="42" t="str">
        <f>VLOOKUP(продажи!$B566,товар!$A$1:$C$433,2)</f>
        <v>Овощи</v>
      </c>
      <c r="J566" s="42" t="str">
        <f>VLOOKUP(B566,товар!$A$1:$C$433,3)</f>
        <v>Зеленая грядка</v>
      </c>
      <c r="K566" s="44">
        <f>AVERAGEIF(продажи!$I$2:$I$1001,продажи!$I$2:$I$1001,продажи!$C$2:$C$1001)</f>
        <v>250.48780487804879</v>
      </c>
      <c r="L566" s="45">
        <f>продажи!$C566/продажи!$K566-1</f>
        <v>0.17370983446932819</v>
      </c>
      <c r="M566" s="33">
        <f t="shared" si="16"/>
        <v>796</v>
      </c>
      <c r="N566" s="24">
        <f>Таблица1[[#This Row],[цена за шт в рублях]]/Таблица1[[#This Row],[средняя стоимость в категории по поставщику.]]-1</f>
        <v>-0.6306532663316583</v>
      </c>
      <c r="O566" s="26">
        <f>VLOOKUP(Таблица1[[#This Row],[id клиента]],клиенты!$A$2:$E$435,5,0)</f>
        <v>44726</v>
      </c>
      <c r="P566">
        <f>Таблица1[[#This Row],[дата создания чека]]-Таблица1[[#This Row],[Дата регистрации клента]]</f>
        <v>386</v>
      </c>
      <c r="Q566" s="26">
        <f t="shared" ca="1" si="17"/>
        <v>46059</v>
      </c>
      <c r="R566" s="51">
        <f ca="1">(TODAY()-Таблица1[[#This Row],[Дата регистрации клента]])/30</f>
        <v>44.43333333333333</v>
      </c>
      <c r="S566" s="63" t="str">
        <f>VLOOKUP(Таблица1[[#This Row],[id клиента]],Таблица8[[id клиента]:[Страна]],7,0)</f>
        <v>Таджикистан</v>
      </c>
      <c r="T566" s="26"/>
    </row>
    <row r="567" spans="1:20" ht="19.5" x14ac:dyDescent="0.4">
      <c r="A567" s="37">
        <v>566</v>
      </c>
      <c r="B567" s="31">
        <v>398</v>
      </c>
      <c r="C567" s="31">
        <v>65</v>
      </c>
      <c r="D567" s="31">
        <v>4</v>
      </c>
      <c r="E567" s="31">
        <v>260</v>
      </c>
      <c r="F567" s="38">
        <v>45055</v>
      </c>
      <c r="G567" s="31" t="s">
        <v>15</v>
      </c>
      <c r="H567" s="31">
        <v>165</v>
      </c>
      <c r="I567" s="31" t="str">
        <f>VLOOKUP(продажи!$B567,товар!$A$1:$C$433,2)</f>
        <v>Сок</v>
      </c>
      <c r="J567" s="31" t="str">
        <f>VLOOKUP(B567,товар!$A$1:$C$433,3)</f>
        <v>Фруктовый сад</v>
      </c>
      <c r="K567" s="39">
        <f>AVERAGEIF(продажи!$I$2:$I$1001,продажи!$I$2:$I$1001,продажи!$C$2:$C$1001)</f>
        <v>268.60344827586209</v>
      </c>
      <c r="L567" s="40">
        <f>продажи!$C567/продажи!$K567-1</f>
        <v>-0.75800757429873555</v>
      </c>
      <c r="M567" s="33">
        <f t="shared" si="16"/>
        <v>9023</v>
      </c>
      <c r="N567" s="24">
        <f>Таблица1[[#This Row],[цена за шт в рублях]]/Таблица1[[#This Row],[средняя стоимость в категории по поставщику.]]-1</f>
        <v>-0.99279618752078025</v>
      </c>
      <c r="O567" s="26">
        <f>VLOOKUP(Таблица1[[#This Row],[id клиента]],клиенты!$A$2:$E$435,5,0)</f>
        <v>44599</v>
      </c>
      <c r="P567">
        <f>Таблица1[[#This Row],[дата создания чека]]-Таблица1[[#This Row],[Дата регистрации клента]]</f>
        <v>456</v>
      </c>
      <c r="Q567" s="26">
        <f t="shared" ca="1" si="17"/>
        <v>46059</v>
      </c>
      <c r="R567" s="51">
        <f ca="1">(TODAY()-Таблица1[[#This Row],[Дата регистрации клента]])/30</f>
        <v>48.666666666666664</v>
      </c>
      <c r="S567" s="63" t="str">
        <f>VLOOKUP(Таблица1[[#This Row],[id клиента]],Таблица8[[id клиента]:[Страна]],7,0)</f>
        <v>Таджикистан</v>
      </c>
      <c r="T567" s="26"/>
    </row>
    <row r="568" spans="1:20" ht="19.5" x14ac:dyDescent="0.4">
      <c r="A568" s="41">
        <v>567</v>
      </c>
      <c r="B568" s="42">
        <v>395</v>
      </c>
      <c r="C568" s="42">
        <v>454</v>
      </c>
      <c r="D568" s="42">
        <v>5</v>
      </c>
      <c r="E568" s="42">
        <v>2270</v>
      </c>
      <c r="F568" s="43">
        <v>45278</v>
      </c>
      <c r="G568" s="42" t="s">
        <v>12</v>
      </c>
      <c r="H568" s="42">
        <v>147</v>
      </c>
      <c r="I568" s="42" t="str">
        <f>VLOOKUP(продажи!$B568,товар!$A$1:$C$433,2)</f>
        <v>Соль</v>
      </c>
      <c r="J568" s="42" t="str">
        <f>VLOOKUP(B568,товар!$A$1:$C$433,3)</f>
        <v>Славянская</v>
      </c>
      <c r="K568" s="44">
        <f>AVERAGEIF(продажи!$I$2:$I$1001,продажи!$I$2:$I$1001,продажи!$C$2:$C$1001)</f>
        <v>264.8679245283019</v>
      </c>
      <c r="L568" s="45">
        <f>продажи!$C568/продажи!$K568-1</f>
        <v>0.71406183216982466</v>
      </c>
      <c r="M568" s="33">
        <f t="shared" si="16"/>
        <v>2843</v>
      </c>
      <c r="N568" s="24">
        <f>Таблица1[[#This Row],[цена за шт в рублях]]/Таблица1[[#This Row],[средняя стоимость в категории по поставщику.]]-1</f>
        <v>-0.84030953218431237</v>
      </c>
      <c r="O568" s="26">
        <f>VLOOKUP(Таблица1[[#This Row],[id клиента]],клиенты!$A$2:$E$435,5,0)</f>
        <v>44827</v>
      </c>
      <c r="P568">
        <f>Таблица1[[#This Row],[дата создания чека]]-Таблица1[[#This Row],[Дата регистрации клента]]</f>
        <v>451</v>
      </c>
      <c r="Q568" s="26">
        <f t="shared" ca="1" si="17"/>
        <v>46059</v>
      </c>
      <c r="R568" s="51">
        <f ca="1">(TODAY()-Таблица1[[#This Row],[Дата регистрации клента]])/30</f>
        <v>41.06666666666667</v>
      </c>
      <c r="S568" s="63" t="str">
        <f>VLOOKUP(Таблица1[[#This Row],[id клиента]],Таблица8[[id клиента]:[Страна]],7,0)</f>
        <v>Россия</v>
      </c>
      <c r="T568" s="26"/>
    </row>
    <row r="569" spans="1:20" ht="19.5" x14ac:dyDescent="0.4">
      <c r="A569" s="37">
        <v>568</v>
      </c>
      <c r="B569" s="31">
        <v>424</v>
      </c>
      <c r="C569" s="31">
        <v>472</v>
      </c>
      <c r="D569" s="31">
        <v>3</v>
      </c>
      <c r="E569" s="31">
        <v>1416</v>
      </c>
      <c r="F569" s="38">
        <v>45423</v>
      </c>
      <c r="G569" s="31" t="s">
        <v>22</v>
      </c>
      <c r="H569" s="31">
        <v>181</v>
      </c>
      <c r="I569" s="31" t="str">
        <f>VLOOKUP(продажи!$B569,товар!$A$1:$C$433,2)</f>
        <v>Печенье</v>
      </c>
      <c r="J569" s="31" t="str">
        <f>VLOOKUP(B569,товар!$A$1:$C$433,3)</f>
        <v>КДВ</v>
      </c>
      <c r="K569" s="39">
        <f>AVERAGEIF(продажи!$I$2:$I$1001,продажи!$I$2:$I$1001,продажи!$C$2:$C$1001)</f>
        <v>283.468085106383</v>
      </c>
      <c r="L569" s="40">
        <f>продажи!$C569/продажи!$K569-1</f>
        <v>0.66509044509494841</v>
      </c>
      <c r="M569" s="33">
        <f t="shared" si="16"/>
        <v>4200</v>
      </c>
      <c r="N569" s="24">
        <f>Таблица1[[#This Row],[цена за шт в рублях]]/Таблица1[[#This Row],[средняя стоимость в категории по поставщику.]]-1</f>
        <v>-0.88761904761904764</v>
      </c>
      <c r="O569" s="26">
        <f>VLOOKUP(Таблица1[[#This Row],[id клиента]],клиенты!$A$2:$E$435,5,0)</f>
        <v>44568</v>
      </c>
      <c r="P569">
        <f>Таблица1[[#This Row],[дата создания чека]]-Таблица1[[#This Row],[Дата регистрации клента]]</f>
        <v>855</v>
      </c>
      <c r="Q569" s="26">
        <f t="shared" ca="1" si="17"/>
        <v>46059</v>
      </c>
      <c r="R569" s="51">
        <f ca="1">(TODAY()-Таблица1[[#This Row],[Дата регистрации клента]])/30</f>
        <v>49.7</v>
      </c>
      <c r="S569" s="63" t="str">
        <f>VLOOKUP(Таблица1[[#This Row],[id клиента]],Таблица8[[id клиента]:[Страна]],7,0)</f>
        <v>Украина</v>
      </c>
      <c r="T569" s="26"/>
    </row>
    <row r="570" spans="1:20" ht="19.5" x14ac:dyDescent="0.4">
      <c r="A570" s="37">
        <v>142</v>
      </c>
      <c r="B570" s="31">
        <v>112</v>
      </c>
      <c r="C570" s="31">
        <v>351</v>
      </c>
      <c r="D570" s="31">
        <v>3</v>
      </c>
      <c r="E570" s="31">
        <v>1053</v>
      </c>
      <c r="F570" s="57">
        <v>45368</v>
      </c>
      <c r="G570" s="31" t="s">
        <v>18</v>
      </c>
      <c r="H570" s="55">
        <v>419</v>
      </c>
      <c r="I570" s="31" t="str">
        <f>VLOOKUP(продажи!$B143,товар!$A$1:$C$433,2)</f>
        <v>Молоко</v>
      </c>
      <c r="J570" s="31" t="str">
        <f>VLOOKUP(B570,товар!$A$1:$C$433,3)</f>
        <v>Беллакт</v>
      </c>
      <c r="K570" s="39">
        <f>AVERAGEIF(продажи!$I$2:$I$1001,продажи!$I$2:$I$1001,продажи!$C$2:$C$1001)</f>
        <v>294.95238095238096</v>
      </c>
      <c r="L570" s="40">
        <f>продажи!$C143/продажи!$K143-1</f>
        <v>0.60025831449790124</v>
      </c>
      <c r="M570" s="53">
        <f t="shared" si="16"/>
        <v>3548</v>
      </c>
      <c r="N570" s="24">
        <f>Таблица1[[#This Row],[цена за шт в рублях]]/Таблица1[[#This Row],[средняя стоимость в категории по поставщику.]]-1</f>
        <v>-0.90107102593010147</v>
      </c>
      <c r="O570" s="26">
        <f>VLOOKUP(Таблица1[[#This Row],[id клиента]],клиенты!$A$2:$E$435,5,0)</f>
        <v>44869</v>
      </c>
      <c r="P570">
        <f>Таблица1[[#This Row],[дата создания чека]]-Таблица1[[#This Row],[Дата регистрации клента]]</f>
        <v>499</v>
      </c>
      <c r="Q570" s="26">
        <f t="shared" ca="1" si="17"/>
        <v>46059</v>
      </c>
      <c r="R570" s="51">
        <f ca="1">(TODAY()-Таблица1[[#This Row],[Дата регистрации клента]])/30</f>
        <v>39.666666666666664</v>
      </c>
      <c r="S570" s="63" t="str">
        <f>VLOOKUP(Таблица1[[#This Row],[id клиента]],Таблица8[[id клиента]:[Страна]],7,0)</f>
        <v>Таджикистан</v>
      </c>
      <c r="T570" s="26"/>
    </row>
    <row r="571" spans="1:20" ht="19.5" x14ac:dyDescent="0.4">
      <c r="A571" s="37">
        <v>570</v>
      </c>
      <c r="B571" s="31">
        <v>346</v>
      </c>
      <c r="C571" s="31">
        <v>390</v>
      </c>
      <c r="D571" s="31">
        <v>5</v>
      </c>
      <c r="E571" s="31">
        <v>1950</v>
      </c>
      <c r="F571" s="38">
        <v>45402</v>
      </c>
      <c r="G571" s="31" t="s">
        <v>20</v>
      </c>
      <c r="H571" s="31">
        <v>10</v>
      </c>
      <c r="I571" s="31" t="str">
        <f>VLOOKUP(продажи!$B571,товар!$A$1:$C$433,2)</f>
        <v>Чай</v>
      </c>
      <c r="J571" s="31" t="str">
        <f>VLOOKUP(B571,товар!$A$1:$C$433,3)</f>
        <v>Greenfield</v>
      </c>
      <c r="K571" s="39">
        <f>AVERAGEIF(продажи!$I$2:$I$1001,продажи!$I$2:$I$1001,продажи!$C$2:$C$1001)</f>
        <v>271.18181818181819</v>
      </c>
      <c r="L571" s="40">
        <f>продажи!$C571/продажи!$K571-1</f>
        <v>0.43814951391216894</v>
      </c>
      <c r="M571" s="33">
        <f t="shared" si="16"/>
        <v>6412</v>
      </c>
      <c r="N571" s="24">
        <f>Таблица1[[#This Row],[цена за шт в рублях]]/Таблица1[[#This Row],[средняя стоимость в категории по поставщику.]]-1</f>
        <v>-0.93917654398003747</v>
      </c>
      <c r="O571" s="26">
        <f>VLOOKUP(Таблица1[[#This Row],[id клиента]],клиенты!$A$2:$E$435,5,0)</f>
        <v>44881</v>
      </c>
      <c r="P571">
        <f>Таблица1[[#This Row],[дата создания чека]]-Таблица1[[#This Row],[Дата регистрации клента]]</f>
        <v>521</v>
      </c>
      <c r="Q571" s="26">
        <f t="shared" ca="1" si="17"/>
        <v>46059</v>
      </c>
      <c r="R571" s="51">
        <f ca="1">(TODAY()-Таблица1[[#This Row],[Дата регистрации клента]])/30</f>
        <v>39.266666666666666</v>
      </c>
      <c r="S571" s="63" t="str">
        <f>VLOOKUP(Таблица1[[#This Row],[id клиента]],Таблица8[[id клиента]:[Страна]],7,0)</f>
        <v>Украина</v>
      </c>
      <c r="T571" s="26"/>
    </row>
    <row r="572" spans="1:20" ht="19.5" x14ac:dyDescent="0.4">
      <c r="A572" s="41">
        <v>571</v>
      </c>
      <c r="B572" s="42">
        <v>132</v>
      </c>
      <c r="C572" s="42">
        <v>497</v>
      </c>
      <c r="D572" s="42">
        <v>4</v>
      </c>
      <c r="E572" s="42">
        <v>1988</v>
      </c>
      <c r="F572" s="43">
        <v>44987</v>
      </c>
      <c r="G572" s="42" t="s">
        <v>27</v>
      </c>
      <c r="H572" s="42">
        <v>364</v>
      </c>
      <c r="I572" s="42" t="str">
        <f>VLOOKUP(продажи!$B572,товар!$A$1:$C$433,2)</f>
        <v>Рыба</v>
      </c>
      <c r="J572" s="42" t="str">
        <f>VLOOKUP(B572,товар!$A$1:$C$433,3)</f>
        <v>Меридиан</v>
      </c>
      <c r="K572" s="44">
        <f>AVERAGEIF(продажи!$I$2:$I$1001,продажи!$I$2:$I$1001,продажи!$C$2:$C$1001)</f>
        <v>258.5128205128205</v>
      </c>
      <c r="L572" s="45">
        <f>продажи!$C572/продажи!$K572-1</f>
        <v>0.92253521126760574</v>
      </c>
      <c r="M572" s="33">
        <f t="shared" si="16"/>
        <v>4431</v>
      </c>
      <c r="N572" s="24">
        <f>Таблица1[[#This Row],[цена за шт в рублях]]/Таблица1[[#This Row],[средняя стоимость в категории по поставщику.]]-1</f>
        <v>-0.88783570300157977</v>
      </c>
      <c r="O572" s="26">
        <f>VLOOKUP(Таблица1[[#This Row],[id клиента]],клиенты!$A$2:$E$435,5,0)</f>
        <v>44883</v>
      </c>
      <c r="P572">
        <f>Таблица1[[#This Row],[дата создания чека]]-Таблица1[[#This Row],[Дата регистрации клента]]</f>
        <v>104</v>
      </c>
      <c r="Q572" s="26">
        <f t="shared" ca="1" si="17"/>
        <v>46059</v>
      </c>
      <c r="R572" s="51">
        <f ca="1">(TODAY()-Таблица1[[#This Row],[Дата регистрации клента]])/30</f>
        <v>39.200000000000003</v>
      </c>
      <c r="S572" s="63" t="str">
        <f>VLOOKUP(Таблица1[[#This Row],[id клиента]],Таблица8[[id клиента]:[Страна]],7,0)</f>
        <v>Россия</v>
      </c>
      <c r="T572" s="26"/>
    </row>
    <row r="573" spans="1:20" ht="19.5" x14ac:dyDescent="0.4">
      <c r="A573" s="37">
        <v>572</v>
      </c>
      <c r="B573" s="31">
        <v>17</v>
      </c>
      <c r="C573" s="31">
        <v>363</v>
      </c>
      <c r="D573" s="31">
        <v>4</v>
      </c>
      <c r="E573" s="31">
        <v>1452</v>
      </c>
      <c r="F573" s="38">
        <v>45191</v>
      </c>
      <c r="G573" s="31" t="s">
        <v>20</v>
      </c>
      <c r="H573" s="31">
        <v>277</v>
      </c>
      <c r="I573" s="31" t="str">
        <f>VLOOKUP(продажи!$B573,товар!$A$1:$C$433,2)</f>
        <v>Кофе</v>
      </c>
      <c r="J573" s="31" t="str">
        <f>VLOOKUP(B573,товар!$A$1:$C$433,3)</f>
        <v>Jacobs</v>
      </c>
      <c r="K573" s="39">
        <f>AVERAGEIF(продажи!$I$2:$I$1001,продажи!$I$2:$I$1001,продажи!$C$2:$C$1001)</f>
        <v>249.02380952380952</v>
      </c>
      <c r="L573" s="40">
        <f>продажи!$C573/продажи!$K573-1</f>
        <v>0.45769193995601887</v>
      </c>
      <c r="M573" s="33">
        <f t="shared" si="16"/>
        <v>5248</v>
      </c>
      <c r="N573" s="24">
        <f>Таблица1[[#This Row],[цена за шт в рублях]]/Таблица1[[#This Row],[средняя стоимость в категории по поставщику.]]-1</f>
        <v>-0.93083079268292679</v>
      </c>
      <c r="O573" s="26">
        <f>VLOOKUP(Таблица1[[#This Row],[id клиента]],клиенты!$A$2:$E$435,5,0)</f>
        <v>44750</v>
      </c>
      <c r="P573">
        <f>Таблица1[[#This Row],[дата создания чека]]-Таблица1[[#This Row],[Дата регистрации клента]]</f>
        <v>441</v>
      </c>
      <c r="Q573" s="26">
        <f t="shared" ca="1" si="17"/>
        <v>46059</v>
      </c>
      <c r="R573" s="51">
        <f ca="1">(TODAY()-Таблица1[[#This Row],[Дата регистрации клента]])/30</f>
        <v>43.633333333333333</v>
      </c>
      <c r="S573" s="63" t="str">
        <f>VLOOKUP(Таблица1[[#This Row],[id клиента]],Таблица8[[id клиента]:[Страна]],7,0)</f>
        <v>Россия</v>
      </c>
      <c r="T573" s="26"/>
    </row>
    <row r="574" spans="1:20" ht="19.5" x14ac:dyDescent="0.4">
      <c r="A574" s="41">
        <v>573</v>
      </c>
      <c r="B574" s="42">
        <v>63</v>
      </c>
      <c r="C574" s="42">
        <v>251</v>
      </c>
      <c r="D574" s="42">
        <v>1</v>
      </c>
      <c r="E574" s="42">
        <v>251</v>
      </c>
      <c r="F574" s="43">
        <v>45087</v>
      </c>
      <c r="G574" s="42" t="s">
        <v>19</v>
      </c>
      <c r="H574" s="42">
        <v>214</v>
      </c>
      <c r="I574" s="42" t="str">
        <f>VLOOKUP(продажи!$B574,товар!$A$1:$C$433,2)</f>
        <v>Рыба</v>
      </c>
      <c r="J574" s="42" t="str">
        <f>VLOOKUP(B574,товар!$A$1:$C$433,3)</f>
        <v>Балтийский берег</v>
      </c>
      <c r="K574" s="44">
        <f>AVERAGEIF(продажи!$I$2:$I$1001,продажи!$I$2:$I$1001,продажи!$C$2:$C$1001)</f>
        <v>258.5128205128205</v>
      </c>
      <c r="L574" s="45">
        <f>продажи!$C574/продажи!$K574-1</f>
        <v>-2.9061694108311831E-2</v>
      </c>
      <c r="M574" s="33">
        <f t="shared" si="16"/>
        <v>2609</v>
      </c>
      <c r="N574" s="24">
        <f>Таблица1[[#This Row],[цена за шт в рублях]]/Таблица1[[#This Row],[средняя стоимость в категории по поставщику.]]-1</f>
        <v>-0.90379455730164815</v>
      </c>
      <c r="O574" s="26">
        <f>VLOOKUP(Таблица1[[#This Row],[id клиента]],клиенты!$A$2:$E$435,5,0)</f>
        <v>44601</v>
      </c>
      <c r="P574">
        <f>Таблица1[[#This Row],[дата создания чека]]-Таблица1[[#This Row],[Дата регистрации клента]]</f>
        <v>486</v>
      </c>
      <c r="Q574" s="26">
        <f t="shared" ca="1" si="17"/>
        <v>46059</v>
      </c>
      <c r="R574" s="51">
        <f ca="1">(TODAY()-Таблица1[[#This Row],[Дата регистрации клента]])/30</f>
        <v>48.6</v>
      </c>
      <c r="S574" s="63" t="str">
        <f>VLOOKUP(Таблица1[[#This Row],[id клиента]],Таблица8[[id клиента]:[Страна]],7,0)</f>
        <v>Россия</v>
      </c>
      <c r="T574" s="26"/>
    </row>
    <row r="575" spans="1:20" ht="19.5" x14ac:dyDescent="0.4">
      <c r="A575" s="37">
        <v>574</v>
      </c>
      <c r="B575" s="31">
        <v>89</v>
      </c>
      <c r="C575" s="31">
        <v>492</v>
      </c>
      <c r="D575" s="31">
        <v>2</v>
      </c>
      <c r="E575" s="31">
        <v>984</v>
      </c>
      <c r="F575" s="38">
        <v>44935</v>
      </c>
      <c r="G575" s="31" t="s">
        <v>17</v>
      </c>
      <c r="H575" s="31">
        <v>402</v>
      </c>
      <c r="I575" s="31" t="str">
        <f>VLOOKUP(продажи!$B575,товар!$A$1:$C$433,2)</f>
        <v>Конфеты</v>
      </c>
      <c r="J575" s="31" t="str">
        <f>VLOOKUP(B575,товар!$A$1:$C$433,3)</f>
        <v>Рот Фронт</v>
      </c>
      <c r="K575" s="39">
        <f>AVERAGEIF(продажи!$I$2:$I$1001,продажи!$I$2:$I$1001,продажи!$C$2:$C$1001)</f>
        <v>267.85483870967744</v>
      </c>
      <c r="L575" s="40">
        <f>продажи!$C575/продажи!$K575-1</f>
        <v>0.83681580056602622</v>
      </c>
      <c r="M575" s="33">
        <f t="shared" si="16"/>
        <v>6053</v>
      </c>
      <c r="N575" s="24">
        <f>Таблица1[[#This Row],[цена за шт в рублях]]/Таблица1[[#This Row],[средняя стоимость в категории по поставщику.]]-1</f>
        <v>-0.91871799107880392</v>
      </c>
      <c r="O575" s="26">
        <f>VLOOKUP(Таблица1[[#This Row],[id клиента]],клиенты!$A$2:$E$435,5,0)</f>
        <v>44742</v>
      </c>
      <c r="P575">
        <f>Таблица1[[#This Row],[дата создания чека]]-Таблица1[[#This Row],[Дата регистрации клента]]</f>
        <v>193</v>
      </c>
      <c r="Q575" s="26">
        <f t="shared" ca="1" si="17"/>
        <v>46059</v>
      </c>
      <c r="R575" s="51">
        <f ca="1">(TODAY()-Таблица1[[#This Row],[Дата регистрации клента]])/30</f>
        <v>43.9</v>
      </c>
      <c r="S575" s="63" t="str">
        <f>VLOOKUP(Таблица1[[#This Row],[id клиента]],Таблица8[[id клиента]:[Страна]],7,0)</f>
        <v>Узбекистан</v>
      </c>
      <c r="T575" s="26"/>
    </row>
    <row r="576" spans="1:20" ht="19.5" x14ac:dyDescent="0.4">
      <c r="A576" s="41">
        <v>575</v>
      </c>
      <c r="B576" s="42">
        <v>260</v>
      </c>
      <c r="C576" s="42">
        <v>449</v>
      </c>
      <c r="D576" s="42">
        <v>1</v>
      </c>
      <c r="E576" s="42">
        <v>449</v>
      </c>
      <c r="F576" s="43">
        <v>45025</v>
      </c>
      <c r="G576" s="42" t="s">
        <v>24</v>
      </c>
      <c r="H576" s="42">
        <v>490</v>
      </c>
      <c r="I576" s="42" t="str">
        <f>VLOOKUP(продажи!$B576,товар!$A$1:$C$433,2)</f>
        <v>Соль</v>
      </c>
      <c r="J576" s="42" t="str">
        <f>VLOOKUP(B576,товар!$A$1:$C$433,3)</f>
        <v>Экстра</v>
      </c>
      <c r="K576" s="44">
        <f>AVERAGEIF(продажи!$I$2:$I$1001,продажи!$I$2:$I$1001,продажи!$C$2:$C$1001)</f>
        <v>264.8679245283019</v>
      </c>
      <c r="L576" s="45">
        <f>продажи!$C576/продажи!$K576-1</f>
        <v>0.69518449921641245</v>
      </c>
      <c r="M576" s="33">
        <f t="shared" si="16"/>
        <v>4171</v>
      </c>
      <c r="N576" s="24">
        <f>Таблица1[[#This Row],[цена за шт в рублях]]/Таблица1[[#This Row],[средняя стоимость в категории по поставщику.]]-1</f>
        <v>-0.89235195396787337</v>
      </c>
      <c r="O576" s="26">
        <f>VLOOKUP(Таблица1[[#This Row],[id клиента]],клиенты!$A$2:$E$435,5,0)</f>
        <v>44603</v>
      </c>
      <c r="P576">
        <f>Таблица1[[#This Row],[дата создания чека]]-Таблица1[[#This Row],[Дата регистрации клента]]</f>
        <v>422</v>
      </c>
      <c r="Q576" s="26">
        <f t="shared" ca="1" si="17"/>
        <v>46059</v>
      </c>
      <c r="R576" s="51">
        <f ca="1">(TODAY()-Таблица1[[#This Row],[Дата регистрации клента]])/30</f>
        <v>48.533333333333331</v>
      </c>
      <c r="S576" s="63" t="str">
        <f>VLOOKUP(Таблица1[[#This Row],[id клиента]],Таблица8[[id клиента]:[Страна]],7,0)</f>
        <v>Россия</v>
      </c>
      <c r="T576" s="26"/>
    </row>
    <row r="577" spans="1:20" ht="19.5" x14ac:dyDescent="0.4">
      <c r="A577" s="37">
        <v>576</v>
      </c>
      <c r="B577" s="31">
        <v>27</v>
      </c>
      <c r="C577" s="31">
        <v>193</v>
      </c>
      <c r="D577" s="31">
        <v>1</v>
      </c>
      <c r="E577" s="31">
        <v>193</v>
      </c>
      <c r="F577" s="38">
        <v>45061</v>
      </c>
      <c r="G577" s="31" t="s">
        <v>15</v>
      </c>
      <c r="H577" s="31">
        <v>151</v>
      </c>
      <c r="I577" s="31" t="str">
        <f>VLOOKUP(продажи!$B577,товар!$A$1:$C$433,2)</f>
        <v>Макароны</v>
      </c>
      <c r="J577" s="31" t="str">
        <f>VLOOKUP(B577,товар!$A$1:$C$433,3)</f>
        <v>Паста Зара</v>
      </c>
      <c r="K577" s="39">
        <f>AVERAGEIF(продажи!$I$2:$I$1001,продажи!$I$2:$I$1001,продажи!$C$2:$C$1001)</f>
        <v>265.47674418604652</v>
      </c>
      <c r="L577" s="40">
        <f>продажи!$C577/продажи!$K577-1</f>
        <v>-0.27300600061320135</v>
      </c>
      <c r="M577" s="33">
        <f t="shared" si="16"/>
        <v>10237</v>
      </c>
      <c r="N577" s="24">
        <f>Таблица1[[#This Row],[цена за шт в рублях]]/Таблица1[[#This Row],[средняя стоимость в категории по поставщику.]]-1</f>
        <v>-0.98114682035752665</v>
      </c>
      <c r="O577" s="26">
        <f>VLOOKUP(Таблица1[[#This Row],[id клиента]],клиенты!$A$2:$E$435,5,0)</f>
        <v>44923</v>
      </c>
      <c r="P577">
        <f>Таблица1[[#This Row],[дата создания чека]]-Таблица1[[#This Row],[Дата регистрации клента]]</f>
        <v>138</v>
      </c>
      <c r="Q577" s="26">
        <f t="shared" ca="1" si="17"/>
        <v>46059</v>
      </c>
      <c r="R577" s="51">
        <f ca="1">(TODAY()-Таблица1[[#This Row],[Дата регистрации клента]])/30</f>
        <v>37.866666666666667</v>
      </c>
      <c r="S577" s="63" t="str">
        <f>VLOOKUP(Таблица1[[#This Row],[id клиента]],Таблица8[[id клиента]:[Страна]],7,0)</f>
        <v>Беларусь</v>
      </c>
      <c r="T577" s="26"/>
    </row>
    <row r="578" spans="1:20" ht="19.5" x14ac:dyDescent="0.4">
      <c r="A578" s="41">
        <v>577</v>
      </c>
      <c r="B578" s="42">
        <v>221</v>
      </c>
      <c r="C578" s="42">
        <v>406</v>
      </c>
      <c r="D578" s="42">
        <v>3</v>
      </c>
      <c r="E578" s="42">
        <v>1218</v>
      </c>
      <c r="F578" s="43">
        <v>44999</v>
      </c>
      <c r="G578" s="42" t="s">
        <v>27</v>
      </c>
      <c r="H578" s="42">
        <v>409</v>
      </c>
      <c r="I578" s="42" t="str">
        <f>VLOOKUP(продажи!$B578,товар!$A$1:$C$433,2)</f>
        <v>Чипсы</v>
      </c>
      <c r="J578" s="42" t="str">
        <f>VLOOKUP(B578,товар!$A$1:$C$433,3)</f>
        <v>Pringles</v>
      </c>
      <c r="K578" s="44">
        <f>AVERAGEIF(продажи!$I$2:$I$1001,продажи!$I$2:$I$1001,продажи!$C$2:$C$1001)</f>
        <v>273.72549019607845</v>
      </c>
      <c r="L578" s="45">
        <f>продажи!$C578/продажи!$K578-1</f>
        <v>0.48323782234957013</v>
      </c>
      <c r="M578" s="33">
        <f t="shared" ref="M578:M641" si="18">SUMIFS($C$2:$C$1001,$I$2:$I$1001,I578,$J$2:$J$1001,J578)</f>
        <v>5885</v>
      </c>
      <c r="N578" s="24">
        <f>Таблица1[[#This Row],[цена за шт в рублях]]/Таблица1[[#This Row],[средняя стоимость в категории по поставщику.]]-1</f>
        <v>-0.93101104502973664</v>
      </c>
      <c r="O578" s="26">
        <f>VLOOKUP(Таблица1[[#This Row],[id клиента]],клиенты!$A$2:$E$435,5,0)</f>
        <v>44869</v>
      </c>
      <c r="P578">
        <f>Таблица1[[#This Row],[дата создания чека]]-Таблица1[[#This Row],[Дата регистрации клента]]</f>
        <v>130</v>
      </c>
      <c r="Q578" s="26">
        <f t="shared" ref="Q578:Q641" ca="1" si="19">TODAY()</f>
        <v>46059</v>
      </c>
      <c r="R578" s="51">
        <f ca="1">(TODAY()-Таблица1[[#This Row],[Дата регистрации клента]])/30</f>
        <v>39.666666666666664</v>
      </c>
      <c r="S578" s="63" t="str">
        <f>VLOOKUP(Таблица1[[#This Row],[id клиента]],Таблица8[[id клиента]:[Страна]],7,0)</f>
        <v>Украина</v>
      </c>
      <c r="T578" s="26"/>
    </row>
    <row r="579" spans="1:20" ht="19.5" x14ac:dyDescent="0.4">
      <c r="A579" s="37">
        <v>578</v>
      </c>
      <c r="B579" s="31">
        <v>127</v>
      </c>
      <c r="C579" s="31">
        <v>384</v>
      </c>
      <c r="D579" s="31">
        <v>2</v>
      </c>
      <c r="E579" s="31">
        <v>768</v>
      </c>
      <c r="F579" s="38">
        <v>45010</v>
      </c>
      <c r="G579" s="31" t="s">
        <v>19</v>
      </c>
      <c r="H579" s="31">
        <v>348</v>
      </c>
      <c r="I579" s="31" t="str">
        <f>VLOOKUP(продажи!$B579,товар!$A$1:$C$433,2)</f>
        <v>Овощи</v>
      </c>
      <c r="J579" s="31" t="str">
        <f>VLOOKUP(B579,товар!$A$1:$C$433,3)</f>
        <v>Семко</v>
      </c>
      <c r="K579" s="39">
        <f>AVERAGEIF(продажи!$I$2:$I$1001,продажи!$I$2:$I$1001,продажи!$C$2:$C$1001)</f>
        <v>250.48780487804879</v>
      </c>
      <c r="L579" s="40">
        <f>продажи!$C579/продажи!$K579-1</f>
        <v>0.53300876338851011</v>
      </c>
      <c r="M579" s="33">
        <f t="shared" si="18"/>
        <v>2080</v>
      </c>
      <c r="N579" s="24">
        <f>Таблица1[[#This Row],[цена за шт в рублях]]/Таблица1[[#This Row],[средняя стоимость в категории по поставщику.]]-1</f>
        <v>-0.81538461538461537</v>
      </c>
      <c r="O579" s="26">
        <f>VLOOKUP(Таблица1[[#This Row],[id клиента]],клиенты!$A$2:$E$435,5,0)</f>
        <v>44569</v>
      </c>
      <c r="P579">
        <f>Таблица1[[#This Row],[дата создания чека]]-Таблица1[[#This Row],[Дата регистрации клента]]</f>
        <v>441</v>
      </c>
      <c r="Q579" s="26">
        <f t="shared" ca="1" si="19"/>
        <v>46059</v>
      </c>
      <c r="R579" s="51">
        <f ca="1">(TODAY()-Таблица1[[#This Row],[Дата регистрации клента]])/30</f>
        <v>49.666666666666664</v>
      </c>
      <c r="S579" s="63" t="str">
        <f>VLOOKUP(Таблица1[[#This Row],[id клиента]],Таблица8[[id клиента]:[Страна]],7,0)</f>
        <v>Украина</v>
      </c>
      <c r="T579" s="26"/>
    </row>
    <row r="580" spans="1:20" ht="19.5" x14ac:dyDescent="0.4">
      <c r="A580" s="41">
        <v>579</v>
      </c>
      <c r="B580" s="42">
        <v>464</v>
      </c>
      <c r="C580" s="42">
        <v>356</v>
      </c>
      <c r="D580" s="42">
        <v>4</v>
      </c>
      <c r="E580" s="42">
        <v>1424</v>
      </c>
      <c r="F580" s="43">
        <v>45031</v>
      </c>
      <c r="G580" s="42" t="s">
        <v>19</v>
      </c>
      <c r="H580" s="42">
        <v>255</v>
      </c>
      <c r="I580" s="42" t="str">
        <f>VLOOKUP(продажи!$B580,товар!$A$1:$C$433,2)</f>
        <v>Сыр</v>
      </c>
      <c r="J580" s="42" t="str">
        <f>VLOOKUP(B580,товар!$A$1:$C$433,3)</f>
        <v>Сырная долина</v>
      </c>
      <c r="K580" s="44">
        <f>AVERAGEIF(продажи!$I$2:$I$1001,продажи!$I$2:$I$1001,продажи!$C$2:$C$1001)</f>
        <v>261.03225806451616</v>
      </c>
      <c r="L580" s="45">
        <f>продажи!$C580/продажи!$K580-1</f>
        <v>0.36381611468116648</v>
      </c>
      <c r="M580" s="33">
        <f t="shared" si="18"/>
        <v>8943</v>
      </c>
      <c r="N580" s="24">
        <f>Таблица1[[#This Row],[цена за шт в рублях]]/Таблица1[[#This Row],[средняя стоимость в категории по поставщику.]]-1</f>
        <v>-0.96019232919601927</v>
      </c>
      <c r="O580" s="26">
        <f>VLOOKUP(Таблица1[[#This Row],[id клиента]],клиенты!$A$2:$E$435,5,0)</f>
        <v>44793</v>
      </c>
      <c r="P580">
        <f>Таблица1[[#This Row],[дата создания чека]]-Таблица1[[#This Row],[Дата регистрации клента]]</f>
        <v>238</v>
      </c>
      <c r="Q580" s="26">
        <f t="shared" ca="1" si="19"/>
        <v>46059</v>
      </c>
      <c r="R580" s="51">
        <f ca="1">(TODAY()-Таблица1[[#This Row],[Дата регистрации клента]])/30</f>
        <v>42.2</v>
      </c>
      <c r="S580" s="63" t="str">
        <f>VLOOKUP(Таблица1[[#This Row],[id клиента]],Таблица8[[id клиента]:[Страна]],7,0)</f>
        <v>Украина</v>
      </c>
      <c r="T580" s="26"/>
    </row>
    <row r="581" spans="1:20" ht="19.5" x14ac:dyDescent="0.4">
      <c r="A581" s="37">
        <v>580</v>
      </c>
      <c r="B581" s="31">
        <v>426</v>
      </c>
      <c r="C581" s="31">
        <v>438</v>
      </c>
      <c r="D581" s="31">
        <v>1</v>
      </c>
      <c r="E581" s="31">
        <v>438</v>
      </c>
      <c r="F581" s="38">
        <v>44932</v>
      </c>
      <c r="G581" s="31" t="s">
        <v>10</v>
      </c>
      <c r="H581" s="31">
        <v>27</v>
      </c>
      <c r="I581" s="31" t="str">
        <f>VLOOKUP(продажи!$B581,товар!$A$1:$C$433,2)</f>
        <v>Печенье</v>
      </c>
      <c r="J581" s="31" t="str">
        <f>VLOOKUP(B581,товар!$A$1:$C$433,3)</f>
        <v>Посиделкино</v>
      </c>
      <c r="K581" s="39">
        <f>AVERAGEIF(продажи!$I$2:$I$1001,продажи!$I$2:$I$1001,продажи!$C$2:$C$1001)</f>
        <v>283.468085106383</v>
      </c>
      <c r="L581" s="40">
        <f>продажи!$C581/продажи!$K581-1</f>
        <v>0.54514748930421075</v>
      </c>
      <c r="M581" s="33">
        <f t="shared" si="18"/>
        <v>3538</v>
      </c>
      <c r="N581" s="24">
        <f>Таблица1[[#This Row],[цена за шт в рублях]]/Таблица1[[#This Row],[средняя стоимость в категории по поставщику.]]-1</f>
        <v>-0.8762012436404748</v>
      </c>
      <c r="O581" s="26">
        <f>VLOOKUP(Таблица1[[#This Row],[id клиента]],клиенты!$A$2:$E$435,5,0)</f>
        <v>44586</v>
      </c>
      <c r="P581">
        <f>Таблица1[[#This Row],[дата создания чека]]-Таблица1[[#This Row],[Дата регистрации клента]]</f>
        <v>346</v>
      </c>
      <c r="Q581" s="26">
        <f t="shared" ca="1" si="19"/>
        <v>46059</v>
      </c>
      <c r="R581" s="51">
        <f ca="1">(TODAY()-Таблица1[[#This Row],[Дата регистрации клента]])/30</f>
        <v>49.1</v>
      </c>
      <c r="S581" s="63" t="str">
        <f>VLOOKUP(Таблица1[[#This Row],[id клиента]],Таблица8[[id клиента]:[Страна]],7,0)</f>
        <v>Украина</v>
      </c>
      <c r="T581" s="26"/>
    </row>
    <row r="582" spans="1:20" ht="19.5" x14ac:dyDescent="0.4">
      <c r="A582" s="41">
        <v>581</v>
      </c>
      <c r="B582" s="42">
        <v>224</v>
      </c>
      <c r="C582" s="42">
        <v>232</v>
      </c>
      <c r="D582" s="42">
        <v>5</v>
      </c>
      <c r="E582" s="42">
        <v>1160</v>
      </c>
      <c r="F582" s="43">
        <v>45332</v>
      </c>
      <c r="G582" s="42" t="s">
        <v>27</v>
      </c>
      <c r="H582" s="42">
        <v>219</v>
      </c>
      <c r="I582" s="42" t="str">
        <f>VLOOKUP(продажи!$B582,товар!$A$1:$C$433,2)</f>
        <v>Чипсы</v>
      </c>
      <c r="J582" s="42" t="str">
        <f>VLOOKUP(B582,товар!$A$1:$C$433,3)</f>
        <v>Pringles</v>
      </c>
      <c r="K582" s="44">
        <f>AVERAGEIF(продажи!$I$2:$I$1001,продажи!$I$2:$I$1001,продажи!$C$2:$C$1001)</f>
        <v>273.72549019607845</v>
      </c>
      <c r="L582" s="45">
        <f>продажи!$C582/продажи!$K582-1</f>
        <v>-0.15243553008596</v>
      </c>
      <c r="M582" s="33">
        <f t="shared" si="18"/>
        <v>5885</v>
      </c>
      <c r="N582" s="24">
        <f>Таблица1[[#This Row],[цена за шт в рублях]]/Таблица1[[#This Row],[средняя стоимость в категории по поставщику.]]-1</f>
        <v>-0.96057774001699237</v>
      </c>
      <c r="O582" s="26">
        <f>VLOOKUP(Таблица1[[#This Row],[id клиента]],клиенты!$A$2:$E$435,5,0)</f>
        <v>44585</v>
      </c>
      <c r="P582">
        <f>Таблица1[[#This Row],[дата создания чека]]-Таблица1[[#This Row],[Дата регистрации клента]]</f>
        <v>747</v>
      </c>
      <c r="Q582" s="26">
        <f t="shared" ca="1" si="19"/>
        <v>46059</v>
      </c>
      <c r="R582" s="51">
        <f ca="1">(TODAY()-Таблица1[[#This Row],[Дата регистрации клента]])/30</f>
        <v>49.133333333333333</v>
      </c>
      <c r="S582" s="63" t="str">
        <f>VLOOKUP(Таблица1[[#This Row],[id клиента]],Таблица8[[id клиента]:[Страна]],7,0)</f>
        <v>Таджикистан</v>
      </c>
      <c r="T582" s="26"/>
    </row>
    <row r="583" spans="1:20" ht="19.5" x14ac:dyDescent="0.4">
      <c r="A583" s="37">
        <v>582</v>
      </c>
      <c r="B583" s="31">
        <v>198</v>
      </c>
      <c r="C583" s="31">
        <v>383</v>
      </c>
      <c r="D583" s="31">
        <v>2</v>
      </c>
      <c r="E583" s="31">
        <v>766</v>
      </c>
      <c r="F583" s="38">
        <v>45393</v>
      </c>
      <c r="G583" s="31" t="s">
        <v>13</v>
      </c>
      <c r="H583" s="31">
        <v>272</v>
      </c>
      <c r="I583" s="31" t="str">
        <f>VLOOKUP(продажи!$B583,товар!$A$1:$C$433,2)</f>
        <v>Мясо</v>
      </c>
      <c r="J583" s="31" t="str">
        <f>VLOOKUP(B583,товар!$A$1:$C$433,3)</f>
        <v>Мираторг</v>
      </c>
      <c r="K583" s="39">
        <f>AVERAGEIF(продажи!$I$2:$I$1001,продажи!$I$2:$I$1001,продажи!$C$2:$C$1001)</f>
        <v>271.74545454545455</v>
      </c>
      <c r="L583" s="40">
        <f>продажи!$C583/продажи!$K583-1</f>
        <v>0.40940719925063562</v>
      </c>
      <c r="M583" s="33">
        <f t="shared" si="18"/>
        <v>3799</v>
      </c>
      <c r="N583" s="24">
        <f>Таблица1[[#This Row],[цена за шт в рублях]]/Таблица1[[#This Row],[средняя стоимость в категории по поставщику.]]-1</f>
        <v>-0.89918399578836539</v>
      </c>
      <c r="O583" s="26">
        <f>VLOOKUP(Таблица1[[#This Row],[id клиента]],клиенты!$A$2:$E$435,5,0)</f>
        <v>44668</v>
      </c>
      <c r="P583">
        <f>Таблица1[[#This Row],[дата создания чека]]-Таблица1[[#This Row],[Дата регистрации клента]]</f>
        <v>725</v>
      </c>
      <c r="Q583" s="26">
        <f t="shared" ca="1" si="19"/>
        <v>46059</v>
      </c>
      <c r="R583" s="51">
        <f ca="1">(TODAY()-Таблица1[[#This Row],[Дата регистрации клента]])/30</f>
        <v>46.366666666666667</v>
      </c>
      <c r="S583" s="63" t="str">
        <f>VLOOKUP(Таблица1[[#This Row],[id клиента]],Таблица8[[id клиента]:[Страна]],7,0)</f>
        <v>Таджикистан</v>
      </c>
      <c r="T583" s="26"/>
    </row>
    <row r="584" spans="1:20" ht="19.5" x14ac:dyDescent="0.4">
      <c r="A584" s="41">
        <v>583</v>
      </c>
      <c r="B584" s="42">
        <v>233</v>
      </c>
      <c r="C584" s="42">
        <v>419</v>
      </c>
      <c r="D584" s="42">
        <v>5</v>
      </c>
      <c r="E584" s="42">
        <v>2095</v>
      </c>
      <c r="F584" s="43">
        <v>45304</v>
      </c>
      <c r="G584" s="42" t="s">
        <v>25</v>
      </c>
      <c r="H584" s="42">
        <v>388</v>
      </c>
      <c r="I584" s="42" t="str">
        <f>VLOOKUP(продажи!$B584,товар!$A$1:$C$433,2)</f>
        <v>Йогурт</v>
      </c>
      <c r="J584" s="42" t="str">
        <f>VLOOKUP(B584,товар!$A$1:$C$433,3)</f>
        <v>Ростагроэкспорт</v>
      </c>
      <c r="K584" s="44">
        <f>AVERAGEIF(продажи!$I$2:$I$1001,продажи!$I$2:$I$1001,продажи!$C$2:$C$1001)</f>
        <v>263.25423728813558</v>
      </c>
      <c r="L584" s="45">
        <f>продажи!$C584/продажи!$K584-1</f>
        <v>0.59161730620654129</v>
      </c>
      <c r="M584" s="33">
        <f t="shared" si="18"/>
        <v>5929</v>
      </c>
      <c r="N584" s="24">
        <f>Таблица1[[#This Row],[цена за шт в рублях]]/Таблица1[[#This Row],[средняя стоимость в категории по поставщику.]]-1</f>
        <v>-0.92933040984989035</v>
      </c>
      <c r="O584" s="26">
        <f>VLOOKUP(Таблица1[[#This Row],[id клиента]],клиенты!$A$2:$E$435,5,0)</f>
        <v>44581</v>
      </c>
      <c r="P584">
        <f>Таблица1[[#This Row],[дата создания чека]]-Таблица1[[#This Row],[Дата регистрации клента]]</f>
        <v>723</v>
      </c>
      <c r="Q584" s="26">
        <f t="shared" ca="1" si="19"/>
        <v>46059</v>
      </c>
      <c r="R584" s="51">
        <f ca="1">(TODAY()-Таблица1[[#This Row],[Дата регистрации клента]])/30</f>
        <v>49.266666666666666</v>
      </c>
      <c r="S584" s="63" t="str">
        <f>VLOOKUP(Таблица1[[#This Row],[id клиента]],Таблица8[[id клиента]:[Страна]],7,0)</f>
        <v>Россия</v>
      </c>
      <c r="T584" s="26"/>
    </row>
    <row r="585" spans="1:20" ht="19.5" x14ac:dyDescent="0.4">
      <c r="A585" s="37">
        <v>584</v>
      </c>
      <c r="B585" s="31">
        <v>355</v>
      </c>
      <c r="C585" s="31">
        <v>210</v>
      </c>
      <c r="D585" s="31">
        <v>1</v>
      </c>
      <c r="E585" s="31">
        <v>210</v>
      </c>
      <c r="F585" s="38">
        <v>45213</v>
      </c>
      <c r="G585" s="31" t="s">
        <v>14</v>
      </c>
      <c r="H585" s="31">
        <v>446</v>
      </c>
      <c r="I585" s="31" t="str">
        <f>VLOOKUP(продажи!$B585,товар!$A$1:$C$433,2)</f>
        <v>Кофе</v>
      </c>
      <c r="J585" s="31" t="str">
        <f>VLOOKUP(B585,товар!$A$1:$C$433,3)</f>
        <v>Jacobs</v>
      </c>
      <c r="K585" s="39">
        <f>AVERAGEIF(продажи!$I$2:$I$1001,продажи!$I$2:$I$1001,продажи!$C$2:$C$1001)</f>
        <v>249.02380952380952</v>
      </c>
      <c r="L585" s="40">
        <f>продажи!$C585/продажи!$K585-1</f>
        <v>-0.15670714217420401</v>
      </c>
      <c r="M585" s="33">
        <f t="shared" si="18"/>
        <v>5248</v>
      </c>
      <c r="N585" s="24">
        <f>Таблица1[[#This Row],[цена за шт в рублях]]/Таблица1[[#This Row],[средняя стоимость в категории по поставщику.]]-1</f>
        <v>-0.95998475609756095</v>
      </c>
      <c r="O585" s="26">
        <f>VLOOKUP(Таблица1[[#This Row],[id клиента]],клиенты!$A$2:$E$435,5,0)</f>
        <v>44671</v>
      </c>
      <c r="P585">
        <f>Таблица1[[#This Row],[дата создания чека]]-Таблица1[[#This Row],[Дата регистрации клента]]</f>
        <v>542</v>
      </c>
      <c r="Q585" s="26">
        <f t="shared" ca="1" si="19"/>
        <v>46059</v>
      </c>
      <c r="R585" s="51">
        <f ca="1">(TODAY()-Таблица1[[#This Row],[Дата регистрации клента]])/30</f>
        <v>46.266666666666666</v>
      </c>
      <c r="S585" s="63" t="str">
        <f>VLOOKUP(Таблица1[[#This Row],[id клиента]],Таблица8[[id клиента]:[Страна]],7,0)</f>
        <v>Таджикистан</v>
      </c>
      <c r="T585" s="26"/>
    </row>
    <row r="586" spans="1:20" ht="19.5" x14ac:dyDescent="0.4">
      <c r="A586" s="41">
        <v>585</v>
      </c>
      <c r="B586" s="42">
        <v>118</v>
      </c>
      <c r="C586" s="42">
        <v>214</v>
      </c>
      <c r="D586" s="42">
        <v>2</v>
      </c>
      <c r="E586" s="42">
        <v>428</v>
      </c>
      <c r="F586" s="43">
        <v>45058</v>
      </c>
      <c r="G586" s="42" t="s">
        <v>14</v>
      </c>
      <c r="H586" s="42">
        <v>138</v>
      </c>
      <c r="I586" s="42" t="str">
        <f>VLOOKUP(продажи!$B586,товар!$A$1:$C$433,2)</f>
        <v>Сахар</v>
      </c>
      <c r="J586" s="42" t="str">
        <f>VLOOKUP(B586,товар!$A$1:$C$433,3)</f>
        <v>Продимекс</v>
      </c>
      <c r="K586" s="44">
        <f>AVERAGEIF(продажи!$I$2:$I$1001,продажи!$I$2:$I$1001,продажи!$C$2:$C$1001)</f>
        <v>254.58333333333334</v>
      </c>
      <c r="L586" s="45">
        <f>продажи!$C586/продажи!$K586-1</f>
        <v>-0.15941080196399349</v>
      </c>
      <c r="M586" s="33">
        <f t="shared" si="18"/>
        <v>5172</v>
      </c>
      <c r="N586" s="24">
        <f>Таблица1[[#This Row],[цена за шт в рублях]]/Таблица1[[#This Row],[средняя стоимость в категории по поставщику.]]-1</f>
        <v>-0.95862335653518949</v>
      </c>
      <c r="O586" s="26">
        <f>VLOOKUP(Таблица1[[#This Row],[id клиента]],клиенты!$A$2:$E$435,5,0)</f>
        <v>44723</v>
      </c>
      <c r="P586">
        <f>Таблица1[[#This Row],[дата создания чека]]-Таблица1[[#This Row],[Дата регистрации клента]]</f>
        <v>335</v>
      </c>
      <c r="Q586" s="26">
        <f t="shared" ca="1" si="19"/>
        <v>46059</v>
      </c>
      <c r="R586" s="51">
        <f ca="1">(TODAY()-Таблица1[[#This Row],[Дата регистрации клента]])/30</f>
        <v>44.533333333333331</v>
      </c>
      <c r="S586" s="63" t="str">
        <f>VLOOKUP(Таблица1[[#This Row],[id клиента]],Таблица8[[id клиента]:[Страна]],7,0)</f>
        <v>Украина</v>
      </c>
      <c r="T586" s="26"/>
    </row>
    <row r="587" spans="1:20" ht="19.5" x14ac:dyDescent="0.4">
      <c r="A587" s="37">
        <v>586</v>
      </c>
      <c r="B587" s="31">
        <v>414</v>
      </c>
      <c r="C587" s="31">
        <v>115</v>
      </c>
      <c r="D587" s="31">
        <v>2</v>
      </c>
      <c r="E587" s="31">
        <v>230</v>
      </c>
      <c r="F587" s="38">
        <v>45094</v>
      </c>
      <c r="G587" s="31" t="s">
        <v>12</v>
      </c>
      <c r="H587" s="31">
        <v>402</v>
      </c>
      <c r="I587" s="31" t="str">
        <f>VLOOKUP(продажи!$B587,товар!$A$1:$C$433,2)</f>
        <v>Фрукты</v>
      </c>
      <c r="J587" s="31" t="str">
        <f>VLOOKUP(B587,товар!$A$1:$C$433,3)</f>
        <v>Экзотик</v>
      </c>
      <c r="K587" s="39">
        <f>AVERAGEIF(продажи!$I$2:$I$1001,продажи!$I$2:$I$1001,продажи!$C$2:$C$1001)</f>
        <v>274.16279069767444</v>
      </c>
      <c r="L587" s="40">
        <f>продажи!$C587/продажи!$K587-1</f>
        <v>-0.58054118245822384</v>
      </c>
      <c r="M587" s="33">
        <f t="shared" si="18"/>
        <v>4059</v>
      </c>
      <c r="N587" s="24">
        <f>Таблица1[[#This Row],[цена за шт в рублях]]/Таблица1[[#This Row],[средняя стоимость в категории по поставщику.]]-1</f>
        <v>-0.97166789849716684</v>
      </c>
      <c r="O587" s="26">
        <f>VLOOKUP(Таблица1[[#This Row],[id клиента]],клиенты!$A$2:$E$435,5,0)</f>
        <v>44742</v>
      </c>
      <c r="P587">
        <f>Таблица1[[#This Row],[дата создания чека]]-Таблица1[[#This Row],[Дата регистрации клента]]</f>
        <v>352</v>
      </c>
      <c r="Q587" s="26">
        <f t="shared" ca="1" si="19"/>
        <v>46059</v>
      </c>
      <c r="R587" s="51">
        <f ca="1">(TODAY()-Таблица1[[#This Row],[Дата регистрации клента]])/30</f>
        <v>43.9</v>
      </c>
      <c r="S587" s="63" t="str">
        <f>VLOOKUP(Таблица1[[#This Row],[id клиента]],Таблица8[[id клиента]:[Страна]],7,0)</f>
        <v>Узбекистан</v>
      </c>
      <c r="T587" s="26"/>
    </row>
    <row r="588" spans="1:20" ht="19.5" x14ac:dyDescent="0.4">
      <c r="A588" s="41">
        <v>587</v>
      </c>
      <c r="B588" s="42">
        <v>405</v>
      </c>
      <c r="C588" s="42">
        <v>340</v>
      </c>
      <c r="D588" s="42">
        <v>1</v>
      </c>
      <c r="E588" s="42">
        <v>340</v>
      </c>
      <c r="F588" s="43">
        <v>45213</v>
      </c>
      <c r="G588" s="42" t="s">
        <v>11</v>
      </c>
      <c r="H588" s="42">
        <v>351</v>
      </c>
      <c r="I588" s="42" t="str">
        <f>VLOOKUP(продажи!$B588,товар!$A$1:$C$433,2)</f>
        <v>Хлеб</v>
      </c>
      <c r="J588" s="42" t="str">
        <f>VLOOKUP(B588,товар!$A$1:$C$433,3)</f>
        <v>Каравай</v>
      </c>
      <c r="K588" s="44">
        <f>AVERAGEIF(продажи!$I$2:$I$1001,продажи!$I$2:$I$1001,продажи!$C$2:$C$1001)</f>
        <v>300.31818181818181</v>
      </c>
      <c r="L588" s="45">
        <f>продажи!$C588/продажи!$K588-1</f>
        <v>0.1321325866505223</v>
      </c>
      <c r="M588" s="33">
        <f t="shared" si="18"/>
        <v>3974</v>
      </c>
      <c r="N588" s="24">
        <f>Таблица1[[#This Row],[цена за шт в рублях]]/Таблица1[[#This Row],[средняя стоимость в категории по поставщику.]]-1</f>
        <v>-0.91444388525415199</v>
      </c>
      <c r="O588" s="26">
        <f>VLOOKUP(Таблица1[[#This Row],[id клиента]],клиенты!$A$2:$E$435,5,0)</f>
        <v>44863</v>
      </c>
      <c r="P588">
        <f>Таблица1[[#This Row],[дата создания чека]]-Таблица1[[#This Row],[Дата регистрации клента]]</f>
        <v>350</v>
      </c>
      <c r="Q588" s="26">
        <f t="shared" ca="1" si="19"/>
        <v>46059</v>
      </c>
      <c r="R588" s="51">
        <f ca="1">(TODAY()-Таблица1[[#This Row],[Дата регистрации клента]])/30</f>
        <v>39.866666666666667</v>
      </c>
      <c r="S588" s="63" t="str">
        <f>VLOOKUP(Таблица1[[#This Row],[id клиента]],Таблица8[[id клиента]:[Страна]],7,0)</f>
        <v>Россия</v>
      </c>
      <c r="T588" s="26"/>
    </row>
    <row r="589" spans="1:20" ht="19.5" x14ac:dyDescent="0.4">
      <c r="A589" s="37">
        <v>588</v>
      </c>
      <c r="B589" s="31">
        <v>313</v>
      </c>
      <c r="C589" s="31">
        <v>392</v>
      </c>
      <c r="D589" s="31">
        <v>5</v>
      </c>
      <c r="E589" s="31">
        <v>1960</v>
      </c>
      <c r="F589" s="38">
        <v>45109</v>
      </c>
      <c r="G589" s="31" t="s">
        <v>8</v>
      </c>
      <c r="H589" s="31">
        <v>40</v>
      </c>
      <c r="I589" s="31" t="str">
        <f>VLOOKUP(продажи!$B589,товар!$A$1:$C$433,2)</f>
        <v>Конфеты</v>
      </c>
      <c r="J589" s="31" t="str">
        <f>VLOOKUP(B589,товар!$A$1:$C$433,3)</f>
        <v>Бабаевский</v>
      </c>
      <c r="K589" s="39">
        <f>AVERAGEIF(продажи!$I$2:$I$1001,продажи!$I$2:$I$1001,продажи!$C$2:$C$1001)</f>
        <v>267.85483870967744</v>
      </c>
      <c r="L589" s="40">
        <f>продажи!$C589/продажи!$K589-1</f>
        <v>0.46347925573553317</v>
      </c>
      <c r="M589" s="33">
        <f t="shared" si="18"/>
        <v>6757</v>
      </c>
      <c r="N589" s="24">
        <f>Таблица1[[#This Row],[цена за шт в рублях]]/Таблица1[[#This Row],[средняя стоимость в категории по поставщику.]]-1</f>
        <v>-0.941986088500814</v>
      </c>
      <c r="O589" s="26">
        <f>VLOOKUP(Таблица1[[#This Row],[id клиента]],клиенты!$A$2:$E$435,5,0)</f>
        <v>44855</v>
      </c>
      <c r="P589">
        <f>Таблица1[[#This Row],[дата создания чека]]-Таблица1[[#This Row],[Дата регистрации клента]]</f>
        <v>254</v>
      </c>
      <c r="Q589" s="26">
        <f t="shared" ca="1" si="19"/>
        <v>46059</v>
      </c>
      <c r="R589" s="51">
        <f ca="1">(TODAY()-Таблица1[[#This Row],[Дата регистрации клента]])/30</f>
        <v>40.133333333333333</v>
      </c>
      <c r="S589" s="63" t="str">
        <f>VLOOKUP(Таблица1[[#This Row],[id клиента]],Таблица8[[id клиента]:[Страна]],7,0)</f>
        <v>Россия</v>
      </c>
      <c r="T589" s="26"/>
    </row>
    <row r="590" spans="1:20" ht="19.5" x14ac:dyDescent="0.4">
      <c r="A590" s="41">
        <v>589</v>
      </c>
      <c r="B590" s="42">
        <v>113</v>
      </c>
      <c r="C590" s="42">
        <v>378</v>
      </c>
      <c r="D590" s="42">
        <v>1</v>
      </c>
      <c r="E590" s="42">
        <v>378</v>
      </c>
      <c r="F590" s="43">
        <v>45277</v>
      </c>
      <c r="G590" s="42" t="s">
        <v>10</v>
      </c>
      <c r="H590" s="42">
        <v>19</v>
      </c>
      <c r="I590" s="42" t="str">
        <f>VLOOKUP(продажи!$B590,товар!$A$1:$C$433,2)</f>
        <v>Сок</v>
      </c>
      <c r="J590" s="42" t="str">
        <f>VLOOKUP(B590,товар!$A$1:$C$433,3)</f>
        <v>Добрый</v>
      </c>
      <c r="K590" s="44">
        <f>AVERAGEIF(продажи!$I$2:$I$1001,продажи!$I$2:$I$1001,продажи!$C$2:$C$1001)</f>
        <v>268.60344827586209</v>
      </c>
      <c r="L590" s="45">
        <f>продажи!$C590/продажи!$K590-1</f>
        <v>0.4072790294627382</v>
      </c>
      <c r="M590" s="33">
        <f t="shared" si="18"/>
        <v>2671</v>
      </c>
      <c r="N590" s="24">
        <f>Таблица1[[#This Row],[цена за шт в рублях]]/Таблица1[[#This Row],[средняя стоимость в категории по поставщику.]]-1</f>
        <v>-0.85847997004867094</v>
      </c>
      <c r="O590" s="26">
        <f>VLOOKUP(Таблица1[[#This Row],[id клиента]],клиенты!$A$2:$E$435,5,0)</f>
        <v>44902</v>
      </c>
      <c r="P590">
        <f>Таблица1[[#This Row],[дата создания чека]]-Таблица1[[#This Row],[Дата регистрации клента]]</f>
        <v>375</v>
      </c>
      <c r="Q590" s="26">
        <f t="shared" ca="1" si="19"/>
        <v>46059</v>
      </c>
      <c r="R590" s="51">
        <f ca="1">(TODAY()-Таблица1[[#This Row],[Дата регистрации клента]])/30</f>
        <v>38.56666666666667</v>
      </c>
      <c r="S590" s="63" t="str">
        <f>VLOOKUP(Таблица1[[#This Row],[id клиента]],Таблица8[[id клиента]:[Страна]],7,0)</f>
        <v>Россия</v>
      </c>
      <c r="T590" s="26"/>
    </row>
    <row r="591" spans="1:20" ht="19.5" x14ac:dyDescent="0.4">
      <c r="A591" s="41">
        <v>663</v>
      </c>
      <c r="B591" s="42">
        <v>151</v>
      </c>
      <c r="C591" s="42">
        <v>496</v>
      </c>
      <c r="D591" s="42">
        <v>3</v>
      </c>
      <c r="E591" s="42">
        <v>1488</v>
      </c>
      <c r="F591" s="58">
        <v>45181</v>
      </c>
      <c r="G591" s="42" t="s">
        <v>22</v>
      </c>
      <c r="H591" s="56">
        <v>436</v>
      </c>
      <c r="I591" s="42" t="str">
        <f>VLOOKUP(продажи!$B664,товар!$A$1:$C$433,2)</f>
        <v>Молоко</v>
      </c>
      <c r="J591" s="42" t="str">
        <f>VLOOKUP(B591,товар!$A$1:$C$433,3)</f>
        <v>Беллакт</v>
      </c>
      <c r="K591" s="44">
        <f>AVERAGEIF(продажи!$I$2:$I$1001,продажи!$I$2:$I$1001,продажи!$C$2:$C$1001)</f>
        <v>294.95238095238096</v>
      </c>
      <c r="L591" s="45">
        <f>продажи!$C664/продажи!$K664-1</f>
        <v>0.63416209234743293</v>
      </c>
      <c r="M591" s="53">
        <f t="shared" si="18"/>
        <v>3548</v>
      </c>
      <c r="N591" s="24">
        <f>Таблица1[[#This Row],[цена за шт в рублях]]/Таблица1[[#This Row],[средняя стоимость в категории по поставщику.]]-1</f>
        <v>-0.86020293122886127</v>
      </c>
      <c r="O591" s="26">
        <f>VLOOKUP(Таблица1[[#This Row],[id клиента]],клиенты!$A$2:$E$435,5,0)</f>
        <v>44683</v>
      </c>
      <c r="P591">
        <f>Таблица1[[#This Row],[дата создания чека]]-Таблица1[[#This Row],[Дата регистрации клента]]</f>
        <v>498</v>
      </c>
      <c r="Q591" s="26">
        <f t="shared" ca="1" si="19"/>
        <v>46059</v>
      </c>
      <c r="R591" s="51">
        <f ca="1">(TODAY()-Таблица1[[#This Row],[Дата регистрации клента]])/30</f>
        <v>45.866666666666667</v>
      </c>
      <c r="S591" s="63" t="str">
        <f>VLOOKUP(Таблица1[[#This Row],[id клиента]],Таблица8[[id клиента]:[Страна]],7,0)</f>
        <v>Россия</v>
      </c>
      <c r="T591" s="26"/>
    </row>
    <row r="592" spans="1:20" ht="19.5" x14ac:dyDescent="0.4">
      <c r="A592" s="41">
        <v>591</v>
      </c>
      <c r="B592" s="42">
        <v>361</v>
      </c>
      <c r="C592" s="42">
        <v>69</v>
      </c>
      <c r="D592" s="42">
        <v>1</v>
      </c>
      <c r="E592" s="42">
        <v>69</v>
      </c>
      <c r="F592" s="43">
        <v>45021</v>
      </c>
      <c r="G592" s="42" t="s">
        <v>27</v>
      </c>
      <c r="H592" s="42">
        <v>355</v>
      </c>
      <c r="I592" s="42" t="str">
        <f>VLOOKUP(продажи!$B592,товар!$A$1:$C$433,2)</f>
        <v>Мясо</v>
      </c>
      <c r="J592" s="42" t="str">
        <f>VLOOKUP(B592,товар!$A$1:$C$433,3)</f>
        <v>Сава</v>
      </c>
      <c r="K592" s="44">
        <f>AVERAGEIF(продажи!$I$2:$I$1001,продажи!$I$2:$I$1001,продажи!$C$2:$C$1001)</f>
        <v>271.74545454545455</v>
      </c>
      <c r="L592" s="45">
        <f>продажи!$C592/продажи!$K592-1</f>
        <v>-0.74608590927338425</v>
      </c>
      <c r="M592" s="33">
        <f t="shared" si="18"/>
        <v>3405</v>
      </c>
      <c r="N592" s="24">
        <f>Таблица1[[#This Row],[цена за шт в рублях]]/Таблица1[[#This Row],[средняя стоимость в категории по поставщику.]]-1</f>
        <v>-0.97973568281938328</v>
      </c>
      <c r="O592" s="26">
        <f>VLOOKUP(Таблица1[[#This Row],[id клиента]],клиенты!$A$2:$E$435,5,0)</f>
        <v>44631</v>
      </c>
      <c r="P592">
        <f>Таблица1[[#This Row],[дата создания чека]]-Таблица1[[#This Row],[Дата регистрации клента]]</f>
        <v>390</v>
      </c>
      <c r="Q592" s="26">
        <f t="shared" ca="1" si="19"/>
        <v>46059</v>
      </c>
      <c r="R592" s="51">
        <f ca="1">(TODAY()-Таблица1[[#This Row],[Дата регистрации клента]])/30</f>
        <v>47.6</v>
      </c>
      <c r="S592" s="63" t="str">
        <f>VLOOKUP(Таблица1[[#This Row],[id клиента]],Таблица8[[id клиента]:[Страна]],7,0)</f>
        <v>Россия</v>
      </c>
      <c r="T592" s="26"/>
    </row>
    <row r="593" spans="1:20" ht="19.5" x14ac:dyDescent="0.4">
      <c r="A593" s="37">
        <v>592</v>
      </c>
      <c r="B593" s="31">
        <v>291</v>
      </c>
      <c r="C593" s="31">
        <v>455</v>
      </c>
      <c r="D593" s="31">
        <v>5</v>
      </c>
      <c r="E593" s="31">
        <v>2275</v>
      </c>
      <c r="F593" s="38">
        <v>45142</v>
      </c>
      <c r="G593" s="31" t="s">
        <v>18</v>
      </c>
      <c r="H593" s="31">
        <v>245</v>
      </c>
      <c r="I593" s="31" t="str">
        <f>VLOOKUP(продажи!$B593,товар!$A$1:$C$433,2)</f>
        <v>Рыба</v>
      </c>
      <c r="J593" s="31" t="str">
        <f>VLOOKUP(B593,товар!$A$1:$C$433,3)</f>
        <v>Балтийский берег</v>
      </c>
      <c r="K593" s="39">
        <f>AVERAGEIF(продажи!$I$2:$I$1001,продажи!$I$2:$I$1001,продажи!$C$2:$C$1001)</f>
        <v>258.5128205128205</v>
      </c>
      <c r="L593" s="40">
        <f>продажи!$C593/продажи!$K593-1</f>
        <v>0.76006744693513206</v>
      </c>
      <c r="M593" s="33">
        <f t="shared" si="18"/>
        <v>2609</v>
      </c>
      <c r="N593" s="24">
        <f>Таблица1[[#This Row],[цена за шт в рублях]]/Таблица1[[#This Row],[средняя стоимость в категории по поставщику.]]-1</f>
        <v>-0.82560367957071679</v>
      </c>
      <c r="O593" s="26">
        <f>VLOOKUP(Таблица1[[#This Row],[id клиента]],клиенты!$A$2:$E$435,5,0)</f>
        <v>44695</v>
      </c>
      <c r="P593">
        <f>Таблица1[[#This Row],[дата создания чека]]-Таблица1[[#This Row],[Дата регистрации клента]]</f>
        <v>447</v>
      </c>
      <c r="Q593" s="26">
        <f t="shared" ca="1" si="19"/>
        <v>46059</v>
      </c>
      <c r="R593" s="51">
        <f ca="1">(TODAY()-Таблица1[[#This Row],[Дата регистрации клента]])/30</f>
        <v>45.466666666666669</v>
      </c>
      <c r="S593" s="63" t="str">
        <f>VLOOKUP(Таблица1[[#This Row],[id клиента]],Таблица8[[id клиента]:[Страна]],7,0)</f>
        <v>Узбекистан</v>
      </c>
      <c r="T593" s="26"/>
    </row>
    <row r="594" spans="1:20" ht="19.5" x14ac:dyDescent="0.4">
      <c r="A594" s="41">
        <v>593</v>
      </c>
      <c r="B594" s="42">
        <v>360</v>
      </c>
      <c r="C594" s="42">
        <v>137</v>
      </c>
      <c r="D594" s="42">
        <v>2</v>
      </c>
      <c r="E594" s="42">
        <v>274</v>
      </c>
      <c r="F594" s="43">
        <v>45318</v>
      </c>
      <c r="G594" s="42" t="s">
        <v>22</v>
      </c>
      <c r="H594" s="42">
        <v>80</v>
      </c>
      <c r="I594" s="42" t="str">
        <f>VLOOKUP(продажи!$B594,товар!$A$1:$C$433,2)</f>
        <v>Соль</v>
      </c>
      <c r="J594" s="42" t="str">
        <f>VLOOKUP(B594,товар!$A$1:$C$433,3)</f>
        <v>Славянская</v>
      </c>
      <c r="K594" s="44">
        <f>AVERAGEIF(продажи!$I$2:$I$1001,продажи!$I$2:$I$1001,продажи!$C$2:$C$1001)</f>
        <v>264.8679245283019</v>
      </c>
      <c r="L594" s="45">
        <f>продажи!$C594/продажи!$K594-1</f>
        <v>-0.48276107707650662</v>
      </c>
      <c r="M594" s="33">
        <f t="shared" si="18"/>
        <v>2843</v>
      </c>
      <c r="N594" s="24">
        <f>Таблица1[[#This Row],[цена за шт в рублях]]/Таблица1[[#This Row],[средняя стоимость в категории по поставщику.]]-1</f>
        <v>-0.95181146676046424</v>
      </c>
      <c r="O594" s="26">
        <f>VLOOKUP(Таблица1[[#This Row],[id клиента]],клиенты!$A$2:$E$435,5,0)</f>
        <v>44623</v>
      </c>
      <c r="P594">
        <f>Таблица1[[#This Row],[дата создания чека]]-Таблица1[[#This Row],[Дата регистрации клента]]</f>
        <v>695</v>
      </c>
      <c r="Q594" s="26">
        <f t="shared" ca="1" si="19"/>
        <v>46059</v>
      </c>
      <c r="R594" s="51">
        <f ca="1">(TODAY()-Таблица1[[#This Row],[Дата регистрации клента]])/30</f>
        <v>47.866666666666667</v>
      </c>
      <c r="S594" s="63" t="str">
        <f>VLOOKUP(Таблица1[[#This Row],[id клиента]],Таблица8[[id клиента]:[Страна]],7,0)</f>
        <v>Беларусь</v>
      </c>
      <c r="T594" s="26"/>
    </row>
    <row r="595" spans="1:20" ht="19.5" x14ac:dyDescent="0.4">
      <c r="A595" s="37">
        <v>594</v>
      </c>
      <c r="B595" s="31">
        <v>182</v>
      </c>
      <c r="C595" s="31">
        <v>152</v>
      </c>
      <c r="D595" s="31">
        <v>3</v>
      </c>
      <c r="E595" s="31">
        <v>456</v>
      </c>
      <c r="F595" s="38">
        <v>45053</v>
      </c>
      <c r="G595" s="31" t="s">
        <v>22</v>
      </c>
      <c r="H595" s="31">
        <v>466</v>
      </c>
      <c r="I595" s="31" t="str">
        <f>VLOOKUP(продажи!$B595,товар!$A$1:$C$433,2)</f>
        <v>Соль</v>
      </c>
      <c r="J595" s="31" t="str">
        <f>VLOOKUP(B595,товар!$A$1:$C$433,3)</f>
        <v>Экстра</v>
      </c>
      <c r="K595" s="39">
        <f>AVERAGEIF(продажи!$I$2:$I$1001,продажи!$I$2:$I$1001,продажи!$C$2:$C$1001)</f>
        <v>264.8679245283019</v>
      </c>
      <c r="L595" s="40">
        <f>продажи!$C595/продажи!$K595-1</f>
        <v>-0.42612907821627011</v>
      </c>
      <c r="M595" s="33">
        <f t="shared" si="18"/>
        <v>4171</v>
      </c>
      <c r="N595" s="24">
        <f>Таблица1[[#This Row],[цена за шт в рублях]]/Таблица1[[#This Row],[средняя стоимость в категории по поставщику.]]-1</f>
        <v>-0.96355789978422446</v>
      </c>
      <c r="O595" s="26">
        <f>VLOOKUP(Таблица1[[#This Row],[id клиента]],клиенты!$A$2:$E$435,5,0)</f>
        <v>44772</v>
      </c>
      <c r="P595">
        <f>Таблица1[[#This Row],[дата создания чека]]-Таблица1[[#This Row],[Дата регистрации клента]]</f>
        <v>281</v>
      </c>
      <c r="Q595" s="26">
        <f t="shared" ca="1" si="19"/>
        <v>46059</v>
      </c>
      <c r="R595" s="51">
        <f ca="1">(TODAY()-Таблица1[[#This Row],[Дата регистрации клента]])/30</f>
        <v>42.9</v>
      </c>
      <c r="S595" s="63" t="str">
        <f>VLOOKUP(Таблица1[[#This Row],[id клиента]],Таблица8[[id клиента]:[Страна]],7,0)</f>
        <v>Беларусь</v>
      </c>
      <c r="T595" s="26"/>
    </row>
    <row r="596" spans="1:20" ht="19.5" x14ac:dyDescent="0.4">
      <c r="A596" s="41">
        <v>595</v>
      </c>
      <c r="B596" s="42">
        <v>490</v>
      </c>
      <c r="C596" s="42">
        <v>170</v>
      </c>
      <c r="D596" s="42">
        <v>5</v>
      </c>
      <c r="E596" s="42">
        <v>850</v>
      </c>
      <c r="F596" s="43">
        <v>45058</v>
      </c>
      <c r="G596" s="42" t="s">
        <v>17</v>
      </c>
      <c r="H596" s="42">
        <v>317</v>
      </c>
      <c r="I596" s="42" t="str">
        <f>VLOOKUP(продажи!$B596,товар!$A$1:$C$433,2)</f>
        <v>Сыр</v>
      </c>
      <c r="J596" s="42" t="str">
        <f>VLOOKUP(B596,товар!$A$1:$C$433,3)</f>
        <v>Сырная долина</v>
      </c>
      <c r="K596" s="44">
        <f>AVERAGEIF(продажи!$I$2:$I$1001,продажи!$I$2:$I$1001,продажи!$C$2:$C$1001)</f>
        <v>261.03225806451616</v>
      </c>
      <c r="L596" s="45">
        <f>продажи!$C596/продажи!$K596-1</f>
        <v>-0.34873949579831942</v>
      </c>
      <c r="M596" s="33">
        <f t="shared" si="18"/>
        <v>8943</v>
      </c>
      <c r="N596" s="24">
        <f>Таблица1[[#This Row],[цена за шт в рублях]]/Таблица1[[#This Row],[средняя стоимость в категории по поставщику.]]-1</f>
        <v>-0.98099071899809909</v>
      </c>
      <c r="O596" s="26">
        <f>VLOOKUP(Таблица1[[#This Row],[id клиента]],клиенты!$A$2:$E$435,5,0)</f>
        <v>44770</v>
      </c>
      <c r="P596">
        <f>Таблица1[[#This Row],[дата создания чека]]-Таблица1[[#This Row],[Дата регистрации клента]]</f>
        <v>288</v>
      </c>
      <c r="Q596" s="26">
        <f t="shared" ca="1" si="19"/>
        <v>46059</v>
      </c>
      <c r="R596" s="51">
        <f ca="1">(TODAY()-Таблица1[[#This Row],[Дата регистрации клента]])/30</f>
        <v>42.966666666666669</v>
      </c>
      <c r="S596" s="63" t="str">
        <f>VLOOKUP(Таблица1[[#This Row],[id клиента]],Таблица8[[id клиента]:[Страна]],7,0)</f>
        <v>Россия</v>
      </c>
      <c r="T596" s="26"/>
    </row>
    <row r="597" spans="1:20" ht="19.5" x14ac:dyDescent="0.4">
      <c r="A597" s="37">
        <v>596</v>
      </c>
      <c r="B597" s="31">
        <v>215</v>
      </c>
      <c r="C597" s="31">
        <v>496</v>
      </c>
      <c r="D597" s="31">
        <v>2</v>
      </c>
      <c r="E597" s="31">
        <v>992</v>
      </c>
      <c r="F597" s="38">
        <v>45404</v>
      </c>
      <c r="G597" s="31" t="s">
        <v>12</v>
      </c>
      <c r="H597" s="31">
        <v>342</v>
      </c>
      <c r="I597" s="31" t="str">
        <f>VLOOKUP(продажи!$B597,товар!$A$1:$C$433,2)</f>
        <v>Сок</v>
      </c>
      <c r="J597" s="31" t="str">
        <f>VLOOKUP(B597,товар!$A$1:$C$433,3)</f>
        <v>Фруктовый сад</v>
      </c>
      <c r="K597" s="39">
        <f>AVERAGEIF(продажи!$I$2:$I$1001,продажи!$I$2:$I$1001,продажи!$C$2:$C$1001)</f>
        <v>268.60344827586209</v>
      </c>
      <c r="L597" s="40">
        <f>продажи!$C597/продажи!$K597-1</f>
        <v>0.84658835612041838</v>
      </c>
      <c r="M597" s="33">
        <f t="shared" si="18"/>
        <v>9023</v>
      </c>
      <c r="N597" s="24">
        <f>Таблица1[[#This Row],[цена за шт в рублях]]/Таблица1[[#This Row],[средняя стоимость в категории по поставщику.]]-1</f>
        <v>-0.94502936938933835</v>
      </c>
      <c r="O597" s="26">
        <f>VLOOKUP(Таблица1[[#This Row],[id клиента]],клиенты!$A$2:$E$435,5,0)</f>
        <v>44570</v>
      </c>
      <c r="P597">
        <f>Таблица1[[#This Row],[дата создания чека]]-Таблица1[[#This Row],[Дата регистрации клента]]</f>
        <v>834</v>
      </c>
      <c r="Q597" s="26">
        <f t="shared" ca="1" si="19"/>
        <v>46059</v>
      </c>
      <c r="R597" s="51">
        <f ca="1">(TODAY()-Таблица1[[#This Row],[Дата регистрации клента]])/30</f>
        <v>49.633333333333333</v>
      </c>
      <c r="S597" s="63" t="str">
        <f>VLOOKUP(Таблица1[[#This Row],[id клиента]],Таблица8[[id клиента]:[Страна]],7,0)</f>
        <v>Таджикистан</v>
      </c>
      <c r="T597" s="26"/>
    </row>
    <row r="598" spans="1:20" ht="19.5" x14ac:dyDescent="0.4">
      <c r="A598" s="41">
        <v>597</v>
      </c>
      <c r="B598" s="42">
        <v>137</v>
      </c>
      <c r="C598" s="42">
        <v>411</v>
      </c>
      <c r="D598" s="42">
        <v>1</v>
      </c>
      <c r="E598" s="42">
        <v>411</v>
      </c>
      <c r="F598" s="43">
        <v>45192</v>
      </c>
      <c r="G598" s="42" t="s">
        <v>27</v>
      </c>
      <c r="H598" s="42">
        <v>130</v>
      </c>
      <c r="I598" s="42" t="str">
        <f>VLOOKUP(продажи!$B598,товар!$A$1:$C$433,2)</f>
        <v>Фрукты</v>
      </c>
      <c r="J598" s="42" t="str">
        <f>VLOOKUP(B598,товар!$A$1:$C$433,3)</f>
        <v>Экзотик</v>
      </c>
      <c r="K598" s="44">
        <f>AVERAGEIF(продажи!$I$2:$I$1001,продажи!$I$2:$I$1001,продажи!$C$2:$C$1001)</f>
        <v>274.16279069767444</v>
      </c>
      <c r="L598" s="45">
        <f>продажи!$C598/продажи!$K598-1</f>
        <v>0.49910933921452183</v>
      </c>
      <c r="M598" s="33">
        <f t="shared" si="18"/>
        <v>4059</v>
      </c>
      <c r="N598" s="24">
        <f>Таблица1[[#This Row],[цена за шт в рублях]]/Таблица1[[#This Row],[средняя стоимость в категории по поставщику.]]-1</f>
        <v>-0.8987435328898743</v>
      </c>
      <c r="O598" s="26">
        <f>VLOOKUP(Таблица1[[#This Row],[id клиента]],клиенты!$A$2:$E$435,5,0)</f>
        <v>44863</v>
      </c>
      <c r="P598">
        <f>Таблица1[[#This Row],[дата создания чека]]-Таблица1[[#This Row],[Дата регистрации клента]]</f>
        <v>329</v>
      </c>
      <c r="Q598" s="26">
        <f t="shared" ca="1" si="19"/>
        <v>46059</v>
      </c>
      <c r="R598" s="51">
        <f ca="1">(TODAY()-Таблица1[[#This Row],[Дата регистрации клента]])/30</f>
        <v>39.866666666666667</v>
      </c>
      <c r="S598" s="63" t="str">
        <f>VLOOKUP(Таблица1[[#This Row],[id клиента]],Таблица8[[id клиента]:[Страна]],7,0)</f>
        <v>Таджикистан</v>
      </c>
      <c r="T598" s="26"/>
    </row>
    <row r="599" spans="1:20" ht="19.5" x14ac:dyDescent="0.4">
      <c r="A599" s="37">
        <v>598</v>
      </c>
      <c r="B599" s="31">
        <v>75</v>
      </c>
      <c r="C599" s="31">
        <v>240</v>
      </c>
      <c r="D599" s="31">
        <v>4</v>
      </c>
      <c r="E599" s="31">
        <v>960</v>
      </c>
      <c r="F599" s="38">
        <v>45148</v>
      </c>
      <c r="G599" s="31" t="s">
        <v>22</v>
      </c>
      <c r="H599" s="31">
        <v>53</v>
      </c>
      <c r="I599" s="31" t="str">
        <f>VLOOKUP(продажи!$B599,товар!$A$1:$C$433,2)</f>
        <v>Печенье</v>
      </c>
      <c r="J599" s="31" t="str">
        <f>VLOOKUP(B599,товар!$A$1:$C$433,3)</f>
        <v>Белогорье</v>
      </c>
      <c r="K599" s="39">
        <f>AVERAGEIF(продажи!$I$2:$I$1001,продажи!$I$2:$I$1001,продажи!$C$2:$C$1001)</f>
        <v>283.468085106383</v>
      </c>
      <c r="L599" s="40">
        <f>продажи!$C599/продажи!$K599-1</f>
        <v>-0.15334384147714486</v>
      </c>
      <c r="M599" s="33">
        <f t="shared" si="18"/>
        <v>3493</v>
      </c>
      <c r="N599" s="24">
        <f>Таблица1[[#This Row],[цена за шт в рублях]]/Таблица1[[#This Row],[средняя стоимость в категории по поставщику.]]-1</f>
        <v>-0.93129115373604354</v>
      </c>
      <c r="O599" s="26">
        <f>VLOOKUP(Таблица1[[#This Row],[id клиента]],клиенты!$A$2:$E$435,5,0)</f>
        <v>44593</v>
      </c>
      <c r="P599">
        <f>Таблица1[[#This Row],[дата создания чека]]-Таблица1[[#This Row],[Дата регистрации клента]]</f>
        <v>555</v>
      </c>
      <c r="Q599" s="26">
        <f t="shared" ca="1" si="19"/>
        <v>46059</v>
      </c>
      <c r="R599" s="51">
        <f ca="1">(TODAY()-Таблица1[[#This Row],[Дата регистрации клента]])/30</f>
        <v>48.866666666666667</v>
      </c>
      <c r="S599" s="63" t="str">
        <f>VLOOKUP(Таблица1[[#This Row],[id клиента]],Таблица8[[id клиента]:[Страна]],7,0)</f>
        <v>Россия</v>
      </c>
      <c r="T599" s="26"/>
    </row>
    <row r="600" spans="1:20" ht="19.5" x14ac:dyDescent="0.4">
      <c r="A600" s="41">
        <v>599</v>
      </c>
      <c r="B600" s="42">
        <v>359</v>
      </c>
      <c r="C600" s="42">
        <v>302</v>
      </c>
      <c r="D600" s="42">
        <v>4</v>
      </c>
      <c r="E600" s="42">
        <v>1208</v>
      </c>
      <c r="F600" s="43">
        <v>45195</v>
      </c>
      <c r="G600" s="42" t="s">
        <v>22</v>
      </c>
      <c r="H600" s="42">
        <v>122</v>
      </c>
      <c r="I600" s="42" t="str">
        <f>VLOOKUP(продажи!$B600,товар!$A$1:$C$433,2)</f>
        <v>Мясо</v>
      </c>
      <c r="J600" s="42" t="str">
        <f>VLOOKUP(B600,товар!$A$1:$C$433,3)</f>
        <v>Мираторг</v>
      </c>
      <c r="K600" s="44">
        <f>AVERAGEIF(продажи!$I$2:$I$1001,продажи!$I$2:$I$1001,продажи!$C$2:$C$1001)</f>
        <v>271.74545454545455</v>
      </c>
      <c r="L600" s="45">
        <f>продажи!$C600/продажи!$K600-1</f>
        <v>0.11133413622373878</v>
      </c>
      <c r="M600" s="33">
        <f t="shared" si="18"/>
        <v>3799</v>
      </c>
      <c r="N600" s="24">
        <f>Таблица1[[#This Row],[цена за шт в рублях]]/Таблица1[[#This Row],[средняя стоимость в категории по поставщику.]]-1</f>
        <v>-0.92050539615688343</v>
      </c>
      <c r="O600" s="26">
        <f>VLOOKUP(Таблица1[[#This Row],[id клиента]],клиенты!$A$2:$E$435,5,0)</f>
        <v>44683</v>
      </c>
      <c r="P600">
        <f>Таблица1[[#This Row],[дата создания чека]]-Таблица1[[#This Row],[Дата регистрации клента]]</f>
        <v>512</v>
      </c>
      <c r="Q600" s="26">
        <f t="shared" ca="1" si="19"/>
        <v>46059</v>
      </c>
      <c r="R600" s="51">
        <f ca="1">(TODAY()-Таблица1[[#This Row],[Дата регистрации клента]])/30</f>
        <v>45.866666666666667</v>
      </c>
      <c r="S600" s="63" t="str">
        <f>VLOOKUP(Таблица1[[#This Row],[id клиента]],Таблица8[[id клиента]:[Страна]],7,0)</f>
        <v>Беларусь</v>
      </c>
      <c r="T600" s="26"/>
    </row>
    <row r="601" spans="1:20" ht="19.5" x14ac:dyDescent="0.4">
      <c r="A601" s="37">
        <v>600</v>
      </c>
      <c r="B601" s="31">
        <v>364</v>
      </c>
      <c r="C601" s="31">
        <v>138</v>
      </c>
      <c r="D601" s="31">
        <v>4</v>
      </c>
      <c r="E601" s="31">
        <v>552</v>
      </c>
      <c r="F601" s="38">
        <v>45256</v>
      </c>
      <c r="G601" s="31" t="s">
        <v>22</v>
      </c>
      <c r="H601" s="31">
        <v>199</v>
      </c>
      <c r="I601" s="31" t="str">
        <f>VLOOKUP(продажи!$B601,товар!$A$1:$C$433,2)</f>
        <v>Сахар</v>
      </c>
      <c r="J601" s="31" t="str">
        <f>VLOOKUP(B601,товар!$A$1:$C$433,3)</f>
        <v>Русский сахар</v>
      </c>
      <c r="K601" s="39">
        <f>AVERAGEIF(продажи!$I$2:$I$1001,продажи!$I$2:$I$1001,продажи!$C$2:$C$1001)</f>
        <v>254.58333333333334</v>
      </c>
      <c r="L601" s="40">
        <f>продажи!$C601/продажи!$K601-1</f>
        <v>-0.45793780687397712</v>
      </c>
      <c r="M601" s="33">
        <f t="shared" si="18"/>
        <v>4988</v>
      </c>
      <c r="N601" s="24">
        <f>Таблица1[[#This Row],[цена за шт в рублях]]/Таблица1[[#This Row],[средняя стоимость в категории по поставщику.]]-1</f>
        <v>-0.97233360064153973</v>
      </c>
      <c r="O601" s="26">
        <f>VLOOKUP(Таблица1[[#This Row],[id клиента]],клиенты!$A$2:$E$435,5,0)</f>
        <v>44715</v>
      </c>
      <c r="P601">
        <f>Таблица1[[#This Row],[дата создания чека]]-Таблица1[[#This Row],[Дата регистрации клента]]</f>
        <v>541</v>
      </c>
      <c r="Q601" s="26">
        <f t="shared" ca="1" si="19"/>
        <v>46059</v>
      </c>
      <c r="R601" s="51">
        <f ca="1">(TODAY()-Таблица1[[#This Row],[Дата регистрации клента]])/30</f>
        <v>44.8</v>
      </c>
      <c r="S601" s="63" t="str">
        <f>VLOOKUP(Таблица1[[#This Row],[id клиента]],Таблица8[[id клиента]:[Страна]],7,0)</f>
        <v>Узбекистан</v>
      </c>
      <c r="T601" s="26"/>
    </row>
    <row r="602" spans="1:20" ht="19.5" x14ac:dyDescent="0.4">
      <c r="A602" s="41">
        <v>601</v>
      </c>
      <c r="B602" s="42">
        <v>197</v>
      </c>
      <c r="C602" s="42">
        <v>309</v>
      </c>
      <c r="D602" s="42">
        <v>4</v>
      </c>
      <c r="E602" s="42">
        <v>1236</v>
      </c>
      <c r="F602" s="43">
        <v>45212</v>
      </c>
      <c r="G602" s="42" t="s">
        <v>15</v>
      </c>
      <c r="H602" s="42">
        <v>52</v>
      </c>
      <c r="I602" s="42" t="str">
        <f>VLOOKUP(продажи!$B602,товар!$A$1:$C$433,2)</f>
        <v>Печенье</v>
      </c>
      <c r="J602" s="42" t="str">
        <f>VLOOKUP(B602,товар!$A$1:$C$433,3)</f>
        <v>Юбилейное</v>
      </c>
      <c r="K602" s="44">
        <f>AVERAGEIF(продажи!$I$2:$I$1001,продажи!$I$2:$I$1001,продажи!$C$2:$C$1001)</f>
        <v>283.468085106383</v>
      </c>
      <c r="L602" s="45">
        <f>продажи!$C602/продажи!$K602-1</f>
        <v>9.0069804098175998E-2</v>
      </c>
      <c r="M602" s="33">
        <f t="shared" si="18"/>
        <v>2092</v>
      </c>
      <c r="N602" s="24">
        <f>Таблица1[[#This Row],[цена за шт в рублях]]/Таблица1[[#This Row],[средняя стоимость в категории по поставщику.]]-1</f>
        <v>-0.85229445506692159</v>
      </c>
      <c r="O602" s="26">
        <f>VLOOKUP(Таблица1[[#This Row],[id клиента]],клиенты!$A$2:$E$435,5,0)</f>
        <v>44917</v>
      </c>
      <c r="P602">
        <f>Таблица1[[#This Row],[дата создания чека]]-Таблица1[[#This Row],[Дата регистрации клента]]</f>
        <v>295</v>
      </c>
      <c r="Q602" s="26">
        <f t="shared" ca="1" si="19"/>
        <v>46059</v>
      </c>
      <c r="R602" s="51">
        <f ca="1">(TODAY()-Таблица1[[#This Row],[Дата регистрации клента]])/30</f>
        <v>38.06666666666667</v>
      </c>
      <c r="S602" s="63" t="str">
        <f>VLOOKUP(Таблица1[[#This Row],[id клиента]],Таблица8[[id клиента]:[Страна]],7,0)</f>
        <v>Россия</v>
      </c>
      <c r="T602" s="26"/>
    </row>
    <row r="603" spans="1:20" ht="19.5" x14ac:dyDescent="0.4">
      <c r="A603" s="37">
        <v>602</v>
      </c>
      <c r="B603" s="31">
        <v>157</v>
      </c>
      <c r="C603" s="31">
        <v>473</v>
      </c>
      <c r="D603" s="31">
        <v>5</v>
      </c>
      <c r="E603" s="31">
        <v>2365</v>
      </c>
      <c r="F603" s="38">
        <v>45012</v>
      </c>
      <c r="G603" s="31" t="s">
        <v>22</v>
      </c>
      <c r="H603" s="31">
        <v>477</v>
      </c>
      <c r="I603" s="31" t="str">
        <f>VLOOKUP(продажи!$B603,товар!$A$1:$C$433,2)</f>
        <v>Сыр</v>
      </c>
      <c r="J603" s="31" t="str">
        <f>VLOOKUP(B603,товар!$A$1:$C$433,3)</f>
        <v>President</v>
      </c>
      <c r="K603" s="39">
        <f>AVERAGEIF(продажи!$I$2:$I$1001,продажи!$I$2:$I$1001,продажи!$C$2:$C$1001)</f>
        <v>261.03225806451616</v>
      </c>
      <c r="L603" s="40">
        <f>продажи!$C603/продажи!$K603-1</f>
        <v>0.81203657933761719</v>
      </c>
      <c r="M603" s="33">
        <f t="shared" si="18"/>
        <v>3935</v>
      </c>
      <c r="N603" s="24">
        <f>Таблица1[[#This Row],[цена за шт в рублях]]/Таблица1[[#This Row],[средняя стоимость в категории по поставщику.]]-1</f>
        <v>-0.8797966963151207</v>
      </c>
      <c r="O603" s="26">
        <f>VLOOKUP(Таблица1[[#This Row],[id клиента]],клиенты!$A$2:$E$435,5,0)</f>
        <v>44738</v>
      </c>
      <c r="P603">
        <f>Таблица1[[#This Row],[дата создания чека]]-Таблица1[[#This Row],[Дата регистрации клента]]</f>
        <v>274</v>
      </c>
      <c r="Q603" s="26">
        <f t="shared" ca="1" si="19"/>
        <v>46059</v>
      </c>
      <c r="R603" s="51">
        <f ca="1">(TODAY()-Таблица1[[#This Row],[Дата регистрации клента]])/30</f>
        <v>44.033333333333331</v>
      </c>
      <c r="S603" s="63" t="str">
        <f>VLOOKUP(Таблица1[[#This Row],[id клиента]],Таблица8[[id клиента]:[Страна]],7,0)</f>
        <v>Узбекистан</v>
      </c>
      <c r="T603" s="26"/>
    </row>
    <row r="604" spans="1:20" ht="19.5" x14ac:dyDescent="0.4">
      <c r="A604" s="41">
        <v>603</v>
      </c>
      <c r="B604" s="42">
        <v>105</v>
      </c>
      <c r="C604" s="42">
        <v>187</v>
      </c>
      <c r="D604" s="42">
        <v>1</v>
      </c>
      <c r="E604" s="42">
        <v>187</v>
      </c>
      <c r="F604" s="43">
        <v>45038</v>
      </c>
      <c r="G604" s="42" t="s">
        <v>19</v>
      </c>
      <c r="H604" s="42">
        <v>24</v>
      </c>
      <c r="I604" s="42" t="str">
        <f>VLOOKUP(продажи!$B604,товар!$A$1:$C$433,2)</f>
        <v>Фрукты</v>
      </c>
      <c r="J604" s="42" t="str">
        <f>VLOOKUP(B604,товар!$A$1:$C$433,3)</f>
        <v>Фрукты-Ягоды</v>
      </c>
      <c r="K604" s="44">
        <f>AVERAGEIF(продажи!$I$2:$I$1001,продажи!$I$2:$I$1001,продажи!$C$2:$C$1001)</f>
        <v>274.16279069767444</v>
      </c>
      <c r="L604" s="45">
        <f>продажи!$C604/продажи!$K604-1</f>
        <v>-0.31792348799728565</v>
      </c>
      <c r="M604" s="33">
        <f t="shared" si="18"/>
        <v>2526</v>
      </c>
      <c r="N604" s="24">
        <f>Таблица1[[#This Row],[цена за шт в рублях]]/Таблица1[[#This Row],[средняя стоимость в категории по поставщику.]]-1</f>
        <v>-0.9259699129057799</v>
      </c>
      <c r="O604" s="26">
        <f>VLOOKUP(Таблица1[[#This Row],[id клиента]],клиенты!$A$2:$E$435,5,0)</f>
        <v>44609</v>
      </c>
      <c r="P604">
        <f>Таблица1[[#This Row],[дата создания чека]]-Таблица1[[#This Row],[Дата регистрации клента]]</f>
        <v>429</v>
      </c>
      <c r="Q604" s="26">
        <f t="shared" ca="1" si="19"/>
        <v>46059</v>
      </c>
      <c r="R604" s="51">
        <f ca="1">(TODAY()-Таблица1[[#This Row],[Дата регистрации клента]])/30</f>
        <v>48.333333333333336</v>
      </c>
      <c r="S604" s="63" t="str">
        <f>VLOOKUP(Таблица1[[#This Row],[id клиента]],Таблица8[[id клиента]:[Страна]],7,0)</f>
        <v>Узбекистан</v>
      </c>
      <c r="T604" s="26"/>
    </row>
    <row r="605" spans="1:20" ht="19.5" x14ac:dyDescent="0.4">
      <c r="A605" s="37">
        <v>604</v>
      </c>
      <c r="B605" s="31">
        <v>479</v>
      </c>
      <c r="C605" s="31">
        <v>314</v>
      </c>
      <c r="D605" s="31">
        <v>3</v>
      </c>
      <c r="E605" s="31">
        <v>942</v>
      </c>
      <c r="F605" s="38">
        <v>45429</v>
      </c>
      <c r="G605" s="31" t="s">
        <v>16</v>
      </c>
      <c r="H605" s="31">
        <v>293</v>
      </c>
      <c r="I605" s="31" t="str">
        <f>VLOOKUP(продажи!$B605,товар!$A$1:$C$433,2)</f>
        <v>Овощи</v>
      </c>
      <c r="J605" s="31" t="str">
        <f>VLOOKUP(B605,товар!$A$1:$C$433,3)</f>
        <v>Гавриш</v>
      </c>
      <c r="K605" s="39">
        <f>AVERAGEIF(продажи!$I$2:$I$1001,продажи!$I$2:$I$1001,продажи!$C$2:$C$1001)</f>
        <v>250.48780487804879</v>
      </c>
      <c r="L605" s="40">
        <f>продажи!$C605/продажи!$K605-1</f>
        <v>0.25355404089581302</v>
      </c>
      <c r="M605" s="33">
        <f t="shared" si="18"/>
        <v>2229</v>
      </c>
      <c r="N605" s="24">
        <f>Таблица1[[#This Row],[цена за шт в рублях]]/Таблица1[[#This Row],[средняя стоимость в категории по поставщику.]]-1</f>
        <v>-0.85912965455361145</v>
      </c>
      <c r="O605" s="26">
        <f>VLOOKUP(Таблица1[[#This Row],[id клиента]],клиенты!$A$2:$E$435,5,0)</f>
        <v>44573</v>
      </c>
      <c r="P605">
        <f>Таблица1[[#This Row],[дата создания чека]]-Таблица1[[#This Row],[Дата регистрации клента]]</f>
        <v>856</v>
      </c>
      <c r="Q605" s="26">
        <f t="shared" ca="1" si="19"/>
        <v>46059</v>
      </c>
      <c r="R605" s="51">
        <f ca="1">(TODAY()-Таблица1[[#This Row],[Дата регистрации клента]])/30</f>
        <v>49.533333333333331</v>
      </c>
      <c r="S605" s="63" t="str">
        <f>VLOOKUP(Таблица1[[#This Row],[id клиента]],Таблица8[[id клиента]:[Страна]],7,0)</f>
        <v>Беларусь</v>
      </c>
      <c r="T605" s="26"/>
    </row>
    <row r="606" spans="1:20" ht="19.5" x14ac:dyDescent="0.4">
      <c r="A606" s="41">
        <v>605</v>
      </c>
      <c r="B606" s="42">
        <v>285</v>
      </c>
      <c r="C606" s="42">
        <v>122</v>
      </c>
      <c r="D606" s="42">
        <v>5</v>
      </c>
      <c r="E606" s="42">
        <v>610</v>
      </c>
      <c r="F606" s="43">
        <v>44959</v>
      </c>
      <c r="G606" s="42" t="s">
        <v>17</v>
      </c>
      <c r="H606" s="42">
        <v>447</v>
      </c>
      <c r="I606" s="42" t="str">
        <f>VLOOKUP(продажи!$B606,товар!$A$1:$C$433,2)</f>
        <v>Макароны</v>
      </c>
      <c r="J606" s="42" t="str">
        <f>VLOOKUP(B606,товар!$A$1:$C$433,3)</f>
        <v>Паста Зара</v>
      </c>
      <c r="K606" s="44">
        <f>AVERAGEIF(продажи!$I$2:$I$1001,продажи!$I$2:$I$1001,продажи!$C$2:$C$1001)</f>
        <v>265.47674418604652</v>
      </c>
      <c r="L606" s="45">
        <f>продажи!$C606/продажи!$K606-1</f>
        <v>-0.5404493889886558</v>
      </c>
      <c r="M606" s="33">
        <f t="shared" si="18"/>
        <v>10237</v>
      </c>
      <c r="N606" s="24">
        <f>Таблица1[[#This Row],[цена за шт в рублях]]/Таблица1[[#This Row],[средняя стоимость в категории по поставщику.]]-1</f>
        <v>-0.98808244602911011</v>
      </c>
      <c r="O606" s="26">
        <f>VLOOKUP(Таблица1[[#This Row],[id клиента]],клиенты!$A$2:$E$435,5,0)</f>
        <v>44898</v>
      </c>
      <c r="P606">
        <f>Таблица1[[#This Row],[дата создания чека]]-Таблица1[[#This Row],[Дата регистрации клента]]</f>
        <v>61</v>
      </c>
      <c r="Q606" s="26">
        <f t="shared" ca="1" si="19"/>
        <v>46059</v>
      </c>
      <c r="R606" s="51">
        <f ca="1">(TODAY()-Таблица1[[#This Row],[Дата регистрации клента]])/30</f>
        <v>38.700000000000003</v>
      </c>
      <c r="S606" s="63" t="str">
        <f>VLOOKUP(Таблица1[[#This Row],[id клиента]],Таблица8[[id клиента]:[Страна]],7,0)</f>
        <v>Таджикистан</v>
      </c>
      <c r="T606" s="26"/>
    </row>
    <row r="607" spans="1:20" ht="19.5" x14ac:dyDescent="0.4">
      <c r="A607" s="37">
        <v>606</v>
      </c>
      <c r="B607" s="31">
        <v>93</v>
      </c>
      <c r="C607" s="31">
        <v>184</v>
      </c>
      <c r="D607" s="31">
        <v>2</v>
      </c>
      <c r="E607" s="31">
        <v>368</v>
      </c>
      <c r="F607" s="38">
        <v>45187</v>
      </c>
      <c r="G607" s="31" t="s">
        <v>19</v>
      </c>
      <c r="H607" s="31">
        <v>163</v>
      </c>
      <c r="I607" s="31" t="str">
        <f>VLOOKUP(продажи!$B607,товар!$A$1:$C$433,2)</f>
        <v>Чай</v>
      </c>
      <c r="J607" s="31" t="str">
        <f>VLOOKUP(B607,товар!$A$1:$C$433,3)</f>
        <v>Greenfield</v>
      </c>
      <c r="K607" s="39">
        <f>AVERAGEIF(продажи!$I$2:$I$1001,продажи!$I$2:$I$1001,продажи!$C$2:$C$1001)</f>
        <v>271.18181818181819</v>
      </c>
      <c r="L607" s="40">
        <f>продажи!$C607/продажи!$K607-1</f>
        <v>-0.32148843446195108</v>
      </c>
      <c r="M607" s="33">
        <f t="shared" si="18"/>
        <v>6412</v>
      </c>
      <c r="N607" s="24">
        <f>Таблица1[[#This Row],[цена за шт в рублях]]/Таблица1[[#This Row],[средняя стоимость в категории по поставщику.]]-1</f>
        <v>-0.97130380536494076</v>
      </c>
      <c r="O607" s="26">
        <f>VLOOKUP(Таблица1[[#This Row],[id клиента]],клиенты!$A$2:$E$435,5,0)</f>
        <v>44571</v>
      </c>
      <c r="P607">
        <f>Таблица1[[#This Row],[дата создания чека]]-Таблица1[[#This Row],[Дата регистрации клента]]</f>
        <v>616</v>
      </c>
      <c r="Q607" s="26">
        <f t="shared" ca="1" si="19"/>
        <v>46059</v>
      </c>
      <c r="R607" s="51">
        <f ca="1">(TODAY()-Таблица1[[#This Row],[Дата регистрации клента]])/30</f>
        <v>49.6</v>
      </c>
      <c r="S607" s="63" t="str">
        <f>VLOOKUP(Таблица1[[#This Row],[id клиента]],Таблица8[[id клиента]:[Страна]],7,0)</f>
        <v>Узбекистан</v>
      </c>
      <c r="T607" s="26"/>
    </row>
    <row r="608" spans="1:20" ht="19.5" x14ac:dyDescent="0.4">
      <c r="A608" s="41">
        <v>607</v>
      </c>
      <c r="B608" s="42">
        <v>199</v>
      </c>
      <c r="C608" s="42">
        <v>172</v>
      </c>
      <c r="D608" s="42">
        <v>3</v>
      </c>
      <c r="E608" s="42">
        <v>516</v>
      </c>
      <c r="F608" s="43">
        <v>45223</v>
      </c>
      <c r="G608" s="42" t="s">
        <v>22</v>
      </c>
      <c r="H608" s="42">
        <v>421</v>
      </c>
      <c r="I608" s="42" t="str">
        <f>VLOOKUP(продажи!$B608,товар!$A$1:$C$433,2)</f>
        <v>Макароны</v>
      </c>
      <c r="J608" s="42" t="str">
        <f>VLOOKUP(B608,товар!$A$1:$C$433,3)</f>
        <v>Борилла</v>
      </c>
      <c r="K608" s="44">
        <f>AVERAGEIF(продажи!$I$2:$I$1001,продажи!$I$2:$I$1001,продажи!$C$2:$C$1001)</f>
        <v>265.47674418604652</v>
      </c>
      <c r="L608" s="45">
        <f>продажи!$C608/продажи!$K608-1</f>
        <v>-0.35210897463974422</v>
      </c>
      <c r="M608" s="33">
        <f t="shared" si="18"/>
        <v>6852</v>
      </c>
      <c r="N608" s="24">
        <f>Таблица1[[#This Row],[цена за шт в рублях]]/Таблица1[[#This Row],[средняя стоимость в категории по поставщику.]]-1</f>
        <v>-0.97489784004670166</v>
      </c>
      <c r="O608" s="26">
        <f>VLOOKUP(Таблица1[[#This Row],[id клиента]],клиенты!$A$2:$E$435,5,0)</f>
        <v>44620</v>
      </c>
      <c r="P608">
        <f>Таблица1[[#This Row],[дата создания чека]]-Таблица1[[#This Row],[Дата регистрации клента]]</f>
        <v>603</v>
      </c>
      <c r="Q608" s="26">
        <f t="shared" ca="1" si="19"/>
        <v>46059</v>
      </c>
      <c r="R608" s="51">
        <f ca="1">(TODAY()-Таблица1[[#This Row],[Дата регистрации клента]])/30</f>
        <v>47.966666666666669</v>
      </c>
      <c r="S608" s="63" t="str">
        <f>VLOOKUP(Таблица1[[#This Row],[id клиента]],Таблица8[[id клиента]:[Страна]],7,0)</f>
        <v>Россия</v>
      </c>
      <c r="T608" s="26"/>
    </row>
    <row r="609" spans="1:20" ht="19.5" x14ac:dyDescent="0.4">
      <c r="A609" s="37">
        <v>608</v>
      </c>
      <c r="B609" s="31">
        <v>122</v>
      </c>
      <c r="C609" s="31">
        <v>482</v>
      </c>
      <c r="D609" s="31">
        <v>4</v>
      </c>
      <c r="E609" s="31">
        <v>1928</v>
      </c>
      <c r="F609" s="38">
        <v>45038</v>
      </c>
      <c r="G609" s="31" t="s">
        <v>23</v>
      </c>
      <c r="H609" s="31">
        <v>320</v>
      </c>
      <c r="I609" s="31" t="str">
        <f>VLOOKUP(продажи!$B609,товар!$A$1:$C$433,2)</f>
        <v>Фрукты</v>
      </c>
      <c r="J609" s="31" t="str">
        <f>VLOOKUP(B609,товар!$A$1:$C$433,3)</f>
        <v>Фрукты-Ягоды</v>
      </c>
      <c r="K609" s="39">
        <f>AVERAGEIF(продажи!$I$2:$I$1001,продажи!$I$2:$I$1001,продажи!$C$2:$C$1001)</f>
        <v>274.16279069767444</v>
      </c>
      <c r="L609" s="40">
        <f>продажи!$C609/продажи!$K609-1</f>
        <v>0.75807956569683599</v>
      </c>
      <c r="M609" s="33">
        <f t="shared" si="18"/>
        <v>2526</v>
      </c>
      <c r="N609" s="24">
        <f>Таблица1[[#This Row],[цена за шт в рублях]]/Таблица1[[#This Row],[средняя стоимость в категории по поставщику.]]-1</f>
        <v>-0.80918448139350752</v>
      </c>
      <c r="O609" s="26">
        <f>VLOOKUP(Таблица1[[#This Row],[id клиента]],клиенты!$A$2:$E$435,5,0)</f>
        <v>44869</v>
      </c>
      <c r="P609">
        <f>Таблица1[[#This Row],[дата создания чека]]-Таблица1[[#This Row],[Дата регистрации клента]]</f>
        <v>169</v>
      </c>
      <c r="Q609" s="26">
        <f t="shared" ca="1" si="19"/>
        <v>46059</v>
      </c>
      <c r="R609" s="51">
        <f ca="1">(TODAY()-Таблица1[[#This Row],[Дата регистрации клента]])/30</f>
        <v>39.666666666666664</v>
      </c>
      <c r="S609" s="63" t="str">
        <f>VLOOKUP(Таблица1[[#This Row],[id клиента]],Таблица8[[id клиента]:[Страна]],7,0)</f>
        <v>Беларусь</v>
      </c>
      <c r="T609" s="26"/>
    </row>
    <row r="610" spans="1:20" ht="19.5" x14ac:dyDescent="0.4">
      <c r="A610" s="41">
        <v>609</v>
      </c>
      <c r="B610" s="42">
        <v>415</v>
      </c>
      <c r="C610" s="42">
        <v>350</v>
      </c>
      <c r="D610" s="42">
        <v>1</v>
      </c>
      <c r="E610" s="42">
        <v>350</v>
      </c>
      <c r="F610" s="43">
        <v>45358</v>
      </c>
      <c r="G610" s="42" t="s">
        <v>8</v>
      </c>
      <c r="H610" s="42">
        <v>199</v>
      </c>
      <c r="I610" s="42" t="str">
        <f>VLOOKUP(продажи!$B610,товар!$A$1:$C$433,2)</f>
        <v>Чипсы</v>
      </c>
      <c r="J610" s="42" t="str">
        <f>VLOOKUP(B610,товар!$A$1:$C$433,3)</f>
        <v>Pringles</v>
      </c>
      <c r="K610" s="44">
        <f>AVERAGEIF(продажи!$I$2:$I$1001,продажи!$I$2:$I$1001,продажи!$C$2:$C$1001)</f>
        <v>273.72549019607845</v>
      </c>
      <c r="L610" s="45">
        <f>продажи!$C610/продажи!$K610-1</f>
        <v>0.27865329512893977</v>
      </c>
      <c r="M610" s="33">
        <f t="shared" si="18"/>
        <v>5885</v>
      </c>
      <c r="N610" s="24">
        <f>Таблица1[[#This Row],[цена за шт в рублях]]/Таблица1[[#This Row],[средняя стоимость в категории по поставщику.]]-1</f>
        <v>-0.94052676295666948</v>
      </c>
      <c r="O610" s="26">
        <f>VLOOKUP(Таблица1[[#This Row],[id клиента]],клиенты!$A$2:$E$435,5,0)</f>
        <v>44715</v>
      </c>
      <c r="P610">
        <f>Таблица1[[#This Row],[дата создания чека]]-Таблица1[[#This Row],[Дата регистрации клента]]</f>
        <v>643</v>
      </c>
      <c r="Q610" s="26">
        <f t="shared" ca="1" si="19"/>
        <v>46059</v>
      </c>
      <c r="R610" s="51">
        <f ca="1">(TODAY()-Таблица1[[#This Row],[Дата регистрации клента]])/30</f>
        <v>44.8</v>
      </c>
      <c r="S610" s="63" t="str">
        <f>VLOOKUP(Таблица1[[#This Row],[id клиента]],Таблица8[[id клиента]:[Страна]],7,0)</f>
        <v>Узбекистан</v>
      </c>
      <c r="T610" s="26"/>
    </row>
    <row r="611" spans="1:20" ht="19.5" x14ac:dyDescent="0.4">
      <c r="A611" s="37">
        <v>610</v>
      </c>
      <c r="B611" s="31">
        <v>315</v>
      </c>
      <c r="C611" s="31">
        <v>232</v>
      </c>
      <c r="D611" s="31">
        <v>1</v>
      </c>
      <c r="E611" s="31">
        <v>232</v>
      </c>
      <c r="F611" s="38">
        <v>44929</v>
      </c>
      <c r="G611" s="31" t="s">
        <v>13</v>
      </c>
      <c r="H611" s="31">
        <v>247</v>
      </c>
      <c r="I611" s="31" t="str">
        <f>VLOOKUP(продажи!$B611,товар!$A$1:$C$433,2)</f>
        <v>Йогурт</v>
      </c>
      <c r="J611" s="31" t="str">
        <f>VLOOKUP(B611,товар!$A$1:$C$433,3)</f>
        <v>Чудо</v>
      </c>
      <c r="K611" s="39">
        <f>AVERAGEIF(продажи!$I$2:$I$1001,продажи!$I$2:$I$1001,продажи!$C$2:$C$1001)</f>
        <v>263.25423728813558</v>
      </c>
      <c r="L611" s="40">
        <f>продажи!$C611/продажи!$K611-1</f>
        <v>-0.11872263713623488</v>
      </c>
      <c r="M611" s="33">
        <f t="shared" si="18"/>
        <v>2871</v>
      </c>
      <c r="N611" s="24">
        <f>Таблица1[[#This Row],[цена за шт в рублях]]/Таблица1[[#This Row],[средняя стоимость в категории по поставщику.]]-1</f>
        <v>-0.91919191919191923</v>
      </c>
      <c r="O611" s="26">
        <f>VLOOKUP(Таблица1[[#This Row],[id клиента]],клиенты!$A$2:$E$435,5,0)</f>
        <v>44762</v>
      </c>
      <c r="P611">
        <f>Таблица1[[#This Row],[дата создания чека]]-Таблица1[[#This Row],[Дата регистрации клента]]</f>
        <v>167</v>
      </c>
      <c r="Q611" s="26">
        <f t="shared" ca="1" si="19"/>
        <v>46059</v>
      </c>
      <c r="R611" s="51">
        <f ca="1">(TODAY()-Таблица1[[#This Row],[Дата регистрации клента]])/30</f>
        <v>43.233333333333334</v>
      </c>
      <c r="S611" s="63" t="str">
        <f>VLOOKUP(Таблица1[[#This Row],[id клиента]],Таблица8[[id клиента]:[Страна]],7,0)</f>
        <v>Узбекистан</v>
      </c>
      <c r="T611" s="26"/>
    </row>
    <row r="612" spans="1:20" ht="19.5" x14ac:dyDescent="0.4">
      <c r="A612" s="41">
        <v>611</v>
      </c>
      <c r="B612" s="42">
        <v>25</v>
      </c>
      <c r="C612" s="42">
        <v>222</v>
      </c>
      <c r="D612" s="42">
        <v>1</v>
      </c>
      <c r="E612" s="42">
        <v>222</v>
      </c>
      <c r="F612" s="43">
        <v>45245</v>
      </c>
      <c r="G612" s="42" t="s">
        <v>11</v>
      </c>
      <c r="H612" s="42">
        <v>364</v>
      </c>
      <c r="I612" s="42" t="str">
        <f>VLOOKUP(продажи!$B612,товар!$A$1:$C$433,2)</f>
        <v>Чипсы</v>
      </c>
      <c r="J612" s="42" t="str">
        <f>VLOOKUP(B612,товар!$A$1:$C$433,3)</f>
        <v>Русская картошка</v>
      </c>
      <c r="K612" s="44">
        <f>AVERAGEIF(продажи!$I$2:$I$1001,продажи!$I$2:$I$1001,продажи!$C$2:$C$1001)</f>
        <v>273.72549019607845</v>
      </c>
      <c r="L612" s="45">
        <f>продажи!$C612/продажи!$K612-1</f>
        <v>-0.18896848137535827</v>
      </c>
      <c r="M612" s="33">
        <f t="shared" si="18"/>
        <v>2902</v>
      </c>
      <c r="N612" s="24">
        <f>Таблица1[[#This Row],[цена за шт в рублях]]/Таблица1[[#This Row],[средняя стоимость в категории по поставщику.]]-1</f>
        <v>-0.92350103376981396</v>
      </c>
      <c r="O612" s="26">
        <f>VLOOKUP(Таблица1[[#This Row],[id клиента]],клиенты!$A$2:$E$435,5,0)</f>
        <v>44883</v>
      </c>
      <c r="P612">
        <f>Таблица1[[#This Row],[дата создания чека]]-Таблица1[[#This Row],[Дата регистрации клента]]</f>
        <v>362</v>
      </c>
      <c r="Q612" s="26">
        <f t="shared" ca="1" si="19"/>
        <v>46059</v>
      </c>
      <c r="R612" s="51">
        <f ca="1">(TODAY()-Таблица1[[#This Row],[Дата регистрации клента]])/30</f>
        <v>39.200000000000003</v>
      </c>
      <c r="S612" s="63" t="str">
        <f>VLOOKUP(Таблица1[[#This Row],[id клиента]],Таблица8[[id клиента]:[Страна]],7,0)</f>
        <v>Россия</v>
      </c>
      <c r="T612" s="26"/>
    </row>
    <row r="613" spans="1:20" ht="19.5" x14ac:dyDescent="0.4">
      <c r="A613" s="37">
        <v>612</v>
      </c>
      <c r="B613" s="31">
        <v>207</v>
      </c>
      <c r="C613" s="31">
        <v>152</v>
      </c>
      <c r="D613" s="31">
        <v>3</v>
      </c>
      <c r="E613" s="31">
        <v>456</v>
      </c>
      <c r="F613" s="38">
        <v>45222</v>
      </c>
      <c r="G613" s="31" t="s">
        <v>11</v>
      </c>
      <c r="H613" s="31">
        <v>173</v>
      </c>
      <c r="I613" s="31" t="str">
        <f>VLOOKUP(продажи!$B613,товар!$A$1:$C$433,2)</f>
        <v>Сахар</v>
      </c>
      <c r="J613" s="31" t="str">
        <f>VLOOKUP(B613,товар!$A$1:$C$433,3)</f>
        <v>Агросахар</v>
      </c>
      <c r="K613" s="39">
        <f>AVERAGEIF(продажи!$I$2:$I$1001,продажи!$I$2:$I$1001,продажи!$C$2:$C$1001)</f>
        <v>254.58333333333334</v>
      </c>
      <c r="L613" s="40">
        <f>продажи!$C613/продажи!$K613-1</f>
        <v>-0.40294599018003274</v>
      </c>
      <c r="M613" s="33">
        <f t="shared" si="18"/>
        <v>1511</v>
      </c>
      <c r="N613" s="24">
        <f>Таблица1[[#This Row],[цена за шт в рублях]]/Таблица1[[#This Row],[средняя стоимость в категории по поставщику.]]-1</f>
        <v>-0.89940436796823298</v>
      </c>
      <c r="O613" s="26">
        <f>VLOOKUP(Таблица1[[#This Row],[id клиента]],клиенты!$A$2:$E$435,5,0)</f>
        <v>44673</v>
      </c>
      <c r="P613">
        <f>Таблица1[[#This Row],[дата создания чека]]-Таблица1[[#This Row],[Дата регистрации клента]]</f>
        <v>549</v>
      </c>
      <c r="Q613" s="26">
        <f t="shared" ca="1" si="19"/>
        <v>46059</v>
      </c>
      <c r="R613" s="51">
        <f ca="1">(TODAY()-Таблица1[[#This Row],[Дата регистрации клента]])/30</f>
        <v>46.2</v>
      </c>
      <c r="S613" s="63" t="str">
        <f>VLOOKUP(Таблица1[[#This Row],[id клиента]],Таблица8[[id клиента]:[Страна]],7,0)</f>
        <v>Россия</v>
      </c>
      <c r="T613" s="26"/>
    </row>
    <row r="614" spans="1:20" ht="19.5" x14ac:dyDescent="0.4">
      <c r="A614" s="41">
        <v>613</v>
      </c>
      <c r="B614" s="42">
        <v>180</v>
      </c>
      <c r="C614" s="42">
        <v>284</v>
      </c>
      <c r="D614" s="42">
        <v>1</v>
      </c>
      <c r="E614" s="42">
        <v>284</v>
      </c>
      <c r="F614" s="43">
        <v>45267</v>
      </c>
      <c r="G614" s="42" t="s">
        <v>9</v>
      </c>
      <c r="H614" s="42">
        <v>485</v>
      </c>
      <c r="I614" s="42" t="str">
        <f>VLOOKUP(продажи!$B614,товар!$A$1:$C$433,2)</f>
        <v>Чипсы</v>
      </c>
      <c r="J614" s="42" t="str">
        <f>VLOOKUP(B614,товар!$A$1:$C$433,3)</f>
        <v>Русская картошка</v>
      </c>
      <c r="K614" s="44">
        <f>AVERAGEIF(продажи!$I$2:$I$1001,продажи!$I$2:$I$1001,продажи!$C$2:$C$1001)</f>
        <v>273.72549019607845</v>
      </c>
      <c r="L614" s="45">
        <f>продажи!$C614/продажи!$K614-1</f>
        <v>3.7535816618911033E-2</v>
      </c>
      <c r="M614" s="33">
        <f t="shared" si="18"/>
        <v>2902</v>
      </c>
      <c r="N614" s="24">
        <f>Таблица1[[#This Row],[цена за шт в рублях]]/Таблица1[[#This Row],[средняя стоимость в категории по поставщику.]]-1</f>
        <v>-0.90213645761543759</v>
      </c>
      <c r="O614" s="26">
        <f>VLOOKUP(Таблица1[[#This Row],[id клиента]],клиенты!$A$2:$E$435,5,0)</f>
        <v>44723</v>
      </c>
      <c r="P614">
        <f>Таблица1[[#This Row],[дата создания чека]]-Таблица1[[#This Row],[Дата регистрации клента]]</f>
        <v>544</v>
      </c>
      <c r="Q614" s="26">
        <f t="shared" ca="1" si="19"/>
        <v>46059</v>
      </c>
      <c r="R614" s="51">
        <f ca="1">(TODAY()-Таблица1[[#This Row],[Дата регистрации клента]])/30</f>
        <v>44.533333333333331</v>
      </c>
      <c r="S614" s="63" t="str">
        <f>VLOOKUP(Таблица1[[#This Row],[id клиента]],Таблица8[[id клиента]:[Страна]],7,0)</f>
        <v>Россия</v>
      </c>
      <c r="T614" s="26"/>
    </row>
    <row r="615" spans="1:20" ht="19.5" x14ac:dyDescent="0.4">
      <c r="A615" s="37">
        <v>614</v>
      </c>
      <c r="B615" s="31">
        <v>117</v>
      </c>
      <c r="C615" s="31">
        <v>208</v>
      </c>
      <c r="D615" s="31">
        <v>3</v>
      </c>
      <c r="E615" s="31">
        <v>624</v>
      </c>
      <c r="F615" s="38">
        <v>45397</v>
      </c>
      <c r="G615" s="31" t="s">
        <v>8</v>
      </c>
      <c r="H615" s="31">
        <v>401</v>
      </c>
      <c r="I615" s="31" t="str">
        <f>VLOOKUP(продажи!$B615,товар!$A$1:$C$433,2)</f>
        <v>Макароны</v>
      </c>
      <c r="J615" s="31" t="str">
        <f>VLOOKUP(B615,товар!$A$1:$C$433,3)</f>
        <v>Роллтон</v>
      </c>
      <c r="K615" s="39">
        <f>AVERAGEIF(продажи!$I$2:$I$1001,продажи!$I$2:$I$1001,продажи!$C$2:$C$1001)</f>
        <v>265.47674418604652</v>
      </c>
      <c r="L615" s="40">
        <f>продажи!$C615/продажи!$K615-1</f>
        <v>-0.21650387630852785</v>
      </c>
      <c r="M615" s="33">
        <f t="shared" si="18"/>
        <v>2120</v>
      </c>
      <c r="N615" s="24">
        <f>Таблица1[[#This Row],[цена за шт в рублях]]/Таблица1[[#This Row],[средняя стоимость в категории по поставщику.]]-1</f>
        <v>-0.90188679245283021</v>
      </c>
      <c r="O615" s="26">
        <f>VLOOKUP(Таблица1[[#This Row],[id клиента]],клиенты!$A$2:$E$435,5,0)</f>
        <v>44856</v>
      </c>
      <c r="P615">
        <f>Таблица1[[#This Row],[дата создания чека]]-Таблица1[[#This Row],[Дата регистрации клента]]</f>
        <v>541</v>
      </c>
      <c r="Q615" s="26">
        <f t="shared" ca="1" si="19"/>
        <v>46059</v>
      </c>
      <c r="R615" s="51">
        <f ca="1">(TODAY()-Таблица1[[#This Row],[Дата регистрации клента]])/30</f>
        <v>40.1</v>
      </c>
      <c r="S615" s="63" t="str">
        <f>VLOOKUP(Таблица1[[#This Row],[id клиента]],Таблица8[[id клиента]:[Страна]],7,0)</f>
        <v>Россия</v>
      </c>
      <c r="T615" s="26"/>
    </row>
    <row r="616" spans="1:20" ht="19.5" x14ac:dyDescent="0.4">
      <c r="A616" s="41">
        <v>615</v>
      </c>
      <c r="B616" s="42">
        <v>211</v>
      </c>
      <c r="C616" s="42">
        <v>338</v>
      </c>
      <c r="D616" s="42">
        <v>4</v>
      </c>
      <c r="E616" s="42">
        <v>1352</v>
      </c>
      <c r="F616" s="43">
        <v>45227</v>
      </c>
      <c r="G616" s="42" t="s">
        <v>11</v>
      </c>
      <c r="H616" s="42">
        <v>379</v>
      </c>
      <c r="I616" s="42" t="str">
        <f>VLOOKUP(продажи!$B616,товар!$A$1:$C$433,2)</f>
        <v>Овощи</v>
      </c>
      <c r="J616" s="42" t="str">
        <f>VLOOKUP(B616,товар!$A$1:$C$433,3)</f>
        <v>Овощной ряд</v>
      </c>
      <c r="K616" s="44">
        <f>AVERAGEIF(продажи!$I$2:$I$1001,продажи!$I$2:$I$1001,продажи!$C$2:$C$1001)</f>
        <v>250.48780487804879</v>
      </c>
      <c r="L616" s="45">
        <f>продажи!$C616/продажи!$K616-1</f>
        <v>0.3493670886075948</v>
      </c>
      <c r="M616" s="33">
        <f t="shared" si="18"/>
        <v>5165</v>
      </c>
      <c r="N616" s="24">
        <f>Таблица1[[#This Row],[цена за шт в рублях]]/Таблица1[[#This Row],[средняя стоимость в категории по поставщику.]]-1</f>
        <v>-0.93455953533397873</v>
      </c>
      <c r="O616" s="26">
        <f>VLOOKUP(Таблица1[[#This Row],[id клиента]],клиенты!$A$2:$E$435,5,0)</f>
        <v>44581</v>
      </c>
      <c r="P616">
        <f>Таблица1[[#This Row],[дата создания чека]]-Таблица1[[#This Row],[Дата регистрации клента]]</f>
        <v>646</v>
      </c>
      <c r="Q616" s="26">
        <f t="shared" ca="1" si="19"/>
        <v>46059</v>
      </c>
      <c r="R616" s="51">
        <f ca="1">(TODAY()-Таблица1[[#This Row],[Дата регистрации клента]])/30</f>
        <v>49.266666666666666</v>
      </c>
      <c r="S616" s="63" t="str">
        <f>VLOOKUP(Таблица1[[#This Row],[id клиента]],Таблица8[[id клиента]:[Страна]],7,0)</f>
        <v>Таджикистан</v>
      </c>
      <c r="T616" s="26"/>
    </row>
    <row r="617" spans="1:20" ht="19.5" x14ac:dyDescent="0.4">
      <c r="A617" s="37">
        <v>616</v>
      </c>
      <c r="B617" s="31">
        <v>26</v>
      </c>
      <c r="C617" s="31">
        <v>143</v>
      </c>
      <c r="D617" s="31">
        <v>2</v>
      </c>
      <c r="E617" s="31">
        <v>286</v>
      </c>
      <c r="F617" s="38">
        <v>45397</v>
      </c>
      <c r="G617" s="31" t="s">
        <v>22</v>
      </c>
      <c r="H617" s="31">
        <v>183</v>
      </c>
      <c r="I617" s="31" t="str">
        <f>VLOOKUP(продажи!$B617,товар!$A$1:$C$433,2)</f>
        <v>Мясо</v>
      </c>
      <c r="J617" s="31" t="str">
        <f>VLOOKUP(B617,товар!$A$1:$C$433,3)</f>
        <v>Сава</v>
      </c>
      <c r="K617" s="39">
        <f>AVERAGEIF(продажи!$I$2:$I$1001,продажи!$I$2:$I$1001,продажи!$C$2:$C$1001)</f>
        <v>271.74545454545455</v>
      </c>
      <c r="L617" s="40">
        <f>продажи!$C617/продажи!$K617-1</f>
        <v>-0.47377224675498464</v>
      </c>
      <c r="M617" s="33">
        <f t="shared" si="18"/>
        <v>3405</v>
      </c>
      <c r="N617" s="24">
        <f>Таблица1[[#This Row],[цена за шт в рублях]]/Таблица1[[#This Row],[средняя стоимость в категории по поставщику.]]-1</f>
        <v>-0.95800293685756244</v>
      </c>
      <c r="O617" s="26">
        <f>VLOOKUP(Таблица1[[#This Row],[id клиента]],клиенты!$A$2:$E$435,5,0)</f>
        <v>44900</v>
      </c>
      <c r="P617">
        <f>Таблица1[[#This Row],[дата создания чека]]-Таблица1[[#This Row],[Дата регистрации клента]]</f>
        <v>497</v>
      </c>
      <c r="Q617" s="26">
        <f t="shared" ca="1" si="19"/>
        <v>46059</v>
      </c>
      <c r="R617" s="51">
        <f ca="1">(TODAY()-Таблица1[[#This Row],[Дата регистрации клента]])/30</f>
        <v>38.633333333333333</v>
      </c>
      <c r="S617" s="63" t="str">
        <f>VLOOKUP(Таблица1[[#This Row],[id клиента]],Таблица8[[id клиента]:[Страна]],7,0)</f>
        <v>Таджикистан</v>
      </c>
      <c r="T617" s="26"/>
    </row>
    <row r="618" spans="1:20" ht="19.5" x14ac:dyDescent="0.4">
      <c r="A618" s="41">
        <v>617</v>
      </c>
      <c r="B618" s="42">
        <v>22</v>
      </c>
      <c r="C618" s="42">
        <v>217</v>
      </c>
      <c r="D618" s="42">
        <v>3</v>
      </c>
      <c r="E618" s="42">
        <v>651</v>
      </c>
      <c r="F618" s="43">
        <v>45094</v>
      </c>
      <c r="G618" s="42" t="s">
        <v>20</v>
      </c>
      <c r="H618" s="42">
        <v>37</v>
      </c>
      <c r="I618" s="42" t="str">
        <f>VLOOKUP(продажи!$B618,товар!$A$1:$C$433,2)</f>
        <v>Конфеты</v>
      </c>
      <c r="J618" s="42" t="str">
        <f>VLOOKUP(B618,товар!$A$1:$C$433,3)</f>
        <v>Бабаевский</v>
      </c>
      <c r="K618" s="44">
        <f>AVERAGEIF(продажи!$I$2:$I$1001,продажи!$I$2:$I$1001,продажи!$C$2:$C$1001)</f>
        <v>267.85483870967744</v>
      </c>
      <c r="L618" s="45">
        <f>продажи!$C618/продажи!$K618-1</f>
        <v>-0.18985969771782985</v>
      </c>
      <c r="M618" s="33">
        <f t="shared" si="18"/>
        <v>6757</v>
      </c>
      <c r="N618" s="24">
        <f>Таблица1[[#This Row],[цена за шт в рублях]]/Таблица1[[#This Row],[средняя стоимость в категории по поставщику.]]-1</f>
        <v>-0.9678851561343792</v>
      </c>
      <c r="O618" s="26">
        <f>VLOOKUP(Таблица1[[#This Row],[id клиента]],клиенты!$A$2:$E$435,5,0)</f>
        <v>44728</v>
      </c>
      <c r="P618">
        <f>Таблица1[[#This Row],[дата создания чека]]-Таблица1[[#This Row],[Дата регистрации клента]]</f>
        <v>366</v>
      </c>
      <c r="Q618" s="26">
        <f t="shared" ca="1" si="19"/>
        <v>46059</v>
      </c>
      <c r="R618" s="51">
        <f ca="1">(TODAY()-Таблица1[[#This Row],[Дата регистрации клента]])/30</f>
        <v>44.366666666666667</v>
      </c>
      <c r="S618" s="63" t="str">
        <f>VLOOKUP(Таблица1[[#This Row],[id клиента]],Таблица8[[id клиента]:[Страна]],7,0)</f>
        <v>Украина</v>
      </c>
      <c r="T618" s="26"/>
    </row>
    <row r="619" spans="1:20" ht="19.5" x14ac:dyDescent="0.4">
      <c r="A619" s="37">
        <v>618</v>
      </c>
      <c r="B619" s="31">
        <v>150</v>
      </c>
      <c r="C619" s="31">
        <v>347</v>
      </c>
      <c r="D619" s="31">
        <v>3</v>
      </c>
      <c r="E619" s="31">
        <v>1041</v>
      </c>
      <c r="F619" s="38">
        <v>44979</v>
      </c>
      <c r="G619" s="31" t="s">
        <v>10</v>
      </c>
      <c r="H619" s="31">
        <v>201</v>
      </c>
      <c r="I619" s="31" t="str">
        <f>VLOOKUP(продажи!$B619,товар!$A$1:$C$433,2)</f>
        <v>Рыба</v>
      </c>
      <c r="J619" s="31" t="str">
        <f>VLOOKUP(B619,товар!$A$1:$C$433,3)</f>
        <v>Меридиан</v>
      </c>
      <c r="K619" s="39">
        <f>AVERAGEIF(продажи!$I$2:$I$1001,продажи!$I$2:$I$1001,продажи!$C$2:$C$1001)</f>
        <v>258.5128205128205</v>
      </c>
      <c r="L619" s="40">
        <f>продажи!$C619/продажи!$K619-1</f>
        <v>0.34229319579448525</v>
      </c>
      <c r="M619" s="33">
        <f t="shared" si="18"/>
        <v>4431</v>
      </c>
      <c r="N619" s="24">
        <f>Таблица1[[#This Row],[цена за шт в рублях]]/Таблица1[[#This Row],[средняя стоимость в категории по поставщику.]]-1</f>
        <v>-0.92168810652222977</v>
      </c>
      <c r="O619" s="26">
        <f>VLOOKUP(Таблица1[[#This Row],[id клиента]],клиенты!$A$2:$E$435,5,0)</f>
        <v>44843</v>
      </c>
      <c r="P619">
        <f>Таблица1[[#This Row],[дата создания чека]]-Таблица1[[#This Row],[Дата регистрации клента]]</f>
        <v>136</v>
      </c>
      <c r="Q619" s="26">
        <f t="shared" ca="1" si="19"/>
        <v>46059</v>
      </c>
      <c r="R619" s="51">
        <f ca="1">(TODAY()-Таблица1[[#This Row],[Дата регистрации клента]])/30</f>
        <v>40.533333333333331</v>
      </c>
      <c r="S619" s="63" t="str">
        <f>VLOOKUP(Таблица1[[#This Row],[id клиента]],Таблица8[[id клиента]:[Страна]],7,0)</f>
        <v>Таджикистан</v>
      </c>
      <c r="T619" s="26"/>
    </row>
    <row r="620" spans="1:20" ht="19.5" x14ac:dyDescent="0.4">
      <c r="A620" s="41">
        <v>619</v>
      </c>
      <c r="B620" s="42">
        <v>268</v>
      </c>
      <c r="C620" s="42">
        <v>55</v>
      </c>
      <c r="D620" s="42">
        <v>2</v>
      </c>
      <c r="E620" s="42">
        <v>110</v>
      </c>
      <c r="F620" s="43">
        <v>45213</v>
      </c>
      <c r="G620" s="42" t="s">
        <v>19</v>
      </c>
      <c r="H620" s="42">
        <v>424</v>
      </c>
      <c r="I620" s="42" t="str">
        <f>VLOOKUP(продажи!$B620,товар!$A$1:$C$433,2)</f>
        <v>Рис</v>
      </c>
      <c r="J620" s="42" t="str">
        <f>VLOOKUP(B620,товар!$A$1:$C$433,3)</f>
        <v>Мистраль</v>
      </c>
      <c r="K620" s="44">
        <f>AVERAGEIF(продажи!$I$2:$I$1001,продажи!$I$2:$I$1001,продажи!$C$2:$C$1001)</f>
        <v>258.375</v>
      </c>
      <c r="L620" s="45">
        <f>продажи!$C620/продажи!$K620-1</f>
        <v>-0.78713110788582485</v>
      </c>
      <c r="M620" s="33">
        <f t="shared" si="18"/>
        <v>1271</v>
      </c>
      <c r="N620" s="24">
        <f>Таблица1[[#This Row],[цена за шт в рублях]]/Таблица1[[#This Row],[средняя стоимость в категории по поставщику.]]-1</f>
        <v>-0.95672698662470501</v>
      </c>
      <c r="O620" s="26">
        <f>VLOOKUP(Таблица1[[#This Row],[id клиента]],клиенты!$A$2:$E$435,5,0)</f>
        <v>44585</v>
      </c>
      <c r="P620">
        <f>Таблица1[[#This Row],[дата создания чека]]-Таблица1[[#This Row],[Дата регистрации клента]]</f>
        <v>628</v>
      </c>
      <c r="Q620" s="26">
        <f t="shared" ca="1" si="19"/>
        <v>46059</v>
      </c>
      <c r="R620" s="51">
        <f ca="1">(TODAY()-Таблица1[[#This Row],[Дата регистрации клента]])/30</f>
        <v>49.133333333333333</v>
      </c>
      <c r="S620" s="63" t="str">
        <f>VLOOKUP(Таблица1[[#This Row],[id клиента]],Таблица8[[id клиента]:[Страна]],7,0)</f>
        <v>Россия</v>
      </c>
      <c r="T620" s="26"/>
    </row>
    <row r="621" spans="1:20" ht="19.5" x14ac:dyDescent="0.4">
      <c r="A621" s="37">
        <v>620</v>
      </c>
      <c r="B621" s="31">
        <v>67</v>
      </c>
      <c r="C621" s="31">
        <v>142</v>
      </c>
      <c r="D621" s="31">
        <v>4</v>
      </c>
      <c r="E621" s="31">
        <v>568</v>
      </c>
      <c r="F621" s="38">
        <v>45256</v>
      </c>
      <c r="G621" s="31" t="s">
        <v>8</v>
      </c>
      <c r="H621" s="31">
        <v>69</v>
      </c>
      <c r="I621" s="31" t="str">
        <f>VLOOKUP(продажи!$B621,товар!$A$1:$C$433,2)</f>
        <v>Йогурт</v>
      </c>
      <c r="J621" s="31" t="str">
        <f>VLOOKUP(B621,товар!$A$1:$C$433,3)</f>
        <v>Чудо</v>
      </c>
      <c r="K621" s="39">
        <f>AVERAGEIF(продажи!$I$2:$I$1001,продажи!$I$2:$I$1001,продажи!$C$2:$C$1001)</f>
        <v>263.25423728813558</v>
      </c>
      <c r="L621" s="40">
        <f>продажи!$C621/продажи!$K621-1</f>
        <v>-0.46059747617821267</v>
      </c>
      <c r="M621" s="33">
        <f t="shared" si="18"/>
        <v>2871</v>
      </c>
      <c r="N621" s="24">
        <f>Таблица1[[#This Row],[цена за шт в рублях]]/Таблица1[[#This Row],[средняя стоимость в категории по поставщику.]]-1</f>
        <v>-0.95053988157436431</v>
      </c>
      <c r="O621" s="26">
        <f>VLOOKUP(Таблица1[[#This Row],[id клиента]],клиенты!$A$2:$E$435,5,0)</f>
        <v>44587</v>
      </c>
      <c r="P621">
        <f>Таблица1[[#This Row],[дата создания чека]]-Таблица1[[#This Row],[Дата регистрации клента]]</f>
        <v>669</v>
      </c>
      <c r="Q621" s="26">
        <f t="shared" ca="1" si="19"/>
        <v>46059</v>
      </c>
      <c r="R621" s="51">
        <f ca="1">(TODAY()-Таблица1[[#This Row],[Дата регистрации клента]])/30</f>
        <v>49.06666666666667</v>
      </c>
      <c r="S621" s="63" t="str">
        <f>VLOOKUP(Таблица1[[#This Row],[id клиента]],Таблица8[[id клиента]:[Страна]],7,0)</f>
        <v>Таджикистан</v>
      </c>
      <c r="T621" s="26"/>
    </row>
    <row r="622" spans="1:20" ht="19.5" x14ac:dyDescent="0.4">
      <c r="A622" s="41">
        <v>621</v>
      </c>
      <c r="B622" s="42">
        <v>453</v>
      </c>
      <c r="C622" s="42">
        <v>459</v>
      </c>
      <c r="D622" s="42">
        <v>1</v>
      </c>
      <c r="E622" s="42">
        <v>459</v>
      </c>
      <c r="F622" s="43">
        <v>45136</v>
      </c>
      <c r="G622" s="42" t="s">
        <v>15</v>
      </c>
      <c r="H622" s="42">
        <v>498</v>
      </c>
      <c r="I622" s="42" t="str">
        <f>VLOOKUP(продажи!$B622,товар!$A$1:$C$433,2)</f>
        <v>Макароны</v>
      </c>
      <c r="J622" s="42" t="str">
        <f>VLOOKUP(B622,товар!$A$1:$C$433,3)</f>
        <v>Макфа</v>
      </c>
      <c r="K622" s="44">
        <f>AVERAGEIF(продажи!$I$2:$I$1001,продажи!$I$2:$I$1001,продажи!$C$2:$C$1001)</f>
        <v>265.47674418604652</v>
      </c>
      <c r="L622" s="45">
        <f>продажи!$C622/продажи!$K622-1</f>
        <v>0.72896500372300821</v>
      </c>
      <c r="M622" s="33">
        <f t="shared" si="18"/>
        <v>3622</v>
      </c>
      <c r="N622" s="24">
        <f>Таблица1[[#This Row],[цена за шт в рублях]]/Таблица1[[#This Row],[средняя стоимость в категории по поставщику.]]-1</f>
        <v>-0.87327443401435667</v>
      </c>
      <c r="O622" s="26">
        <f>VLOOKUP(Таблица1[[#This Row],[id клиента]],клиенты!$A$2:$E$435,5,0)</f>
        <v>44721</v>
      </c>
      <c r="P622">
        <f>Таблица1[[#This Row],[дата создания чека]]-Таблица1[[#This Row],[Дата регистрации клента]]</f>
        <v>415</v>
      </c>
      <c r="Q622" s="26">
        <f t="shared" ca="1" si="19"/>
        <v>46059</v>
      </c>
      <c r="R622" s="51">
        <f ca="1">(TODAY()-Таблица1[[#This Row],[Дата регистрации клента]])/30</f>
        <v>44.6</v>
      </c>
      <c r="S622" s="63" t="str">
        <f>VLOOKUP(Таблица1[[#This Row],[id клиента]],Таблица8[[id клиента]:[Страна]],7,0)</f>
        <v>Украина</v>
      </c>
      <c r="T622" s="26"/>
    </row>
    <row r="623" spans="1:20" ht="19.5" x14ac:dyDescent="0.4">
      <c r="A623" s="37">
        <v>622</v>
      </c>
      <c r="B623" s="31">
        <v>191</v>
      </c>
      <c r="C623" s="31">
        <v>58</v>
      </c>
      <c r="D623" s="31">
        <v>1</v>
      </c>
      <c r="E623" s="31">
        <v>58</v>
      </c>
      <c r="F623" s="38">
        <v>44981</v>
      </c>
      <c r="G623" s="31" t="s">
        <v>19</v>
      </c>
      <c r="H623" s="31">
        <v>237</v>
      </c>
      <c r="I623" s="31" t="str">
        <f>VLOOKUP(продажи!$B623,товар!$A$1:$C$433,2)</f>
        <v>Колбаса</v>
      </c>
      <c r="J623" s="31" t="str">
        <f>VLOOKUP(B623,товар!$A$1:$C$433,3)</f>
        <v>Окраина</v>
      </c>
      <c r="K623" s="39">
        <f>AVERAGEIF(продажи!$I$2:$I$1001,продажи!$I$2:$I$1001,продажи!$C$2:$C$1001)</f>
        <v>286.92307692307691</v>
      </c>
      <c r="L623" s="40">
        <f>продажи!$C623/продажи!$K623-1</f>
        <v>-0.79785522788203755</v>
      </c>
      <c r="M623" s="33">
        <f t="shared" si="18"/>
        <v>3283</v>
      </c>
      <c r="N623" s="24">
        <f>Таблица1[[#This Row],[цена за шт в рублях]]/Таблица1[[#This Row],[средняя стоимость в категории по поставщику.]]-1</f>
        <v>-0.98233323180018273</v>
      </c>
      <c r="O623" s="26">
        <f>VLOOKUP(Таблица1[[#This Row],[id клиента]],клиенты!$A$2:$E$435,5,0)</f>
        <v>44886</v>
      </c>
      <c r="P623">
        <f>Таблица1[[#This Row],[дата создания чека]]-Таблица1[[#This Row],[Дата регистрации клента]]</f>
        <v>95</v>
      </c>
      <c r="Q623" s="26">
        <f t="shared" ca="1" si="19"/>
        <v>46059</v>
      </c>
      <c r="R623" s="51">
        <f ca="1">(TODAY()-Таблица1[[#This Row],[Дата регистрации клента]])/30</f>
        <v>39.1</v>
      </c>
      <c r="S623" s="63" t="str">
        <f>VLOOKUP(Таблица1[[#This Row],[id клиента]],Таблица8[[id клиента]:[Страна]],7,0)</f>
        <v>Россия</v>
      </c>
      <c r="T623" s="26"/>
    </row>
    <row r="624" spans="1:20" ht="19.5" x14ac:dyDescent="0.4">
      <c r="A624" s="41">
        <v>623</v>
      </c>
      <c r="B624" s="42">
        <v>49</v>
      </c>
      <c r="C624" s="42">
        <v>465</v>
      </c>
      <c r="D624" s="42">
        <v>2</v>
      </c>
      <c r="E624" s="42">
        <v>930</v>
      </c>
      <c r="F624" s="43">
        <v>45150</v>
      </c>
      <c r="G624" s="42" t="s">
        <v>10</v>
      </c>
      <c r="H624" s="42">
        <v>365</v>
      </c>
      <c r="I624" s="42" t="str">
        <f>VLOOKUP(продажи!$B624,товар!$A$1:$C$433,2)</f>
        <v>Рис</v>
      </c>
      <c r="J624" s="42" t="str">
        <f>VLOOKUP(B624,товар!$A$1:$C$433,3)</f>
        <v>Агро-Альянс</v>
      </c>
      <c r="K624" s="44">
        <f>AVERAGEIF(продажи!$I$2:$I$1001,продажи!$I$2:$I$1001,продажи!$C$2:$C$1001)</f>
        <v>258.375</v>
      </c>
      <c r="L624" s="45">
        <f>продажи!$C624/продажи!$K624-1</f>
        <v>0.79970972423802622</v>
      </c>
      <c r="M624" s="33">
        <f t="shared" si="18"/>
        <v>2225</v>
      </c>
      <c r="N624" s="24">
        <f>Таблица1[[#This Row],[цена за шт в рублях]]/Таблица1[[#This Row],[средняя стоимость в категории по поставщику.]]-1</f>
        <v>-0.79101123595505618</v>
      </c>
      <c r="O624" s="26">
        <f>VLOOKUP(Таблица1[[#This Row],[id клиента]],клиенты!$A$2:$E$435,5,0)</f>
        <v>44841</v>
      </c>
      <c r="P624">
        <f>Таблица1[[#This Row],[дата создания чека]]-Таблица1[[#This Row],[Дата регистрации клента]]</f>
        <v>309</v>
      </c>
      <c r="Q624" s="26">
        <f t="shared" ca="1" si="19"/>
        <v>46059</v>
      </c>
      <c r="R624" s="51">
        <f ca="1">(TODAY()-Таблица1[[#This Row],[Дата регистрации клента]])/30</f>
        <v>40.6</v>
      </c>
      <c r="S624" s="63" t="str">
        <f>VLOOKUP(Таблица1[[#This Row],[id клиента]],Таблица8[[id клиента]:[Страна]],7,0)</f>
        <v>Беларусь</v>
      </c>
      <c r="T624" s="26"/>
    </row>
    <row r="625" spans="1:20" ht="19.5" x14ac:dyDescent="0.4">
      <c r="A625" s="37">
        <v>624</v>
      </c>
      <c r="B625" s="31">
        <v>313</v>
      </c>
      <c r="C625" s="31">
        <v>152</v>
      </c>
      <c r="D625" s="31">
        <v>1</v>
      </c>
      <c r="E625" s="31">
        <v>152</v>
      </c>
      <c r="F625" s="38">
        <v>45014</v>
      </c>
      <c r="G625" s="31" t="s">
        <v>16</v>
      </c>
      <c r="H625" s="31">
        <v>127</v>
      </c>
      <c r="I625" s="31" t="str">
        <f>VLOOKUP(продажи!$B625,товар!$A$1:$C$433,2)</f>
        <v>Конфеты</v>
      </c>
      <c r="J625" s="31" t="str">
        <f>VLOOKUP(B625,товар!$A$1:$C$433,3)</f>
        <v>Бабаевский</v>
      </c>
      <c r="K625" s="39">
        <f>AVERAGEIF(продажи!$I$2:$I$1001,продажи!$I$2:$I$1001,продажи!$C$2:$C$1001)</f>
        <v>267.85483870967744</v>
      </c>
      <c r="L625" s="40">
        <f>продажи!$C625/продажи!$K625-1</f>
        <v>-0.43252845185765043</v>
      </c>
      <c r="M625" s="33">
        <f t="shared" si="18"/>
        <v>6757</v>
      </c>
      <c r="N625" s="24">
        <f>Таблица1[[#This Row],[цена за шт в рублях]]/Таблица1[[#This Row],[средняя стоимость в категории по поставщику.]]-1</f>
        <v>-0.97750480982684618</v>
      </c>
      <c r="O625" s="26">
        <f>VLOOKUP(Таблица1[[#This Row],[id клиента]],клиенты!$A$2:$E$435,5,0)</f>
        <v>44914</v>
      </c>
      <c r="P625">
        <f>Таблица1[[#This Row],[дата создания чека]]-Таблица1[[#This Row],[Дата регистрации клента]]</f>
        <v>100</v>
      </c>
      <c r="Q625" s="26">
        <f t="shared" ca="1" si="19"/>
        <v>46059</v>
      </c>
      <c r="R625" s="51">
        <f ca="1">(TODAY()-Таблица1[[#This Row],[Дата регистрации клента]])/30</f>
        <v>38.166666666666664</v>
      </c>
      <c r="S625" s="63" t="str">
        <f>VLOOKUP(Таблица1[[#This Row],[id клиента]],Таблица8[[id клиента]:[Страна]],7,0)</f>
        <v>Украина</v>
      </c>
      <c r="T625" s="26"/>
    </row>
    <row r="626" spans="1:20" ht="19.5" x14ac:dyDescent="0.4">
      <c r="A626" s="41">
        <v>625</v>
      </c>
      <c r="B626" s="42">
        <v>245</v>
      </c>
      <c r="C626" s="42">
        <v>144</v>
      </c>
      <c r="D626" s="42">
        <v>4</v>
      </c>
      <c r="E626" s="42">
        <v>576</v>
      </c>
      <c r="F626" s="43">
        <v>45206</v>
      </c>
      <c r="G626" s="42" t="s">
        <v>23</v>
      </c>
      <c r="H626" s="42">
        <v>314</v>
      </c>
      <c r="I626" s="42" t="str">
        <f>VLOOKUP(продажи!$B626,товар!$A$1:$C$433,2)</f>
        <v>Сахар</v>
      </c>
      <c r="J626" s="42" t="str">
        <f>VLOOKUP(B626,товар!$A$1:$C$433,3)</f>
        <v>Продимекс</v>
      </c>
      <c r="K626" s="44">
        <f>AVERAGEIF(продажи!$I$2:$I$1001,продажи!$I$2:$I$1001,продажи!$C$2:$C$1001)</f>
        <v>254.58333333333334</v>
      </c>
      <c r="L626" s="45">
        <f>продажи!$C626/продажи!$K626-1</f>
        <v>-0.43436988543371524</v>
      </c>
      <c r="M626" s="33">
        <f t="shared" si="18"/>
        <v>5172</v>
      </c>
      <c r="N626" s="24">
        <f>Таблица1[[#This Row],[цена за шт в рублях]]/Таблица1[[#This Row],[средняя стоимость в категории по поставщику.]]-1</f>
        <v>-0.9721577726218098</v>
      </c>
      <c r="O626" s="26">
        <f>VLOOKUP(Таблица1[[#This Row],[id клиента]],клиенты!$A$2:$E$435,5,0)</f>
        <v>44899</v>
      </c>
      <c r="P626">
        <f>Таблица1[[#This Row],[дата создания чека]]-Таблица1[[#This Row],[Дата регистрации клента]]</f>
        <v>307</v>
      </c>
      <c r="Q626" s="26">
        <f t="shared" ca="1" si="19"/>
        <v>46059</v>
      </c>
      <c r="R626" s="51">
        <f ca="1">(TODAY()-Таблица1[[#This Row],[Дата регистрации клента]])/30</f>
        <v>38.666666666666664</v>
      </c>
      <c r="S626" s="63" t="str">
        <f>VLOOKUP(Таблица1[[#This Row],[id клиента]],Таблица8[[id клиента]:[Страна]],7,0)</f>
        <v>Россия</v>
      </c>
      <c r="T626" s="26"/>
    </row>
    <row r="627" spans="1:20" ht="19.5" x14ac:dyDescent="0.4">
      <c r="A627" s="37">
        <v>626</v>
      </c>
      <c r="B627" s="31">
        <v>194</v>
      </c>
      <c r="C627" s="31">
        <v>478</v>
      </c>
      <c r="D627" s="31">
        <v>3</v>
      </c>
      <c r="E627" s="31">
        <v>1434</v>
      </c>
      <c r="F627" s="38">
        <v>44960</v>
      </c>
      <c r="G627" s="31" t="s">
        <v>16</v>
      </c>
      <c r="H627" s="31">
        <v>403</v>
      </c>
      <c r="I627" s="31" t="str">
        <f>VLOOKUP(продажи!$B627,товар!$A$1:$C$433,2)</f>
        <v>Соль</v>
      </c>
      <c r="J627" s="31" t="str">
        <f>VLOOKUP(B627,товар!$A$1:$C$433,3)</f>
        <v>Салта</v>
      </c>
      <c r="K627" s="39">
        <f>AVERAGEIF(продажи!$I$2:$I$1001,продажи!$I$2:$I$1001,продажи!$C$2:$C$1001)</f>
        <v>264.8679245283019</v>
      </c>
      <c r="L627" s="40">
        <f>продажи!$C627/продажи!$K627-1</f>
        <v>0.80467303034620308</v>
      </c>
      <c r="M627" s="33">
        <f t="shared" si="18"/>
        <v>2737</v>
      </c>
      <c r="N627" s="24">
        <f>Таблица1[[#This Row],[цена за шт в рублях]]/Таблица1[[#This Row],[средняя стоимость в категории по поставщику.]]-1</f>
        <v>-0.825356229448301</v>
      </c>
      <c r="O627" s="26">
        <f>VLOOKUP(Таблица1[[#This Row],[id клиента]],клиенты!$A$2:$E$435,5,0)</f>
        <v>44594</v>
      </c>
      <c r="P627">
        <f>Таблица1[[#This Row],[дата создания чека]]-Таблица1[[#This Row],[Дата регистрации клента]]</f>
        <v>366</v>
      </c>
      <c r="Q627" s="26">
        <f t="shared" ca="1" si="19"/>
        <v>46059</v>
      </c>
      <c r="R627" s="51">
        <f ca="1">(TODAY()-Таблица1[[#This Row],[Дата регистрации клента]])/30</f>
        <v>48.833333333333336</v>
      </c>
      <c r="S627" s="63" t="str">
        <f>VLOOKUP(Таблица1[[#This Row],[id клиента]],Таблица8[[id клиента]:[Страна]],7,0)</f>
        <v>Россия</v>
      </c>
      <c r="T627" s="26"/>
    </row>
    <row r="628" spans="1:20" ht="19.5" x14ac:dyDescent="0.4">
      <c r="A628" s="41">
        <v>627</v>
      </c>
      <c r="B628" s="42">
        <v>154</v>
      </c>
      <c r="C628" s="42">
        <v>75</v>
      </c>
      <c r="D628" s="42">
        <v>1</v>
      </c>
      <c r="E628" s="42">
        <v>75</v>
      </c>
      <c r="F628" s="43">
        <v>45378</v>
      </c>
      <c r="G628" s="42" t="s">
        <v>14</v>
      </c>
      <c r="H628" s="42">
        <v>255</v>
      </c>
      <c r="I628" s="42" t="str">
        <f>VLOOKUP(продажи!$B628,товар!$A$1:$C$433,2)</f>
        <v>Овощи</v>
      </c>
      <c r="J628" s="42" t="str">
        <f>VLOOKUP(B628,товар!$A$1:$C$433,3)</f>
        <v>Зеленая грядка</v>
      </c>
      <c r="K628" s="44">
        <f>AVERAGEIF(продажи!$I$2:$I$1001,продажи!$I$2:$I$1001,продажи!$C$2:$C$1001)</f>
        <v>250.48780487804879</v>
      </c>
      <c r="L628" s="45">
        <f>продажи!$C628/продажи!$K628-1</f>
        <v>-0.70058422590068159</v>
      </c>
      <c r="M628" s="33">
        <f t="shared" si="18"/>
        <v>796</v>
      </c>
      <c r="N628" s="24">
        <f>Таблица1[[#This Row],[цена за шт в рублях]]/Таблица1[[#This Row],[средняя стоимость в категории по поставщику.]]-1</f>
        <v>-0.90577889447236182</v>
      </c>
      <c r="O628" s="26">
        <f>VLOOKUP(Таблица1[[#This Row],[id клиента]],клиенты!$A$2:$E$435,5,0)</f>
        <v>44793</v>
      </c>
      <c r="P628">
        <f>Таблица1[[#This Row],[дата создания чека]]-Таблица1[[#This Row],[Дата регистрации клента]]</f>
        <v>585</v>
      </c>
      <c r="Q628" s="26">
        <f t="shared" ca="1" si="19"/>
        <v>46059</v>
      </c>
      <c r="R628" s="51">
        <f ca="1">(TODAY()-Таблица1[[#This Row],[Дата регистрации клента]])/30</f>
        <v>42.2</v>
      </c>
      <c r="S628" s="63" t="str">
        <f>VLOOKUP(Таблица1[[#This Row],[id клиента]],Таблица8[[id клиента]:[Страна]],7,0)</f>
        <v>Украина</v>
      </c>
      <c r="T628" s="26"/>
    </row>
    <row r="629" spans="1:20" ht="19.5" x14ac:dyDescent="0.4">
      <c r="A629" s="37">
        <v>628</v>
      </c>
      <c r="B629" s="31">
        <v>462</v>
      </c>
      <c r="C629" s="31">
        <v>147</v>
      </c>
      <c r="D629" s="31">
        <v>5</v>
      </c>
      <c r="E629" s="31">
        <v>735</v>
      </c>
      <c r="F629" s="38">
        <v>45113</v>
      </c>
      <c r="G629" s="31" t="s">
        <v>23</v>
      </c>
      <c r="H629" s="31">
        <v>229</v>
      </c>
      <c r="I629" s="31" t="str">
        <f>VLOOKUP(продажи!$B629,товар!$A$1:$C$433,2)</f>
        <v>Рис</v>
      </c>
      <c r="J629" s="31" t="str">
        <f>VLOOKUP(B629,товар!$A$1:$C$433,3)</f>
        <v>Белый Злат</v>
      </c>
      <c r="K629" s="39">
        <f>AVERAGEIF(продажи!$I$2:$I$1001,продажи!$I$2:$I$1001,продажи!$C$2:$C$1001)</f>
        <v>258.375</v>
      </c>
      <c r="L629" s="40">
        <f>продажи!$C629/продажи!$K629-1</f>
        <v>-0.43105950653120462</v>
      </c>
      <c r="M629" s="33">
        <f t="shared" si="18"/>
        <v>4585</v>
      </c>
      <c r="N629" s="24">
        <f>Таблица1[[#This Row],[цена за шт в рублях]]/Таблица1[[#This Row],[средняя стоимость в категории по поставщику.]]-1</f>
        <v>-0.96793893129770991</v>
      </c>
      <c r="O629" s="26">
        <f>VLOOKUP(Таблица1[[#This Row],[id клиента]],клиенты!$A$2:$E$435,5,0)</f>
        <v>44766</v>
      </c>
      <c r="P629">
        <f>Таблица1[[#This Row],[дата создания чека]]-Таблица1[[#This Row],[Дата регистрации клента]]</f>
        <v>347</v>
      </c>
      <c r="Q629" s="26">
        <f t="shared" ca="1" si="19"/>
        <v>46059</v>
      </c>
      <c r="R629" s="51">
        <f ca="1">(TODAY()-Таблица1[[#This Row],[Дата регистрации клента]])/30</f>
        <v>43.1</v>
      </c>
      <c r="S629" s="63" t="str">
        <f>VLOOKUP(Таблица1[[#This Row],[id клиента]],Таблица8[[id клиента]:[Страна]],7,0)</f>
        <v>Беларусь</v>
      </c>
      <c r="T629" s="26"/>
    </row>
    <row r="630" spans="1:20" ht="19.5" x14ac:dyDescent="0.4">
      <c r="A630" s="41">
        <v>629</v>
      </c>
      <c r="B630" s="42">
        <v>310</v>
      </c>
      <c r="C630" s="42">
        <v>404</v>
      </c>
      <c r="D630" s="42">
        <v>4</v>
      </c>
      <c r="E630" s="42">
        <v>1616</v>
      </c>
      <c r="F630" s="43">
        <v>45031</v>
      </c>
      <c r="G630" s="42" t="s">
        <v>11</v>
      </c>
      <c r="H630" s="42">
        <v>179</v>
      </c>
      <c r="I630" s="42" t="str">
        <f>VLOOKUP(продажи!$B630,товар!$A$1:$C$433,2)</f>
        <v>Макароны</v>
      </c>
      <c r="J630" s="42" t="str">
        <f>VLOOKUP(B630,товар!$A$1:$C$433,3)</f>
        <v>Паста Зара</v>
      </c>
      <c r="K630" s="44">
        <f>AVERAGEIF(продажи!$I$2:$I$1001,продажи!$I$2:$I$1001,продажи!$C$2:$C$1001)</f>
        <v>265.47674418604652</v>
      </c>
      <c r="L630" s="45">
        <f>продажи!$C630/продажи!$K630-1</f>
        <v>0.52179054793920554</v>
      </c>
      <c r="M630" s="33">
        <f t="shared" si="18"/>
        <v>10237</v>
      </c>
      <c r="N630" s="24">
        <f>Таблица1[[#This Row],[цена за шт в рублях]]/Таблица1[[#This Row],[средняя стоимость в категории по поставщику.]]-1</f>
        <v>-0.96053531308000395</v>
      </c>
      <c r="O630" s="26">
        <f>VLOOKUP(Таблица1[[#This Row],[id клиента]],клиенты!$A$2:$E$435,5,0)</f>
        <v>44833</v>
      </c>
      <c r="P630">
        <f>Таблица1[[#This Row],[дата создания чека]]-Таблица1[[#This Row],[Дата регистрации клента]]</f>
        <v>198</v>
      </c>
      <c r="Q630" s="26">
        <f t="shared" ca="1" si="19"/>
        <v>46059</v>
      </c>
      <c r="R630" s="51">
        <f ca="1">(TODAY()-Таблица1[[#This Row],[Дата регистрации клента]])/30</f>
        <v>40.866666666666667</v>
      </c>
      <c r="S630" s="63" t="str">
        <f>VLOOKUP(Таблица1[[#This Row],[id клиента]],Таблица8[[id клиента]:[Страна]],7,0)</f>
        <v>Россия</v>
      </c>
      <c r="T630" s="26"/>
    </row>
    <row r="631" spans="1:20" ht="19.5" x14ac:dyDescent="0.4">
      <c r="A631" s="37">
        <v>630</v>
      </c>
      <c r="B631" s="31">
        <v>422</v>
      </c>
      <c r="C631" s="31">
        <v>361</v>
      </c>
      <c r="D631" s="31">
        <v>1</v>
      </c>
      <c r="E631" s="31">
        <v>361</v>
      </c>
      <c r="F631" s="38">
        <v>45361</v>
      </c>
      <c r="G631" s="31" t="s">
        <v>15</v>
      </c>
      <c r="H631" s="31">
        <v>277</v>
      </c>
      <c r="I631" s="31" t="str">
        <f>VLOOKUP(продажи!$B631,товар!$A$1:$C$433,2)</f>
        <v>Кофе</v>
      </c>
      <c r="J631" s="31" t="str">
        <f>VLOOKUP(B631,товар!$A$1:$C$433,3)</f>
        <v>Nescafe</v>
      </c>
      <c r="K631" s="39">
        <f>AVERAGEIF(продажи!$I$2:$I$1001,продажи!$I$2:$I$1001,продажи!$C$2:$C$1001)</f>
        <v>249.02380952380952</v>
      </c>
      <c r="L631" s="40">
        <f>продажи!$C631/продажи!$K631-1</f>
        <v>0.4496605794052968</v>
      </c>
      <c r="M631" s="33">
        <f t="shared" si="18"/>
        <v>2569</v>
      </c>
      <c r="N631" s="24">
        <f>Таблица1[[#This Row],[цена за шт в рублях]]/Таблица1[[#This Row],[средняя стоимость в категории по поставщику.]]-1</f>
        <v>-0.85947839626313738</v>
      </c>
      <c r="O631" s="26">
        <f>VLOOKUP(Таблица1[[#This Row],[id клиента]],клиенты!$A$2:$E$435,5,0)</f>
        <v>44750</v>
      </c>
      <c r="P631">
        <f>Таблица1[[#This Row],[дата создания чека]]-Таблица1[[#This Row],[Дата регистрации клента]]</f>
        <v>611</v>
      </c>
      <c r="Q631" s="26">
        <f t="shared" ca="1" si="19"/>
        <v>46059</v>
      </c>
      <c r="R631" s="51">
        <f ca="1">(TODAY()-Таблица1[[#This Row],[Дата регистрации клента]])/30</f>
        <v>43.633333333333333</v>
      </c>
      <c r="S631" s="63" t="str">
        <f>VLOOKUP(Таблица1[[#This Row],[id клиента]],Таблица8[[id клиента]:[Страна]],7,0)</f>
        <v>Россия</v>
      </c>
      <c r="T631" s="26"/>
    </row>
    <row r="632" spans="1:20" ht="19.5" x14ac:dyDescent="0.4">
      <c r="A632" s="41">
        <v>631</v>
      </c>
      <c r="B632" s="42">
        <v>453</v>
      </c>
      <c r="C632" s="42">
        <v>404</v>
      </c>
      <c r="D632" s="42">
        <v>5</v>
      </c>
      <c r="E632" s="42">
        <v>2020</v>
      </c>
      <c r="F632" s="43">
        <v>45108</v>
      </c>
      <c r="G632" s="42" t="s">
        <v>8</v>
      </c>
      <c r="H632" s="42">
        <v>460</v>
      </c>
      <c r="I632" s="42" t="str">
        <f>VLOOKUP(продажи!$B632,товар!$A$1:$C$433,2)</f>
        <v>Макароны</v>
      </c>
      <c r="J632" s="42" t="str">
        <f>VLOOKUP(B632,товар!$A$1:$C$433,3)</f>
        <v>Макфа</v>
      </c>
      <c r="K632" s="44">
        <f>AVERAGEIF(продажи!$I$2:$I$1001,продажи!$I$2:$I$1001,продажи!$C$2:$C$1001)</f>
        <v>265.47674418604652</v>
      </c>
      <c r="L632" s="45">
        <f>продажи!$C632/продажи!$K632-1</f>
        <v>0.52179054793920554</v>
      </c>
      <c r="M632" s="33">
        <f t="shared" si="18"/>
        <v>3622</v>
      </c>
      <c r="N632" s="24">
        <f>Таблица1[[#This Row],[цена за шт в рублях]]/Таблица1[[#This Row],[средняя стоимость в категории по поставщику.]]-1</f>
        <v>-0.8884594146880177</v>
      </c>
      <c r="O632" s="26">
        <f>VLOOKUP(Таблица1[[#This Row],[id клиента]],клиенты!$A$2:$E$435,5,0)</f>
        <v>44821</v>
      </c>
      <c r="P632">
        <f>Таблица1[[#This Row],[дата создания чека]]-Таблица1[[#This Row],[Дата регистрации клента]]</f>
        <v>287</v>
      </c>
      <c r="Q632" s="26">
        <f t="shared" ca="1" si="19"/>
        <v>46059</v>
      </c>
      <c r="R632" s="51">
        <f ca="1">(TODAY()-Таблица1[[#This Row],[Дата регистрации клента]])/30</f>
        <v>41.266666666666666</v>
      </c>
      <c r="S632" s="63" t="str">
        <f>VLOOKUP(Таблица1[[#This Row],[id клиента]],Таблица8[[id клиента]:[Страна]],7,0)</f>
        <v>Россия</v>
      </c>
      <c r="T632" s="26"/>
    </row>
    <row r="633" spans="1:20" ht="19.5" x14ac:dyDescent="0.4">
      <c r="A633" s="37">
        <v>632</v>
      </c>
      <c r="B633" s="31">
        <v>337</v>
      </c>
      <c r="C633" s="31">
        <v>132</v>
      </c>
      <c r="D633" s="31">
        <v>3</v>
      </c>
      <c r="E633" s="31">
        <v>396</v>
      </c>
      <c r="F633" s="38">
        <v>45003</v>
      </c>
      <c r="G633" s="31" t="s">
        <v>26</v>
      </c>
      <c r="H633" s="31">
        <v>434</v>
      </c>
      <c r="I633" s="31" t="str">
        <f>VLOOKUP(продажи!$B633,товар!$A$1:$C$433,2)</f>
        <v>Макароны</v>
      </c>
      <c r="J633" s="31" t="str">
        <f>VLOOKUP(B633,товар!$A$1:$C$433,3)</f>
        <v>Паста Зара</v>
      </c>
      <c r="K633" s="39">
        <f>AVERAGEIF(продажи!$I$2:$I$1001,продажи!$I$2:$I$1001,продажи!$C$2:$C$1001)</f>
        <v>265.47674418604652</v>
      </c>
      <c r="L633" s="40">
        <f>продажи!$C633/продажи!$K633-1</f>
        <v>-0.50278130611887351</v>
      </c>
      <c r="M633" s="33">
        <f t="shared" si="18"/>
        <v>10237</v>
      </c>
      <c r="N633" s="24">
        <f>Таблица1[[#This Row],[цена за шт в рублях]]/Таблица1[[#This Row],[средняя стоимость в категории по поставщику.]]-1</f>
        <v>-0.98710559734297154</v>
      </c>
      <c r="O633" s="26">
        <f>VLOOKUP(Таблица1[[#This Row],[id клиента]],клиенты!$A$2:$E$435,5,0)</f>
        <v>44730</v>
      </c>
      <c r="P633">
        <f>Таблица1[[#This Row],[дата создания чека]]-Таблица1[[#This Row],[Дата регистрации клента]]</f>
        <v>273</v>
      </c>
      <c r="Q633" s="26">
        <f t="shared" ca="1" si="19"/>
        <v>46059</v>
      </c>
      <c r="R633" s="51">
        <f ca="1">(TODAY()-Таблица1[[#This Row],[Дата регистрации клента]])/30</f>
        <v>44.3</v>
      </c>
      <c r="S633" s="63" t="str">
        <f>VLOOKUP(Таблица1[[#This Row],[id клиента]],Таблица8[[id клиента]:[Страна]],7,0)</f>
        <v>Украина</v>
      </c>
      <c r="T633" s="26"/>
    </row>
    <row r="634" spans="1:20" ht="19.5" x14ac:dyDescent="0.4">
      <c r="A634" s="41">
        <v>633</v>
      </c>
      <c r="B634" s="42">
        <v>258</v>
      </c>
      <c r="C634" s="42">
        <v>333</v>
      </c>
      <c r="D634" s="42">
        <v>4</v>
      </c>
      <c r="E634" s="42">
        <v>1332</v>
      </c>
      <c r="F634" s="43">
        <v>45018</v>
      </c>
      <c r="G634" s="42" t="s">
        <v>11</v>
      </c>
      <c r="H634" s="42">
        <v>62</v>
      </c>
      <c r="I634" s="42" t="str">
        <f>VLOOKUP(продажи!$B634,товар!$A$1:$C$433,2)</f>
        <v>Рыба</v>
      </c>
      <c r="J634" s="42" t="str">
        <f>VLOOKUP(B634,товар!$A$1:$C$433,3)</f>
        <v>Санта Бремор</v>
      </c>
      <c r="K634" s="44">
        <f>AVERAGEIF(продажи!$I$2:$I$1001,продажи!$I$2:$I$1001,продажи!$C$2:$C$1001)</f>
        <v>258.5128205128205</v>
      </c>
      <c r="L634" s="45">
        <f>продажи!$C634/продажи!$K634-1</f>
        <v>0.28813727435032743</v>
      </c>
      <c r="M634" s="33">
        <f t="shared" si="18"/>
        <v>2164</v>
      </c>
      <c r="N634" s="24">
        <f>Таблица1[[#This Row],[цена за шт в рублях]]/Таблица1[[#This Row],[средняя стоимость в категории по поставщику.]]-1</f>
        <v>-0.84611829944547134</v>
      </c>
      <c r="O634" s="26">
        <f>VLOOKUP(Таблица1[[#This Row],[id клиента]],клиенты!$A$2:$E$435,5,0)</f>
        <v>44671</v>
      </c>
      <c r="P634">
        <f>Таблица1[[#This Row],[дата создания чека]]-Таблица1[[#This Row],[Дата регистрации клента]]</f>
        <v>347</v>
      </c>
      <c r="Q634" s="26">
        <f t="shared" ca="1" si="19"/>
        <v>46059</v>
      </c>
      <c r="R634" s="51">
        <f ca="1">(TODAY()-Таблица1[[#This Row],[Дата регистрации клента]])/30</f>
        <v>46.266666666666666</v>
      </c>
      <c r="S634" s="63" t="str">
        <f>VLOOKUP(Таблица1[[#This Row],[id клиента]],Таблица8[[id клиента]:[Страна]],7,0)</f>
        <v>Россия</v>
      </c>
      <c r="T634" s="26"/>
    </row>
    <row r="635" spans="1:20" ht="19.5" x14ac:dyDescent="0.4">
      <c r="A635" s="37">
        <v>634</v>
      </c>
      <c r="B635" s="31">
        <v>111</v>
      </c>
      <c r="C635" s="31">
        <v>420</v>
      </c>
      <c r="D635" s="31">
        <v>1</v>
      </c>
      <c r="E635" s="31">
        <v>420</v>
      </c>
      <c r="F635" s="38">
        <v>45295</v>
      </c>
      <c r="G635" s="31" t="s">
        <v>9</v>
      </c>
      <c r="H635" s="31">
        <v>13</v>
      </c>
      <c r="I635" s="31" t="str">
        <f>VLOOKUP(продажи!$B635,товар!$A$1:$C$433,2)</f>
        <v>Сахар</v>
      </c>
      <c r="J635" s="31" t="str">
        <f>VLOOKUP(B635,товар!$A$1:$C$433,3)</f>
        <v>Сладов</v>
      </c>
      <c r="K635" s="39">
        <f>AVERAGEIF(продажи!$I$2:$I$1001,продажи!$I$2:$I$1001,продажи!$C$2:$C$1001)</f>
        <v>254.58333333333334</v>
      </c>
      <c r="L635" s="40">
        <f>продажи!$C635/продажи!$K635-1</f>
        <v>0.64975450081833053</v>
      </c>
      <c r="M635" s="33">
        <f t="shared" si="18"/>
        <v>3604</v>
      </c>
      <c r="N635" s="24">
        <f>Таблица1[[#This Row],[цена за шт в рублях]]/Таблица1[[#This Row],[средняя стоимость в категории по поставщику.]]-1</f>
        <v>-0.8834628190899001</v>
      </c>
      <c r="O635" s="26">
        <f>VLOOKUP(Таблица1[[#This Row],[id клиента]],клиенты!$A$2:$E$435,5,0)</f>
        <v>44724</v>
      </c>
      <c r="P635">
        <f>Таблица1[[#This Row],[дата создания чека]]-Таблица1[[#This Row],[Дата регистрации клента]]</f>
        <v>571</v>
      </c>
      <c r="Q635" s="26">
        <f t="shared" ca="1" si="19"/>
        <v>46059</v>
      </c>
      <c r="R635" s="51">
        <f ca="1">(TODAY()-Таблица1[[#This Row],[Дата регистрации клента]])/30</f>
        <v>44.5</v>
      </c>
      <c r="S635" s="63" t="str">
        <f>VLOOKUP(Таблица1[[#This Row],[id клиента]],Таблица8[[id клиента]:[Страна]],7,0)</f>
        <v>Россия</v>
      </c>
      <c r="T635" s="26"/>
    </row>
    <row r="636" spans="1:20" ht="19.5" x14ac:dyDescent="0.4">
      <c r="A636" s="41">
        <v>635</v>
      </c>
      <c r="B636" s="42">
        <v>4</v>
      </c>
      <c r="C636" s="42">
        <v>151</v>
      </c>
      <c r="D636" s="42">
        <v>4</v>
      </c>
      <c r="E636" s="42">
        <v>604</v>
      </c>
      <c r="F636" s="43">
        <v>45286</v>
      </c>
      <c r="G636" s="42" t="s">
        <v>18</v>
      </c>
      <c r="H636" s="42">
        <v>116</v>
      </c>
      <c r="I636" s="42" t="str">
        <f>VLOOKUP(продажи!$B636,товар!$A$1:$C$433,2)</f>
        <v>Рис</v>
      </c>
      <c r="J636" s="42" t="str">
        <f>VLOOKUP(B636,товар!$A$1:$C$433,3)</f>
        <v>Белый Злат</v>
      </c>
      <c r="K636" s="44">
        <f>AVERAGEIF(продажи!$I$2:$I$1001,продажи!$I$2:$I$1001,продажи!$C$2:$C$1001)</f>
        <v>258.375</v>
      </c>
      <c r="L636" s="45">
        <f>продажи!$C636/продажи!$K636-1</f>
        <v>-0.41557813255926468</v>
      </c>
      <c r="M636" s="33">
        <f t="shared" si="18"/>
        <v>4585</v>
      </c>
      <c r="N636" s="24">
        <f>Таблица1[[#This Row],[цена за шт в рублях]]/Таблица1[[#This Row],[средняя стоимость в категории по поставщику.]]-1</f>
        <v>-0.96706652126499459</v>
      </c>
      <c r="O636" s="26">
        <f>VLOOKUP(Таблица1[[#This Row],[id клиента]],клиенты!$A$2:$E$435,5,0)</f>
        <v>44643</v>
      </c>
      <c r="P636">
        <f>Таблица1[[#This Row],[дата создания чека]]-Таблица1[[#This Row],[Дата регистрации клента]]</f>
        <v>643</v>
      </c>
      <c r="Q636" s="26">
        <f t="shared" ca="1" si="19"/>
        <v>46059</v>
      </c>
      <c r="R636" s="51">
        <f ca="1">(TODAY()-Таблица1[[#This Row],[Дата регистрации клента]])/30</f>
        <v>47.2</v>
      </c>
      <c r="S636" s="63" t="str">
        <f>VLOOKUP(Таблица1[[#This Row],[id клиента]],Таблица8[[id клиента]:[Страна]],7,0)</f>
        <v>Россия</v>
      </c>
      <c r="T636" s="26"/>
    </row>
    <row r="637" spans="1:20" ht="19.5" x14ac:dyDescent="0.4">
      <c r="A637" s="37">
        <v>636</v>
      </c>
      <c r="B637" s="31">
        <v>266</v>
      </c>
      <c r="C637" s="31">
        <v>141</v>
      </c>
      <c r="D637" s="31">
        <v>5</v>
      </c>
      <c r="E637" s="31">
        <v>705</v>
      </c>
      <c r="F637" s="38">
        <v>45174</v>
      </c>
      <c r="G637" s="31" t="s">
        <v>11</v>
      </c>
      <c r="H637" s="31">
        <v>50</v>
      </c>
      <c r="I637" s="31" t="str">
        <f>VLOOKUP(продажи!$B637,товар!$A$1:$C$433,2)</f>
        <v>Рыба</v>
      </c>
      <c r="J637" s="31" t="str">
        <f>VLOOKUP(B637,товар!$A$1:$C$433,3)</f>
        <v>Меридиан</v>
      </c>
      <c r="K637" s="39">
        <f>AVERAGEIF(продажи!$I$2:$I$1001,продажи!$I$2:$I$1001,продажи!$C$2:$C$1001)</f>
        <v>258.5128205128205</v>
      </c>
      <c r="L637" s="40">
        <f>продажи!$C637/продажи!$K637-1</f>
        <v>-0.45457250545526673</v>
      </c>
      <c r="M637" s="33">
        <f t="shared" si="18"/>
        <v>4431</v>
      </c>
      <c r="N637" s="24">
        <f>Таблица1[[#This Row],[цена за шт в рублях]]/Таблица1[[#This Row],[средняя стоимость в категории по поставщику.]]-1</f>
        <v>-0.96817874069058907</v>
      </c>
      <c r="O637" s="26">
        <f>VLOOKUP(Таблица1[[#This Row],[id клиента]],клиенты!$A$2:$E$435,5,0)</f>
        <v>44576</v>
      </c>
      <c r="P637">
        <f>Таблица1[[#This Row],[дата создания чека]]-Таблица1[[#This Row],[Дата регистрации клента]]</f>
        <v>598</v>
      </c>
      <c r="Q637" s="26">
        <f t="shared" ca="1" si="19"/>
        <v>46059</v>
      </c>
      <c r="R637" s="51">
        <f ca="1">(TODAY()-Таблица1[[#This Row],[Дата регистрации клента]])/30</f>
        <v>49.43333333333333</v>
      </c>
      <c r="S637" s="63" t="str">
        <f>VLOOKUP(Таблица1[[#This Row],[id клиента]],Таблица8[[id клиента]:[Страна]],7,0)</f>
        <v>Узбекистан</v>
      </c>
      <c r="T637" s="26"/>
    </row>
    <row r="638" spans="1:20" ht="19.5" x14ac:dyDescent="0.4">
      <c r="A638" s="41">
        <v>637</v>
      </c>
      <c r="B638" s="42">
        <v>143</v>
      </c>
      <c r="C638" s="42">
        <v>339</v>
      </c>
      <c r="D638" s="42">
        <v>1</v>
      </c>
      <c r="E638" s="42">
        <v>339</v>
      </c>
      <c r="F638" s="43">
        <v>45013</v>
      </c>
      <c r="G638" s="42" t="s">
        <v>11</v>
      </c>
      <c r="H638" s="42">
        <v>197</v>
      </c>
      <c r="I638" s="42" t="str">
        <f>VLOOKUP(продажи!$B638,товар!$A$1:$C$433,2)</f>
        <v>Сахар</v>
      </c>
      <c r="J638" s="42" t="str">
        <f>VLOOKUP(B638,товар!$A$1:$C$433,3)</f>
        <v>Агросахар</v>
      </c>
      <c r="K638" s="44">
        <f>AVERAGEIF(продажи!$I$2:$I$1001,продажи!$I$2:$I$1001,продажи!$C$2:$C$1001)</f>
        <v>254.58333333333334</v>
      </c>
      <c r="L638" s="45">
        <f>продажи!$C638/продажи!$K638-1</f>
        <v>0.33158756137479539</v>
      </c>
      <c r="M638" s="33">
        <f t="shared" si="18"/>
        <v>1511</v>
      </c>
      <c r="N638" s="24">
        <f>Таблица1[[#This Row],[цена за шт в рублях]]/Таблица1[[#This Row],[средняя стоимость в категории по поставщику.]]-1</f>
        <v>-0.77564526803441436</v>
      </c>
      <c r="O638" s="26">
        <f>VLOOKUP(Таблица1[[#This Row],[id клиента]],клиенты!$A$2:$E$435,5,0)</f>
        <v>44785</v>
      </c>
      <c r="P638">
        <f>Таблица1[[#This Row],[дата создания чека]]-Таблица1[[#This Row],[Дата регистрации клента]]</f>
        <v>228</v>
      </c>
      <c r="Q638" s="26">
        <f t="shared" ca="1" si="19"/>
        <v>46059</v>
      </c>
      <c r="R638" s="51">
        <f ca="1">(TODAY()-Таблица1[[#This Row],[Дата регистрации клента]])/30</f>
        <v>42.466666666666669</v>
      </c>
      <c r="S638" s="63" t="str">
        <f>VLOOKUP(Таблица1[[#This Row],[id клиента]],Таблица8[[id клиента]:[Страна]],7,0)</f>
        <v>Украина</v>
      </c>
      <c r="T638" s="26"/>
    </row>
    <row r="639" spans="1:20" ht="19.5" x14ac:dyDescent="0.4">
      <c r="A639" s="37">
        <v>638</v>
      </c>
      <c r="B639" s="31">
        <v>475</v>
      </c>
      <c r="C639" s="31">
        <v>206</v>
      </c>
      <c r="D639" s="31">
        <v>3</v>
      </c>
      <c r="E639" s="31">
        <v>618</v>
      </c>
      <c r="F639" s="38">
        <v>45424</v>
      </c>
      <c r="G639" s="31" t="s">
        <v>19</v>
      </c>
      <c r="H639" s="31">
        <v>243</v>
      </c>
      <c r="I639" s="31" t="str">
        <f>VLOOKUP(продажи!$B639,товар!$A$1:$C$433,2)</f>
        <v>Хлеб</v>
      </c>
      <c r="J639" s="31" t="str">
        <f>VLOOKUP(B639,товар!$A$1:$C$433,3)</f>
        <v>Русский Хлеб</v>
      </c>
      <c r="K639" s="39">
        <f>AVERAGEIF(продажи!$I$2:$I$1001,продажи!$I$2:$I$1001,продажи!$C$2:$C$1001)</f>
        <v>300.31818181818181</v>
      </c>
      <c r="L639" s="40">
        <f>продажи!$C639/продажи!$K639-1</f>
        <v>-0.31406084455880123</v>
      </c>
      <c r="M639" s="33">
        <f t="shared" si="18"/>
        <v>3166</v>
      </c>
      <c r="N639" s="24">
        <f>Таблица1[[#This Row],[цена за шт в рублях]]/Таблица1[[#This Row],[средняя стоимость в категории по поставщику.]]-1</f>
        <v>-0.93493367024636764</v>
      </c>
      <c r="O639" s="26">
        <f>VLOOKUP(Таблица1[[#This Row],[id клиента]],клиенты!$A$2:$E$435,5,0)</f>
        <v>44681</v>
      </c>
      <c r="P639">
        <f>Таблица1[[#This Row],[дата создания чека]]-Таблица1[[#This Row],[Дата регистрации клента]]</f>
        <v>743</v>
      </c>
      <c r="Q639" s="26">
        <f t="shared" ca="1" si="19"/>
        <v>46059</v>
      </c>
      <c r="R639" s="51">
        <f ca="1">(TODAY()-Таблица1[[#This Row],[Дата регистрации клента]])/30</f>
        <v>45.93333333333333</v>
      </c>
      <c r="S639" s="63" t="str">
        <f>VLOOKUP(Таблица1[[#This Row],[id клиента]],Таблица8[[id клиента]:[Страна]],7,0)</f>
        <v>Россия</v>
      </c>
      <c r="T639" s="26"/>
    </row>
    <row r="640" spans="1:20" ht="19.5" x14ac:dyDescent="0.4">
      <c r="A640" s="41">
        <v>639</v>
      </c>
      <c r="B640" s="42">
        <v>52</v>
      </c>
      <c r="C640" s="42">
        <v>105</v>
      </c>
      <c r="D640" s="42">
        <v>2</v>
      </c>
      <c r="E640" s="42">
        <v>210</v>
      </c>
      <c r="F640" s="43">
        <v>45232</v>
      </c>
      <c r="G640" s="42" t="s">
        <v>8</v>
      </c>
      <c r="H640" s="42">
        <v>275</v>
      </c>
      <c r="I640" s="42" t="str">
        <f>VLOOKUP(продажи!$B640,товар!$A$1:$C$433,2)</f>
        <v>Соль</v>
      </c>
      <c r="J640" s="42" t="str">
        <f>VLOOKUP(B640,товар!$A$1:$C$433,3)</f>
        <v>Илецкая</v>
      </c>
      <c r="K640" s="44">
        <f>AVERAGEIF(продажи!$I$2:$I$1001,продажи!$I$2:$I$1001,продажи!$C$2:$C$1001)</f>
        <v>264.8679245283019</v>
      </c>
      <c r="L640" s="45">
        <f>продажи!$C640/продажи!$K640-1</f>
        <v>-0.60357600797834454</v>
      </c>
      <c r="M640" s="33">
        <f t="shared" si="18"/>
        <v>4287</v>
      </c>
      <c r="N640" s="24">
        <f>Таблица1[[#This Row],[цена за шт в рублях]]/Таблица1[[#This Row],[средняя стоимость в категории по поставщику.]]-1</f>
        <v>-0.97550734779566128</v>
      </c>
      <c r="O640" s="26">
        <f>VLOOKUP(Таблица1[[#This Row],[id клиента]],клиенты!$A$2:$E$435,5,0)</f>
        <v>44651</v>
      </c>
      <c r="P640">
        <f>Таблица1[[#This Row],[дата создания чека]]-Таблица1[[#This Row],[Дата регистрации клента]]</f>
        <v>581</v>
      </c>
      <c r="Q640" s="26">
        <f t="shared" ca="1" si="19"/>
        <v>46059</v>
      </c>
      <c r="R640" s="51">
        <f ca="1">(TODAY()-Таблица1[[#This Row],[Дата регистрации клента]])/30</f>
        <v>46.93333333333333</v>
      </c>
      <c r="S640" s="63" t="str">
        <f>VLOOKUP(Таблица1[[#This Row],[id клиента]],Таблица8[[id клиента]:[Страна]],7,0)</f>
        <v>Таджикистан</v>
      </c>
      <c r="T640" s="26"/>
    </row>
    <row r="641" spans="1:20" ht="19.5" x14ac:dyDescent="0.4">
      <c r="A641" s="37">
        <v>640</v>
      </c>
      <c r="B641" s="31">
        <v>47</v>
      </c>
      <c r="C641" s="31">
        <v>356</v>
      </c>
      <c r="D641" s="31">
        <v>3</v>
      </c>
      <c r="E641" s="31">
        <v>1068</v>
      </c>
      <c r="F641" s="38">
        <v>45288</v>
      </c>
      <c r="G641" s="31" t="s">
        <v>15</v>
      </c>
      <c r="H641" s="31">
        <v>45</v>
      </c>
      <c r="I641" s="31" t="str">
        <f>VLOOKUP(продажи!$B641,товар!$A$1:$C$433,2)</f>
        <v>Мясо</v>
      </c>
      <c r="J641" s="31" t="str">
        <f>VLOOKUP(B641,товар!$A$1:$C$433,3)</f>
        <v>Снежана</v>
      </c>
      <c r="K641" s="39">
        <f>AVERAGEIF(продажи!$I$2:$I$1001,продажи!$I$2:$I$1001,продажи!$C$2:$C$1001)</f>
        <v>271.74545454545455</v>
      </c>
      <c r="L641" s="40">
        <f>продажи!$C641/продажи!$K641-1</f>
        <v>0.31004951157500327</v>
      </c>
      <c r="M641" s="33">
        <f t="shared" si="18"/>
        <v>4630</v>
      </c>
      <c r="N641" s="24">
        <f>Таблица1[[#This Row],[цена за шт в рублях]]/Таблица1[[#This Row],[средняя стоимость в категории по поставщику.]]-1</f>
        <v>-0.92311015118790496</v>
      </c>
      <c r="O641" s="26">
        <f>VLOOKUP(Таблица1[[#This Row],[id клиента]],клиенты!$A$2:$E$435,5,0)</f>
        <v>44662</v>
      </c>
      <c r="P641">
        <f>Таблица1[[#This Row],[дата создания чека]]-Таблица1[[#This Row],[Дата регистрации клента]]</f>
        <v>626</v>
      </c>
      <c r="Q641" s="26">
        <f t="shared" ca="1" si="19"/>
        <v>46059</v>
      </c>
      <c r="R641" s="51">
        <f ca="1">(TODAY()-Таблица1[[#This Row],[Дата регистрации клента]])/30</f>
        <v>46.56666666666667</v>
      </c>
      <c r="S641" s="63" t="str">
        <f>VLOOKUP(Таблица1[[#This Row],[id клиента]],Таблица8[[id клиента]:[Страна]],7,0)</f>
        <v>Узбекистан</v>
      </c>
      <c r="T641" s="26"/>
    </row>
    <row r="642" spans="1:20" ht="19.5" x14ac:dyDescent="0.4">
      <c r="A642" s="41">
        <v>641</v>
      </c>
      <c r="B642" s="42">
        <v>122</v>
      </c>
      <c r="C642" s="42">
        <v>240</v>
      </c>
      <c r="D642" s="42">
        <v>1</v>
      </c>
      <c r="E642" s="42">
        <v>240</v>
      </c>
      <c r="F642" s="43">
        <v>44961</v>
      </c>
      <c r="G642" s="42" t="s">
        <v>9</v>
      </c>
      <c r="H642" s="42">
        <v>419</v>
      </c>
      <c r="I642" s="42" t="str">
        <f>VLOOKUP(продажи!$B642,товар!$A$1:$C$433,2)</f>
        <v>Фрукты</v>
      </c>
      <c r="J642" s="42" t="str">
        <f>VLOOKUP(B642,товар!$A$1:$C$433,3)</f>
        <v>Фрукты-Ягоды</v>
      </c>
      <c r="K642" s="44">
        <f>AVERAGEIF(продажи!$I$2:$I$1001,продажи!$I$2:$I$1001,продажи!$C$2:$C$1001)</f>
        <v>274.16279069767444</v>
      </c>
      <c r="L642" s="45">
        <f>продажи!$C642/продажи!$K642-1</f>
        <v>-0.12460768513020615</v>
      </c>
      <c r="M642" s="33">
        <f t="shared" ref="M642:M705" si="20">SUMIFS($C$2:$C$1001,$I$2:$I$1001,I642,$J$2:$J$1001,J642)</f>
        <v>2526</v>
      </c>
      <c r="N642" s="24">
        <f>Таблица1[[#This Row],[цена за шт в рублях]]/Таблица1[[#This Row],[средняя стоимость в категории по поставщику.]]-1</f>
        <v>-0.90498812351543945</v>
      </c>
      <c r="O642" s="26">
        <f>VLOOKUP(Таблица1[[#This Row],[id клиента]],клиенты!$A$2:$E$435,5,0)</f>
        <v>44869</v>
      </c>
      <c r="P642">
        <f>Таблица1[[#This Row],[дата создания чека]]-Таблица1[[#This Row],[Дата регистрации клента]]</f>
        <v>92</v>
      </c>
      <c r="Q642" s="26">
        <f t="shared" ref="Q642:Q705" ca="1" si="21">TODAY()</f>
        <v>46059</v>
      </c>
      <c r="R642" s="51">
        <f ca="1">(TODAY()-Таблица1[[#This Row],[Дата регистрации клента]])/30</f>
        <v>39.666666666666664</v>
      </c>
      <c r="S642" s="63" t="str">
        <f>VLOOKUP(Таблица1[[#This Row],[id клиента]],Таблица8[[id клиента]:[Страна]],7,0)</f>
        <v>Таджикистан</v>
      </c>
      <c r="T642" s="26"/>
    </row>
    <row r="643" spans="1:20" ht="19.5" x14ac:dyDescent="0.4">
      <c r="A643" s="37">
        <v>642</v>
      </c>
      <c r="B643" s="31">
        <v>422</v>
      </c>
      <c r="C643" s="31">
        <v>290</v>
      </c>
      <c r="D643" s="31">
        <v>5</v>
      </c>
      <c r="E643" s="31">
        <v>1450</v>
      </c>
      <c r="F643" s="38">
        <v>45292</v>
      </c>
      <c r="G643" s="31" t="s">
        <v>12</v>
      </c>
      <c r="H643" s="31">
        <v>125</v>
      </c>
      <c r="I643" s="31" t="str">
        <f>VLOOKUP(продажи!$B643,товар!$A$1:$C$433,2)</f>
        <v>Кофе</v>
      </c>
      <c r="J643" s="31" t="str">
        <f>VLOOKUP(B643,товар!$A$1:$C$433,3)</f>
        <v>Nescafe</v>
      </c>
      <c r="K643" s="39">
        <f>AVERAGEIF(продажи!$I$2:$I$1001,продажи!$I$2:$I$1001,продажи!$C$2:$C$1001)</f>
        <v>249.02380952380952</v>
      </c>
      <c r="L643" s="40">
        <f>продажи!$C643/продажи!$K643-1</f>
        <v>0.16454727985467055</v>
      </c>
      <c r="M643" s="33">
        <f t="shared" si="20"/>
        <v>2569</v>
      </c>
      <c r="N643" s="24">
        <f>Таблица1[[#This Row],[цена за шт в рублях]]/Таблица1[[#This Row],[средняя стоимость в категории по поставщику.]]-1</f>
        <v>-0.88711560918645382</v>
      </c>
      <c r="O643" s="26">
        <f>VLOOKUP(Таблица1[[#This Row],[id клиента]],клиенты!$A$2:$E$435,5,0)</f>
        <v>44701</v>
      </c>
      <c r="P643">
        <f>Таблица1[[#This Row],[дата создания чека]]-Таблица1[[#This Row],[Дата регистрации клента]]</f>
        <v>591</v>
      </c>
      <c r="Q643" s="26">
        <f t="shared" ca="1" si="21"/>
        <v>46059</v>
      </c>
      <c r="R643" s="51">
        <f ca="1">(TODAY()-Таблица1[[#This Row],[Дата регистрации клента]])/30</f>
        <v>45.266666666666666</v>
      </c>
      <c r="S643" s="63" t="str">
        <f>VLOOKUP(Таблица1[[#This Row],[id клиента]],Таблица8[[id клиента]:[Страна]],7,0)</f>
        <v>Россия</v>
      </c>
      <c r="T643" s="26"/>
    </row>
    <row r="644" spans="1:20" ht="19.5" x14ac:dyDescent="0.4">
      <c r="A644" s="41">
        <v>643</v>
      </c>
      <c r="B644" s="42">
        <v>479</v>
      </c>
      <c r="C644" s="42">
        <v>405</v>
      </c>
      <c r="D644" s="42">
        <v>4</v>
      </c>
      <c r="E644" s="42">
        <v>1620</v>
      </c>
      <c r="F644" s="43">
        <v>45302</v>
      </c>
      <c r="G644" s="42" t="s">
        <v>19</v>
      </c>
      <c r="H644" s="42">
        <v>242</v>
      </c>
      <c r="I644" s="42" t="str">
        <f>VLOOKUP(продажи!$B644,товар!$A$1:$C$433,2)</f>
        <v>Овощи</v>
      </c>
      <c r="J644" s="42" t="str">
        <f>VLOOKUP(B644,товар!$A$1:$C$433,3)</f>
        <v>Гавриш</v>
      </c>
      <c r="K644" s="44">
        <f>AVERAGEIF(продажи!$I$2:$I$1001,продажи!$I$2:$I$1001,продажи!$C$2:$C$1001)</f>
        <v>250.48780487804879</v>
      </c>
      <c r="L644" s="45">
        <f>продажи!$C644/продажи!$K644-1</f>
        <v>0.61684518013631928</v>
      </c>
      <c r="M644" s="33">
        <f t="shared" si="20"/>
        <v>2229</v>
      </c>
      <c r="N644" s="24">
        <f>Таблица1[[#This Row],[цена за шт в рублях]]/Таблица1[[#This Row],[средняя стоимость в категории по поставщику.]]-1</f>
        <v>-0.81830417227456254</v>
      </c>
      <c r="O644" s="26">
        <f>VLOOKUP(Таблица1[[#This Row],[id клиента]],клиенты!$A$2:$E$435,5,0)</f>
        <v>44747</v>
      </c>
      <c r="P644">
        <f>Таблица1[[#This Row],[дата создания чека]]-Таблица1[[#This Row],[Дата регистрации клента]]</f>
        <v>555</v>
      </c>
      <c r="Q644" s="26">
        <f t="shared" ca="1" si="21"/>
        <v>46059</v>
      </c>
      <c r="R644" s="51">
        <f ca="1">(TODAY()-Таблица1[[#This Row],[Дата регистрации клента]])/30</f>
        <v>43.733333333333334</v>
      </c>
      <c r="S644" s="63" t="str">
        <f>VLOOKUP(Таблица1[[#This Row],[id клиента]],Таблица8[[id клиента]:[Страна]],7,0)</f>
        <v>Россия</v>
      </c>
      <c r="T644" s="26"/>
    </row>
    <row r="645" spans="1:20" ht="19.5" x14ac:dyDescent="0.4">
      <c r="A645" s="37">
        <v>644</v>
      </c>
      <c r="B645" s="31">
        <v>99</v>
      </c>
      <c r="C645" s="31">
        <v>281</v>
      </c>
      <c r="D645" s="31">
        <v>5</v>
      </c>
      <c r="E645" s="31">
        <v>1405</v>
      </c>
      <c r="F645" s="38">
        <v>45139</v>
      </c>
      <c r="G645" s="31" t="s">
        <v>15</v>
      </c>
      <c r="H645" s="31">
        <v>329</v>
      </c>
      <c r="I645" s="31" t="str">
        <f>VLOOKUP(продажи!$B645,товар!$A$1:$C$433,2)</f>
        <v>Овощи</v>
      </c>
      <c r="J645" s="31" t="str">
        <f>VLOOKUP(B645,товар!$A$1:$C$433,3)</f>
        <v>Семко</v>
      </c>
      <c r="K645" s="39">
        <f>AVERAGEIF(продажи!$I$2:$I$1001,продажи!$I$2:$I$1001,продажи!$C$2:$C$1001)</f>
        <v>250.48780487804879</v>
      </c>
      <c r="L645" s="40">
        <f>продажи!$C645/продажи!$K645-1</f>
        <v>0.12181110029211295</v>
      </c>
      <c r="M645" s="33">
        <f t="shared" si="20"/>
        <v>2080</v>
      </c>
      <c r="N645" s="24">
        <f>Таблица1[[#This Row],[цена за шт в рублях]]/Таблица1[[#This Row],[средняя стоимость в категории по поставщику.]]-1</f>
        <v>-0.86490384615384619</v>
      </c>
      <c r="O645" s="26">
        <f>VLOOKUP(Таблица1[[#This Row],[id клиента]],клиенты!$A$2:$E$435,5,0)</f>
        <v>44653</v>
      </c>
      <c r="P645">
        <f>Таблица1[[#This Row],[дата создания чека]]-Таблица1[[#This Row],[Дата регистрации клента]]</f>
        <v>486</v>
      </c>
      <c r="Q645" s="26">
        <f t="shared" ca="1" si="21"/>
        <v>46059</v>
      </c>
      <c r="R645" s="51">
        <f ca="1">(TODAY()-Таблица1[[#This Row],[Дата регистрации клента]])/30</f>
        <v>46.866666666666667</v>
      </c>
      <c r="S645" s="63" t="str">
        <f>VLOOKUP(Таблица1[[#This Row],[id клиента]],Таблица8[[id клиента]:[Страна]],7,0)</f>
        <v>Беларусь</v>
      </c>
      <c r="T645" s="26"/>
    </row>
    <row r="646" spans="1:20" ht="19.5" x14ac:dyDescent="0.4">
      <c r="A646" s="41">
        <v>645</v>
      </c>
      <c r="B646" s="42">
        <v>272</v>
      </c>
      <c r="C646" s="42">
        <v>207</v>
      </c>
      <c r="D646" s="42">
        <v>5</v>
      </c>
      <c r="E646" s="42">
        <v>1035</v>
      </c>
      <c r="F646" s="43">
        <v>45074</v>
      </c>
      <c r="G646" s="42" t="s">
        <v>27</v>
      </c>
      <c r="H646" s="42">
        <v>42</v>
      </c>
      <c r="I646" s="42" t="str">
        <f>VLOOKUP(продажи!$B646,товар!$A$1:$C$433,2)</f>
        <v>Крупа</v>
      </c>
      <c r="J646" s="42" t="str">
        <f>VLOOKUP(B646,товар!$A$1:$C$433,3)</f>
        <v>Ярмарка</v>
      </c>
      <c r="K646" s="44">
        <f>AVERAGEIF(продажи!$I$2:$I$1001,продажи!$I$2:$I$1001,продажи!$C$2:$C$1001)</f>
        <v>255.11627906976744</v>
      </c>
      <c r="L646" s="45">
        <f>продажи!$C646/продажи!$K646-1</f>
        <v>-0.18860528714676394</v>
      </c>
      <c r="M646" s="33">
        <f t="shared" si="20"/>
        <v>2773</v>
      </c>
      <c r="N646" s="24">
        <f>Таблица1[[#This Row],[цена за шт в рублях]]/Таблица1[[#This Row],[средняя стоимость в категории по поставщику.]]-1</f>
        <v>-0.92535160476018752</v>
      </c>
      <c r="O646" s="26">
        <f>VLOOKUP(Таблица1[[#This Row],[id клиента]],клиенты!$A$2:$E$435,5,0)</f>
        <v>44783</v>
      </c>
      <c r="P646">
        <f>Таблица1[[#This Row],[дата создания чека]]-Таблица1[[#This Row],[Дата регистрации клента]]</f>
        <v>291</v>
      </c>
      <c r="Q646" s="26">
        <f t="shared" ca="1" si="21"/>
        <v>46059</v>
      </c>
      <c r="R646" s="51">
        <f ca="1">(TODAY()-Таблица1[[#This Row],[Дата регистрации клента]])/30</f>
        <v>42.533333333333331</v>
      </c>
      <c r="S646" s="63" t="str">
        <f>VLOOKUP(Таблица1[[#This Row],[id клиента]],Таблица8[[id клиента]:[Страна]],7,0)</f>
        <v>Таджикистан</v>
      </c>
      <c r="T646" s="26"/>
    </row>
    <row r="647" spans="1:20" ht="19.5" x14ac:dyDescent="0.4">
      <c r="A647" s="37">
        <v>646</v>
      </c>
      <c r="B647" s="31">
        <v>493</v>
      </c>
      <c r="C647" s="31">
        <v>378</v>
      </c>
      <c r="D647" s="31">
        <v>2</v>
      </c>
      <c r="E647" s="31">
        <v>756</v>
      </c>
      <c r="F647" s="38">
        <v>45324</v>
      </c>
      <c r="G647" s="31" t="s">
        <v>22</v>
      </c>
      <c r="H647" s="31">
        <v>229</v>
      </c>
      <c r="I647" s="31" t="str">
        <f>VLOOKUP(продажи!$B647,товар!$A$1:$C$433,2)</f>
        <v>Овощи</v>
      </c>
      <c r="J647" s="31" t="str">
        <f>VLOOKUP(B647,товар!$A$1:$C$433,3)</f>
        <v>Овощной ряд</v>
      </c>
      <c r="K647" s="39">
        <f>AVERAGEIF(продажи!$I$2:$I$1001,продажи!$I$2:$I$1001,продажи!$C$2:$C$1001)</f>
        <v>250.48780487804879</v>
      </c>
      <c r="L647" s="40">
        <f>продажи!$C647/продажи!$K647-1</f>
        <v>0.50905550146056466</v>
      </c>
      <c r="M647" s="33">
        <f t="shared" si="20"/>
        <v>5165</v>
      </c>
      <c r="N647" s="24">
        <f>Таблица1[[#This Row],[цена за шт в рублях]]/Таблица1[[#This Row],[средняя стоимость в категории по поставщику.]]-1</f>
        <v>-0.92681510164569214</v>
      </c>
      <c r="O647" s="26">
        <f>VLOOKUP(Таблица1[[#This Row],[id клиента]],клиенты!$A$2:$E$435,5,0)</f>
        <v>44766</v>
      </c>
      <c r="P647">
        <f>Таблица1[[#This Row],[дата создания чека]]-Таблица1[[#This Row],[Дата регистрации клента]]</f>
        <v>558</v>
      </c>
      <c r="Q647" s="26">
        <f t="shared" ca="1" si="21"/>
        <v>46059</v>
      </c>
      <c r="R647" s="51">
        <f ca="1">(TODAY()-Таблица1[[#This Row],[Дата регистрации клента]])/30</f>
        <v>43.1</v>
      </c>
      <c r="S647" s="63" t="str">
        <f>VLOOKUP(Таблица1[[#This Row],[id клиента]],Таблица8[[id клиента]:[Страна]],7,0)</f>
        <v>Беларусь</v>
      </c>
      <c r="T647" s="26"/>
    </row>
    <row r="648" spans="1:20" ht="19.5" x14ac:dyDescent="0.4">
      <c r="A648" s="41">
        <v>647</v>
      </c>
      <c r="B648" s="42">
        <v>360</v>
      </c>
      <c r="C648" s="42">
        <v>120</v>
      </c>
      <c r="D648" s="42">
        <v>2</v>
      </c>
      <c r="E648" s="42">
        <v>240</v>
      </c>
      <c r="F648" s="43">
        <v>44960</v>
      </c>
      <c r="G648" s="42" t="s">
        <v>27</v>
      </c>
      <c r="H648" s="42">
        <v>306</v>
      </c>
      <c r="I648" s="42" t="str">
        <f>VLOOKUP(продажи!$B648,товар!$A$1:$C$433,2)</f>
        <v>Соль</v>
      </c>
      <c r="J648" s="42" t="str">
        <f>VLOOKUP(B648,товар!$A$1:$C$433,3)</f>
        <v>Славянская</v>
      </c>
      <c r="K648" s="44">
        <f>AVERAGEIF(продажи!$I$2:$I$1001,продажи!$I$2:$I$1001,продажи!$C$2:$C$1001)</f>
        <v>264.8679245283019</v>
      </c>
      <c r="L648" s="45">
        <f>продажи!$C648/продажи!$K648-1</f>
        <v>-0.54694400911810803</v>
      </c>
      <c r="M648" s="33">
        <f t="shared" si="20"/>
        <v>2843</v>
      </c>
      <c r="N648" s="24">
        <f>Таблица1[[#This Row],[цена за шт в рублях]]/Таблица1[[#This Row],[средняя стоимость в категории по поставщику.]]-1</f>
        <v>-0.95779106577558915</v>
      </c>
      <c r="O648" s="26">
        <f>VLOOKUP(Таблица1[[#This Row],[id клиента]],клиенты!$A$2:$E$435,5,0)</f>
        <v>44872</v>
      </c>
      <c r="P648">
        <f>Таблица1[[#This Row],[дата создания чека]]-Таблица1[[#This Row],[Дата регистрации клента]]</f>
        <v>88</v>
      </c>
      <c r="Q648" s="26">
        <f t="shared" ca="1" si="21"/>
        <v>46059</v>
      </c>
      <c r="R648" s="51">
        <f ca="1">(TODAY()-Таблица1[[#This Row],[Дата регистрации клента]])/30</f>
        <v>39.56666666666667</v>
      </c>
      <c r="S648" s="63" t="str">
        <f>VLOOKUP(Таблица1[[#This Row],[id клиента]],Таблица8[[id клиента]:[Страна]],7,0)</f>
        <v>Украина</v>
      </c>
      <c r="T648" s="26"/>
    </row>
    <row r="649" spans="1:20" ht="19.5" x14ac:dyDescent="0.4">
      <c r="A649" s="37">
        <v>648</v>
      </c>
      <c r="B649" s="31">
        <v>215</v>
      </c>
      <c r="C649" s="31">
        <v>440</v>
      </c>
      <c r="D649" s="31">
        <v>2</v>
      </c>
      <c r="E649" s="31">
        <v>880</v>
      </c>
      <c r="F649" s="38">
        <v>45381</v>
      </c>
      <c r="G649" s="31" t="s">
        <v>18</v>
      </c>
      <c r="H649" s="31">
        <v>292</v>
      </c>
      <c r="I649" s="31" t="str">
        <f>VLOOKUP(продажи!$B649,товар!$A$1:$C$433,2)</f>
        <v>Сок</v>
      </c>
      <c r="J649" s="31" t="str">
        <f>VLOOKUP(B649,товар!$A$1:$C$433,3)</f>
        <v>Фруктовый сад</v>
      </c>
      <c r="K649" s="39">
        <f>AVERAGEIF(продажи!$I$2:$I$1001,продажи!$I$2:$I$1001,продажи!$C$2:$C$1001)</f>
        <v>268.60344827586209</v>
      </c>
      <c r="L649" s="40">
        <f>продажи!$C649/продажи!$K649-1</f>
        <v>0.63810257397779058</v>
      </c>
      <c r="M649" s="33">
        <f t="shared" si="20"/>
        <v>9023</v>
      </c>
      <c r="N649" s="24">
        <f>Таблица1[[#This Row],[цена за шт в рублях]]/Таблица1[[#This Row],[средняя стоимость в категории по поставщику.]]-1</f>
        <v>-0.95123573090989688</v>
      </c>
      <c r="O649" s="26">
        <f>VLOOKUP(Таблица1[[#This Row],[id клиента]],клиенты!$A$2:$E$435,5,0)</f>
        <v>44608</v>
      </c>
      <c r="P649">
        <f>Таблица1[[#This Row],[дата создания чека]]-Таблица1[[#This Row],[Дата регистрации клента]]</f>
        <v>773</v>
      </c>
      <c r="Q649" s="26">
        <f t="shared" ca="1" si="21"/>
        <v>46059</v>
      </c>
      <c r="R649" s="51">
        <f ca="1">(TODAY()-Таблица1[[#This Row],[Дата регистрации клента]])/30</f>
        <v>48.366666666666667</v>
      </c>
      <c r="S649" s="63" t="str">
        <f>VLOOKUP(Таблица1[[#This Row],[id клиента]],Таблица8[[id клиента]:[Страна]],7,0)</f>
        <v>Россия</v>
      </c>
      <c r="T649" s="26"/>
    </row>
    <row r="650" spans="1:20" ht="19.5" x14ac:dyDescent="0.4">
      <c r="A650" s="41">
        <v>649</v>
      </c>
      <c r="B650" s="42">
        <v>292</v>
      </c>
      <c r="C650" s="42">
        <v>327</v>
      </c>
      <c r="D650" s="42">
        <v>5</v>
      </c>
      <c r="E650" s="42">
        <v>1635</v>
      </c>
      <c r="F650" s="43">
        <v>45038</v>
      </c>
      <c r="G650" s="42" t="s">
        <v>20</v>
      </c>
      <c r="H650" s="42">
        <v>275</v>
      </c>
      <c r="I650" s="42" t="str">
        <f>VLOOKUP(продажи!$B650,товар!$A$1:$C$433,2)</f>
        <v>Колбаса</v>
      </c>
      <c r="J650" s="42" t="str">
        <f>VLOOKUP(B650,товар!$A$1:$C$433,3)</f>
        <v>Дымов</v>
      </c>
      <c r="K650" s="44">
        <f>AVERAGEIF(продажи!$I$2:$I$1001,продажи!$I$2:$I$1001,продажи!$C$2:$C$1001)</f>
        <v>286.92307692307691</v>
      </c>
      <c r="L650" s="45">
        <f>продажи!$C650/продажи!$K650-1</f>
        <v>0.13967828418230566</v>
      </c>
      <c r="M650" s="33">
        <f t="shared" si="20"/>
        <v>2814</v>
      </c>
      <c r="N650" s="24">
        <f>Таблица1[[#This Row],[цена за шт в рублях]]/Таблица1[[#This Row],[средняя стоимость в категории по поставщику.]]-1</f>
        <v>-0.88379530916844351</v>
      </c>
      <c r="O650" s="26">
        <f>VLOOKUP(Таблица1[[#This Row],[id клиента]],клиенты!$A$2:$E$435,5,0)</f>
        <v>44651</v>
      </c>
      <c r="P650">
        <f>Таблица1[[#This Row],[дата создания чека]]-Таблица1[[#This Row],[Дата регистрации клента]]</f>
        <v>387</v>
      </c>
      <c r="Q650" s="26">
        <f t="shared" ca="1" si="21"/>
        <v>46059</v>
      </c>
      <c r="R650" s="51">
        <f ca="1">(TODAY()-Таблица1[[#This Row],[Дата регистрации клента]])/30</f>
        <v>46.93333333333333</v>
      </c>
      <c r="S650" s="63" t="str">
        <f>VLOOKUP(Таблица1[[#This Row],[id клиента]],Таблица8[[id клиента]:[Страна]],7,0)</f>
        <v>Таджикистан</v>
      </c>
      <c r="T650" s="26"/>
    </row>
    <row r="651" spans="1:20" ht="19.5" x14ac:dyDescent="0.4">
      <c r="A651" s="37">
        <v>650</v>
      </c>
      <c r="B651" s="31">
        <v>307</v>
      </c>
      <c r="C651" s="31">
        <v>407</v>
      </c>
      <c r="D651" s="31">
        <v>1</v>
      </c>
      <c r="E651" s="31">
        <v>407</v>
      </c>
      <c r="F651" s="38">
        <v>44950</v>
      </c>
      <c r="G651" s="31" t="s">
        <v>20</v>
      </c>
      <c r="H651" s="31">
        <v>103</v>
      </c>
      <c r="I651" s="31" t="str">
        <f>VLOOKUP(продажи!$B651,товар!$A$1:$C$433,2)</f>
        <v>Сыр</v>
      </c>
      <c r="J651" s="31" t="str">
        <f>VLOOKUP(B651,товар!$A$1:$C$433,3)</f>
        <v>Карат</v>
      </c>
      <c r="K651" s="39">
        <f>AVERAGEIF(продажи!$I$2:$I$1001,продажи!$I$2:$I$1001,продажи!$C$2:$C$1001)</f>
        <v>261.03225806451616</v>
      </c>
      <c r="L651" s="40">
        <f>продажи!$C651/продажи!$K651-1</f>
        <v>0.55919426594167065</v>
      </c>
      <c r="M651" s="33">
        <f t="shared" si="20"/>
        <v>2802</v>
      </c>
      <c r="N651" s="24">
        <f>Таблица1[[#This Row],[цена за шт в рублях]]/Таблица1[[#This Row],[средняя стоимость в категории по поставщику.]]-1</f>
        <v>-0.85474660956459669</v>
      </c>
      <c r="O651" s="26">
        <f>VLOOKUP(Таблица1[[#This Row],[id клиента]],клиенты!$A$2:$E$435,5,0)</f>
        <v>44787</v>
      </c>
      <c r="P651">
        <f>Таблица1[[#This Row],[дата создания чека]]-Таблица1[[#This Row],[Дата регистрации клента]]</f>
        <v>163</v>
      </c>
      <c r="Q651" s="26">
        <f t="shared" ca="1" si="21"/>
        <v>46059</v>
      </c>
      <c r="R651" s="51">
        <f ca="1">(TODAY()-Таблица1[[#This Row],[Дата регистрации клента]])/30</f>
        <v>42.4</v>
      </c>
      <c r="S651" s="63" t="str">
        <f>VLOOKUP(Таблица1[[#This Row],[id клиента]],Таблица8[[id клиента]:[Страна]],7,0)</f>
        <v>Узбекистан</v>
      </c>
      <c r="T651" s="26"/>
    </row>
    <row r="652" spans="1:20" ht="19.5" x14ac:dyDescent="0.4">
      <c r="A652" s="41">
        <v>651</v>
      </c>
      <c r="B652" s="42">
        <v>473</v>
      </c>
      <c r="C652" s="42">
        <v>343</v>
      </c>
      <c r="D652" s="42">
        <v>5</v>
      </c>
      <c r="E652" s="42">
        <v>1715</v>
      </c>
      <c r="F652" s="43">
        <v>45086</v>
      </c>
      <c r="G652" s="42" t="s">
        <v>11</v>
      </c>
      <c r="H652" s="42">
        <v>460</v>
      </c>
      <c r="I652" s="42" t="str">
        <f>VLOOKUP(продажи!$B652,товар!$A$1:$C$433,2)</f>
        <v>Хлеб</v>
      </c>
      <c r="J652" s="42" t="str">
        <f>VLOOKUP(B652,товар!$A$1:$C$433,3)</f>
        <v>Хлебный Дом</v>
      </c>
      <c r="K652" s="44">
        <f>AVERAGEIF(продажи!$I$2:$I$1001,продажи!$I$2:$I$1001,продажи!$C$2:$C$1001)</f>
        <v>300.31818181818181</v>
      </c>
      <c r="L652" s="45">
        <f>продажи!$C652/продажи!$K652-1</f>
        <v>0.14212199182685037</v>
      </c>
      <c r="M652" s="33">
        <f t="shared" si="20"/>
        <v>4226</v>
      </c>
      <c r="N652" s="24">
        <f>Таблица1[[#This Row],[цена за шт в рублях]]/Таблица1[[#This Row],[средняя стоимость в категории по поставщику.]]-1</f>
        <v>-0.91883577851396114</v>
      </c>
      <c r="O652" s="26">
        <f>VLOOKUP(Таблица1[[#This Row],[id клиента]],клиенты!$A$2:$E$435,5,0)</f>
        <v>44821</v>
      </c>
      <c r="P652">
        <f>Таблица1[[#This Row],[дата создания чека]]-Таблица1[[#This Row],[Дата регистрации клента]]</f>
        <v>265</v>
      </c>
      <c r="Q652" s="26">
        <f t="shared" ca="1" si="21"/>
        <v>46059</v>
      </c>
      <c r="R652" s="51">
        <f ca="1">(TODAY()-Таблица1[[#This Row],[Дата регистрации клента]])/30</f>
        <v>41.266666666666666</v>
      </c>
      <c r="S652" s="63" t="str">
        <f>VLOOKUP(Таблица1[[#This Row],[id клиента]],Таблица8[[id клиента]:[Страна]],7,0)</f>
        <v>Россия</v>
      </c>
      <c r="T652" s="26"/>
    </row>
    <row r="653" spans="1:20" ht="19.5" x14ac:dyDescent="0.4">
      <c r="A653" s="37">
        <v>864</v>
      </c>
      <c r="B653" s="31">
        <v>369</v>
      </c>
      <c r="C653" s="31">
        <v>206</v>
      </c>
      <c r="D653" s="31">
        <v>4</v>
      </c>
      <c r="E653" s="31">
        <v>824</v>
      </c>
      <c r="F653" s="57">
        <v>45132</v>
      </c>
      <c r="G653" s="31" t="s">
        <v>17</v>
      </c>
      <c r="H653" s="55">
        <v>346</v>
      </c>
      <c r="I653" s="31" t="str">
        <f>VLOOKUP(продажи!$B865,товар!$A$1:$C$433,2)</f>
        <v>Молоко</v>
      </c>
      <c r="J653" s="31" t="str">
        <f>VLOOKUP(B653,товар!$A$1:$C$433,3)</f>
        <v>Домик в деревне</v>
      </c>
      <c r="K653" s="39">
        <f>AVERAGEIF(продажи!$I$2:$I$1001,продажи!$I$2:$I$1001,продажи!$C$2:$C$1001)</f>
        <v>294.95238095238096</v>
      </c>
      <c r="L653" s="40">
        <f>продажи!$C865/продажи!$K865-1</f>
        <v>0.28495318049725538</v>
      </c>
      <c r="M653" s="53">
        <f t="shared" si="20"/>
        <v>4946</v>
      </c>
      <c r="N653" s="24">
        <f>Таблица1[[#This Row],[цена за шт в рублях]]/Таблица1[[#This Row],[средняя стоимость в категории по поставщику.]]-1</f>
        <v>-0.95835018196522448</v>
      </c>
      <c r="O653" s="26">
        <f>VLOOKUP(Таблица1[[#This Row],[id клиента]],клиенты!$A$2:$E$435,5,0)</f>
        <v>44636</v>
      </c>
      <c r="P653">
        <f>Таблица1[[#This Row],[дата создания чека]]-Таблица1[[#This Row],[Дата регистрации клента]]</f>
        <v>496</v>
      </c>
      <c r="Q653" s="26">
        <f t="shared" ca="1" si="21"/>
        <v>46059</v>
      </c>
      <c r="R653" s="51">
        <f ca="1">(TODAY()-Таблица1[[#This Row],[Дата регистрации клента]])/30</f>
        <v>47.43333333333333</v>
      </c>
      <c r="S653" s="63" t="str">
        <f>VLOOKUP(Таблица1[[#This Row],[id клиента]],Таблица8[[id клиента]:[Страна]],7,0)</f>
        <v>Россия</v>
      </c>
      <c r="T653" s="26"/>
    </row>
    <row r="654" spans="1:20" ht="19.5" x14ac:dyDescent="0.4">
      <c r="A654" s="41">
        <v>653</v>
      </c>
      <c r="B654" s="42">
        <v>131</v>
      </c>
      <c r="C654" s="42">
        <v>116</v>
      </c>
      <c r="D654" s="42">
        <v>5</v>
      </c>
      <c r="E654" s="42">
        <v>580</v>
      </c>
      <c r="F654" s="43">
        <v>45184</v>
      </c>
      <c r="G654" s="42" t="s">
        <v>9</v>
      </c>
      <c r="H654" s="42">
        <v>246</v>
      </c>
      <c r="I654" s="42" t="str">
        <f>VLOOKUP(продажи!$B654,товар!$A$1:$C$433,2)</f>
        <v>Сок</v>
      </c>
      <c r="J654" s="42" t="str">
        <f>VLOOKUP(B654,товар!$A$1:$C$433,3)</f>
        <v>Сады Придонья</v>
      </c>
      <c r="K654" s="44">
        <f>AVERAGEIF(продажи!$I$2:$I$1001,продажи!$I$2:$I$1001,продажи!$C$2:$C$1001)</f>
        <v>268.60344827586209</v>
      </c>
      <c r="L654" s="45">
        <f>продажи!$C654/продажи!$K654-1</f>
        <v>-0.568136594133128</v>
      </c>
      <c r="M654" s="33">
        <f t="shared" si="20"/>
        <v>2796</v>
      </c>
      <c r="N654" s="24">
        <f>Таблица1[[#This Row],[цена за шт в рублях]]/Таблица1[[#This Row],[средняя стоимость в категории по поставщику.]]-1</f>
        <v>-0.9585121602288984</v>
      </c>
      <c r="O654" s="26">
        <f>VLOOKUP(Таблица1[[#This Row],[id клиента]],клиенты!$A$2:$E$435,5,0)</f>
        <v>44805</v>
      </c>
      <c r="P654">
        <f>Таблица1[[#This Row],[дата создания чека]]-Таблица1[[#This Row],[Дата регистрации клента]]</f>
        <v>379</v>
      </c>
      <c r="Q654" s="26">
        <f t="shared" ca="1" si="21"/>
        <v>46059</v>
      </c>
      <c r="R654" s="51">
        <f ca="1">(TODAY()-Таблица1[[#This Row],[Дата регистрации клента]])/30</f>
        <v>41.8</v>
      </c>
      <c r="S654" s="63" t="str">
        <f>VLOOKUP(Таблица1[[#This Row],[id клиента]],Таблица8[[id клиента]:[Страна]],7,0)</f>
        <v>Узбекистан</v>
      </c>
      <c r="T654" s="26"/>
    </row>
    <row r="655" spans="1:20" ht="19.5" x14ac:dyDescent="0.4">
      <c r="A655" s="37">
        <v>654</v>
      </c>
      <c r="B655" s="31">
        <v>230</v>
      </c>
      <c r="C655" s="31">
        <v>453</v>
      </c>
      <c r="D655" s="31">
        <v>3</v>
      </c>
      <c r="E655" s="31">
        <v>1359</v>
      </c>
      <c r="F655" s="38">
        <v>45324</v>
      </c>
      <c r="G655" s="31" t="s">
        <v>27</v>
      </c>
      <c r="H655" s="31">
        <v>175</v>
      </c>
      <c r="I655" s="31" t="str">
        <f>VLOOKUP(продажи!$B655,товар!$A$1:$C$433,2)</f>
        <v>Сок</v>
      </c>
      <c r="J655" s="31" t="str">
        <f>VLOOKUP(B655,товар!$A$1:$C$433,3)</f>
        <v>Фруктовый сад</v>
      </c>
      <c r="K655" s="39">
        <f>AVERAGEIF(продажи!$I$2:$I$1001,продажи!$I$2:$I$1001,продажи!$C$2:$C$1001)</f>
        <v>268.60344827586209</v>
      </c>
      <c r="L655" s="40">
        <f>продажи!$C655/продажи!$K655-1</f>
        <v>0.68650105911804338</v>
      </c>
      <c r="M655" s="33">
        <f t="shared" si="20"/>
        <v>9023</v>
      </c>
      <c r="N655" s="24">
        <f>Таблица1[[#This Row],[цена за шт в рублях]]/Таблица1[[#This Row],[средняя стоимость в категории по поставщику.]]-1</f>
        <v>-0.94979496841405298</v>
      </c>
      <c r="O655" s="26">
        <f>VLOOKUP(Таблица1[[#This Row],[id клиента]],клиенты!$A$2:$E$435,5,0)</f>
        <v>44565</v>
      </c>
      <c r="P655">
        <f>Таблица1[[#This Row],[дата создания чека]]-Таблица1[[#This Row],[Дата регистрации клента]]</f>
        <v>759</v>
      </c>
      <c r="Q655" s="26">
        <f t="shared" ca="1" si="21"/>
        <v>46059</v>
      </c>
      <c r="R655" s="51">
        <f ca="1">(TODAY()-Таблица1[[#This Row],[Дата регистрации клента]])/30</f>
        <v>49.8</v>
      </c>
      <c r="S655" s="63" t="str">
        <f>VLOOKUP(Таблица1[[#This Row],[id клиента]],Таблица8[[id клиента]:[Страна]],7,0)</f>
        <v>Россия</v>
      </c>
      <c r="T655" s="26"/>
    </row>
    <row r="656" spans="1:20" ht="19.5" x14ac:dyDescent="0.4">
      <c r="A656" s="41">
        <v>655</v>
      </c>
      <c r="B656" s="42">
        <v>39</v>
      </c>
      <c r="C656" s="42">
        <v>375</v>
      </c>
      <c r="D656" s="42">
        <v>2</v>
      </c>
      <c r="E656" s="42">
        <v>750</v>
      </c>
      <c r="F656" s="43">
        <v>45289</v>
      </c>
      <c r="G656" s="42" t="s">
        <v>22</v>
      </c>
      <c r="H656" s="42">
        <v>366</v>
      </c>
      <c r="I656" s="42" t="str">
        <f>VLOOKUP(продажи!$B656,товар!$A$1:$C$433,2)</f>
        <v>Сыр</v>
      </c>
      <c r="J656" s="42" t="str">
        <f>VLOOKUP(B656,товар!$A$1:$C$433,3)</f>
        <v>Сырная долина</v>
      </c>
      <c r="K656" s="44">
        <f>AVERAGEIF(продажи!$I$2:$I$1001,продажи!$I$2:$I$1001,продажи!$C$2:$C$1001)</f>
        <v>261.03225806451616</v>
      </c>
      <c r="L656" s="45">
        <f>продажи!$C656/продажи!$K656-1</f>
        <v>0.43660405338606023</v>
      </c>
      <c r="M656" s="33">
        <f t="shared" si="20"/>
        <v>8943</v>
      </c>
      <c r="N656" s="24">
        <f>Таблица1[[#This Row],[цена за шт в рублях]]/Таблица1[[#This Row],[средняя стоимость в категории по поставщику.]]-1</f>
        <v>-0.95806776249580672</v>
      </c>
      <c r="O656" s="26">
        <f>VLOOKUP(Таблица1[[#This Row],[id клиента]],клиенты!$A$2:$E$435,5,0)</f>
        <v>44827</v>
      </c>
      <c r="P656">
        <f>Таблица1[[#This Row],[дата создания чека]]-Таблица1[[#This Row],[Дата регистрации клента]]</f>
        <v>462</v>
      </c>
      <c r="Q656" s="26">
        <f t="shared" ca="1" si="21"/>
        <v>46059</v>
      </c>
      <c r="R656" s="51">
        <f ca="1">(TODAY()-Таблица1[[#This Row],[Дата регистрации клента]])/30</f>
        <v>41.06666666666667</v>
      </c>
      <c r="S656" s="63" t="str">
        <f>VLOOKUP(Таблица1[[#This Row],[id клиента]],Таблица8[[id клиента]:[Страна]],7,0)</f>
        <v>Узбекистан</v>
      </c>
      <c r="T656" s="26"/>
    </row>
    <row r="657" spans="1:20" ht="19.5" x14ac:dyDescent="0.4">
      <c r="A657" s="37">
        <v>656</v>
      </c>
      <c r="B657" s="31">
        <v>481</v>
      </c>
      <c r="C657" s="31">
        <v>374</v>
      </c>
      <c r="D657" s="31">
        <v>5</v>
      </c>
      <c r="E657" s="31">
        <v>1870</v>
      </c>
      <c r="F657" s="38">
        <v>45099</v>
      </c>
      <c r="G657" s="31" t="s">
        <v>22</v>
      </c>
      <c r="H657" s="31">
        <v>254</v>
      </c>
      <c r="I657" s="31" t="str">
        <f>VLOOKUP(продажи!$B657,товар!$A$1:$C$433,2)</f>
        <v>Чипсы</v>
      </c>
      <c r="J657" s="31" t="str">
        <f>VLOOKUP(B657,товар!$A$1:$C$433,3)</f>
        <v>Pringles</v>
      </c>
      <c r="K657" s="39">
        <f>AVERAGEIF(продажи!$I$2:$I$1001,продажи!$I$2:$I$1001,продажи!$C$2:$C$1001)</f>
        <v>273.72549019607845</v>
      </c>
      <c r="L657" s="40">
        <f>продажи!$C657/продажи!$K657-1</f>
        <v>0.36633237822349551</v>
      </c>
      <c r="M657" s="33">
        <f t="shared" si="20"/>
        <v>5885</v>
      </c>
      <c r="N657" s="24">
        <f>Таблица1[[#This Row],[цена за шт в рублях]]/Таблица1[[#This Row],[средняя стоимость в категории по поставщику.]]-1</f>
        <v>-0.93644859813084114</v>
      </c>
      <c r="O657" s="26">
        <f>VLOOKUP(Таблица1[[#This Row],[id клиента]],клиенты!$A$2:$E$435,5,0)</f>
        <v>44862</v>
      </c>
      <c r="P657">
        <f>Таблица1[[#This Row],[дата создания чека]]-Таблица1[[#This Row],[Дата регистрации клента]]</f>
        <v>237</v>
      </c>
      <c r="Q657" s="26">
        <f t="shared" ca="1" si="21"/>
        <v>46059</v>
      </c>
      <c r="R657" s="51">
        <f ca="1">(TODAY()-Таблица1[[#This Row],[Дата регистрации клента]])/30</f>
        <v>39.9</v>
      </c>
      <c r="S657" s="63" t="str">
        <f>VLOOKUP(Таблица1[[#This Row],[id клиента]],Таблица8[[id клиента]:[Страна]],7,0)</f>
        <v>Беларусь</v>
      </c>
      <c r="T657" s="26"/>
    </row>
    <row r="658" spans="1:20" ht="19.5" x14ac:dyDescent="0.4">
      <c r="A658" s="41">
        <v>657</v>
      </c>
      <c r="B658" s="42">
        <v>438</v>
      </c>
      <c r="C658" s="42">
        <v>81</v>
      </c>
      <c r="D658" s="42">
        <v>4</v>
      </c>
      <c r="E658" s="42">
        <v>324</v>
      </c>
      <c r="F658" s="43">
        <v>45272</v>
      </c>
      <c r="G658" s="42" t="s">
        <v>24</v>
      </c>
      <c r="H658" s="42">
        <v>79</v>
      </c>
      <c r="I658" s="42" t="str">
        <f>VLOOKUP(продажи!$B658,товар!$A$1:$C$433,2)</f>
        <v>Кофе</v>
      </c>
      <c r="J658" s="42" t="str">
        <f>VLOOKUP(B658,товар!$A$1:$C$433,3)</f>
        <v>Nescafe</v>
      </c>
      <c r="K658" s="44">
        <f>AVERAGEIF(продажи!$I$2:$I$1001,продажи!$I$2:$I$1001,продажи!$C$2:$C$1001)</f>
        <v>249.02380952380952</v>
      </c>
      <c r="L658" s="45">
        <f>продажи!$C658/продажи!$K658-1</f>
        <v>-0.67472989769576441</v>
      </c>
      <c r="M658" s="33">
        <f t="shared" si="20"/>
        <v>2569</v>
      </c>
      <c r="N658" s="24">
        <f>Таблица1[[#This Row],[цена за шт в рублях]]/Таблица1[[#This Row],[средняя стоимость в категории по поставщику.]]-1</f>
        <v>-0.96847022187621645</v>
      </c>
      <c r="O658" s="26">
        <f>VLOOKUP(Таблица1[[#This Row],[id клиента]],клиенты!$A$2:$E$435,5,0)</f>
        <v>44716</v>
      </c>
      <c r="P658">
        <f>Таблица1[[#This Row],[дата создания чека]]-Таблица1[[#This Row],[Дата регистрации клента]]</f>
        <v>556</v>
      </c>
      <c r="Q658" s="26">
        <f t="shared" ca="1" si="21"/>
        <v>46059</v>
      </c>
      <c r="R658" s="51">
        <f ca="1">(TODAY()-Таблица1[[#This Row],[Дата регистрации клента]])/30</f>
        <v>44.766666666666666</v>
      </c>
      <c r="S658" s="63" t="str">
        <f>VLOOKUP(Таблица1[[#This Row],[id клиента]],Таблица8[[id клиента]:[Страна]],7,0)</f>
        <v>Таджикистан</v>
      </c>
      <c r="T658" s="26"/>
    </row>
    <row r="659" spans="1:20" ht="19.5" x14ac:dyDescent="0.4">
      <c r="A659" s="37">
        <v>658</v>
      </c>
      <c r="B659" s="31">
        <v>316</v>
      </c>
      <c r="C659" s="31">
        <v>428</v>
      </c>
      <c r="D659" s="31">
        <v>3</v>
      </c>
      <c r="E659" s="31">
        <v>1284</v>
      </c>
      <c r="F659" s="38">
        <v>45387</v>
      </c>
      <c r="G659" s="31" t="s">
        <v>12</v>
      </c>
      <c r="H659" s="31">
        <v>70</v>
      </c>
      <c r="I659" s="31" t="str">
        <f>VLOOKUP(продажи!$B659,товар!$A$1:$C$433,2)</f>
        <v>Макароны</v>
      </c>
      <c r="J659" s="31" t="str">
        <f>VLOOKUP(B659,товар!$A$1:$C$433,3)</f>
        <v>Борилла</v>
      </c>
      <c r="K659" s="39">
        <f>AVERAGEIF(продажи!$I$2:$I$1001,продажи!$I$2:$I$1001,продажи!$C$2:$C$1001)</f>
        <v>265.47674418604652</v>
      </c>
      <c r="L659" s="40">
        <f>продажи!$C659/продажи!$K659-1</f>
        <v>0.61219394682668304</v>
      </c>
      <c r="M659" s="33">
        <f t="shared" si="20"/>
        <v>6852</v>
      </c>
      <c r="N659" s="24">
        <f>Таблица1[[#This Row],[цена за шт в рублях]]/Таблица1[[#This Row],[средняя стоимость в категории по поставщику.]]-1</f>
        <v>-0.9375364856976065</v>
      </c>
      <c r="O659" s="26">
        <f>VLOOKUP(Таблица1[[#This Row],[id клиента]],клиенты!$A$2:$E$435,5,0)</f>
        <v>44591</v>
      </c>
      <c r="P659">
        <f>Таблица1[[#This Row],[дата создания чека]]-Таблица1[[#This Row],[Дата регистрации клента]]</f>
        <v>796</v>
      </c>
      <c r="Q659" s="26">
        <f t="shared" ca="1" si="21"/>
        <v>46059</v>
      </c>
      <c r="R659" s="51">
        <f ca="1">(TODAY()-Таблица1[[#This Row],[Дата регистрации клента]])/30</f>
        <v>48.93333333333333</v>
      </c>
      <c r="S659" s="63" t="str">
        <f>VLOOKUP(Таблица1[[#This Row],[id клиента]],Таблица8[[id клиента]:[Страна]],7,0)</f>
        <v>Украина</v>
      </c>
      <c r="T659" s="26"/>
    </row>
    <row r="660" spans="1:20" ht="19.5" x14ac:dyDescent="0.4">
      <c r="A660" s="41">
        <v>659</v>
      </c>
      <c r="B660" s="42">
        <v>174</v>
      </c>
      <c r="C660" s="42">
        <v>456</v>
      </c>
      <c r="D660" s="42">
        <v>3</v>
      </c>
      <c r="E660" s="42">
        <v>1368</v>
      </c>
      <c r="F660" s="43">
        <v>45282</v>
      </c>
      <c r="G660" s="42" t="s">
        <v>23</v>
      </c>
      <c r="H660" s="42">
        <v>76</v>
      </c>
      <c r="I660" s="42" t="str">
        <f>VLOOKUP(продажи!$B660,товар!$A$1:$C$433,2)</f>
        <v>Чай</v>
      </c>
      <c r="J660" s="42" t="str">
        <f>VLOOKUP(B660,товар!$A$1:$C$433,3)</f>
        <v>Ахмад</v>
      </c>
      <c r="K660" s="44">
        <f>AVERAGEIF(продажи!$I$2:$I$1001,продажи!$I$2:$I$1001,продажи!$C$2:$C$1001)</f>
        <v>271.18181818181819</v>
      </c>
      <c r="L660" s="45">
        <f>продажи!$C660/продажи!$K660-1</f>
        <v>0.68152866242038224</v>
      </c>
      <c r="M660" s="33">
        <f t="shared" si="20"/>
        <v>2433</v>
      </c>
      <c r="N660" s="24">
        <f>Таблица1[[#This Row],[цена за шт в рублях]]/Таблица1[[#This Row],[средняя стоимость в категории по поставщику.]]-1</f>
        <v>-0.81257706535141794</v>
      </c>
      <c r="O660" s="26">
        <f>VLOOKUP(Таблица1[[#This Row],[id клиента]],клиенты!$A$2:$E$435,5,0)</f>
        <v>44575</v>
      </c>
      <c r="P660">
        <f>Таблица1[[#This Row],[дата создания чека]]-Таблица1[[#This Row],[Дата регистрации клента]]</f>
        <v>707</v>
      </c>
      <c r="Q660" s="26">
        <f t="shared" ca="1" si="21"/>
        <v>46059</v>
      </c>
      <c r="R660" s="51">
        <f ca="1">(TODAY()-Таблица1[[#This Row],[Дата регистрации клента]])/30</f>
        <v>49.466666666666669</v>
      </c>
      <c r="S660" s="63" t="str">
        <f>VLOOKUP(Таблица1[[#This Row],[id клиента]],Таблица8[[id клиента]:[Страна]],7,0)</f>
        <v>Беларусь</v>
      </c>
      <c r="T660" s="26"/>
    </row>
    <row r="661" spans="1:20" ht="19.5" x14ac:dyDescent="0.4">
      <c r="A661" s="37">
        <v>660</v>
      </c>
      <c r="B661" s="31">
        <v>228</v>
      </c>
      <c r="C661" s="31">
        <v>247</v>
      </c>
      <c r="D661" s="31">
        <v>4</v>
      </c>
      <c r="E661" s="31">
        <v>988</v>
      </c>
      <c r="F661" s="38">
        <v>45415</v>
      </c>
      <c r="G661" s="31" t="s">
        <v>19</v>
      </c>
      <c r="H661" s="31">
        <v>147</v>
      </c>
      <c r="I661" s="31" t="str">
        <f>VLOOKUP(продажи!$B661,товар!$A$1:$C$433,2)</f>
        <v>Рис</v>
      </c>
      <c r="J661" s="31" t="str">
        <f>VLOOKUP(B661,товар!$A$1:$C$433,3)</f>
        <v>Мистраль</v>
      </c>
      <c r="K661" s="39">
        <f>AVERAGEIF(продажи!$I$2:$I$1001,продажи!$I$2:$I$1001,продажи!$C$2:$C$1001)</f>
        <v>258.375</v>
      </c>
      <c r="L661" s="40">
        <f>продажи!$C661/продажи!$K661-1</f>
        <v>-4.4025157232704393E-2</v>
      </c>
      <c r="M661" s="33">
        <f t="shared" si="20"/>
        <v>1271</v>
      </c>
      <c r="N661" s="24">
        <f>Таблица1[[#This Row],[цена за шт в рублях]]/Таблица1[[#This Row],[средняя стоимость в категории по поставщику.]]-1</f>
        <v>-0.8056648308418568</v>
      </c>
      <c r="O661" s="26">
        <f>VLOOKUP(Таблица1[[#This Row],[id клиента]],клиенты!$A$2:$E$435,5,0)</f>
        <v>44827</v>
      </c>
      <c r="P661">
        <f>Таблица1[[#This Row],[дата создания чека]]-Таблица1[[#This Row],[Дата регистрации клента]]</f>
        <v>588</v>
      </c>
      <c r="Q661" s="26">
        <f t="shared" ca="1" si="21"/>
        <v>46059</v>
      </c>
      <c r="R661" s="51">
        <f ca="1">(TODAY()-Таблица1[[#This Row],[Дата регистрации клента]])/30</f>
        <v>41.06666666666667</v>
      </c>
      <c r="S661" s="63" t="str">
        <f>VLOOKUP(Таблица1[[#This Row],[id клиента]],Таблица8[[id клиента]:[Страна]],7,0)</f>
        <v>Россия</v>
      </c>
      <c r="T661" s="26"/>
    </row>
    <row r="662" spans="1:20" ht="19.5" x14ac:dyDescent="0.4">
      <c r="A662" s="41">
        <v>661</v>
      </c>
      <c r="B662" s="42">
        <v>269</v>
      </c>
      <c r="C662" s="42">
        <v>455</v>
      </c>
      <c r="D662" s="42">
        <v>5</v>
      </c>
      <c r="E662" s="42">
        <v>2275</v>
      </c>
      <c r="F662" s="43">
        <v>45104</v>
      </c>
      <c r="G662" s="42" t="s">
        <v>11</v>
      </c>
      <c r="H662" s="42">
        <v>345</v>
      </c>
      <c r="I662" s="42" t="str">
        <f>VLOOKUP(продажи!$B662,товар!$A$1:$C$433,2)</f>
        <v>Сахар</v>
      </c>
      <c r="J662" s="42" t="str">
        <f>VLOOKUP(B662,товар!$A$1:$C$433,3)</f>
        <v>Русский сахар</v>
      </c>
      <c r="K662" s="44">
        <f>AVERAGEIF(продажи!$I$2:$I$1001,продажи!$I$2:$I$1001,продажи!$C$2:$C$1001)</f>
        <v>254.58333333333334</v>
      </c>
      <c r="L662" s="45">
        <f>продажи!$C662/продажи!$K662-1</f>
        <v>0.7872340425531914</v>
      </c>
      <c r="M662" s="33">
        <f t="shared" si="20"/>
        <v>4988</v>
      </c>
      <c r="N662" s="24">
        <f>Таблица1[[#This Row],[цена за шт в рублях]]/Таблица1[[#This Row],[средняя стоимость в категории по поставщику.]]-1</f>
        <v>-0.9087810745789896</v>
      </c>
      <c r="O662" s="26">
        <f>VLOOKUP(Таблица1[[#This Row],[id клиента]],клиенты!$A$2:$E$435,5,0)</f>
        <v>44705</v>
      </c>
      <c r="P662">
        <f>Таблица1[[#This Row],[дата создания чека]]-Таблица1[[#This Row],[Дата регистрации клента]]</f>
        <v>399</v>
      </c>
      <c r="Q662" s="26">
        <f t="shared" ca="1" si="21"/>
        <v>46059</v>
      </c>
      <c r="R662" s="51">
        <f ca="1">(TODAY()-Таблица1[[#This Row],[Дата регистрации клента]])/30</f>
        <v>45.133333333333333</v>
      </c>
      <c r="S662" s="63" t="str">
        <f>VLOOKUP(Таблица1[[#This Row],[id клиента]],Таблица8[[id клиента]:[Страна]],7,0)</f>
        <v>Беларусь</v>
      </c>
      <c r="T662" s="26"/>
    </row>
    <row r="663" spans="1:20" ht="19.5" x14ac:dyDescent="0.4">
      <c r="A663" s="37">
        <v>662</v>
      </c>
      <c r="B663" s="31">
        <v>461</v>
      </c>
      <c r="C663" s="31">
        <v>388</v>
      </c>
      <c r="D663" s="31">
        <v>4</v>
      </c>
      <c r="E663" s="31">
        <v>1552</v>
      </c>
      <c r="F663" s="38">
        <v>45293</v>
      </c>
      <c r="G663" s="31" t="s">
        <v>21</v>
      </c>
      <c r="H663" s="31">
        <v>303</v>
      </c>
      <c r="I663" s="31" t="str">
        <f>VLOOKUP(продажи!$B663,товар!$A$1:$C$433,2)</f>
        <v>Фрукты</v>
      </c>
      <c r="J663" s="31" t="str">
        <f>VLOOKUP(B663,товар!$A$1:$C$433,3)</f>
        <v>Green Garden</v>
      </c>
      <c r="K663" s="39">
        <f>AVERAGEIF(продажи!$I$2:$I$1001,продажи!$I$2:$I$1001,продажи!$C$2:$C$1001)</f>
        <v>274.16279069767444</v>
      </c>
      <c r="L663" s="40">
        <f>продажи!$C663/продажи!$K663-1</f>
        <v>0.41521757570616669</v>
      </c>
      <c r="M663" s="33">
        <f t="shared" si="20"/>
        <v>1846</v>
      </c>
      <c r="N663" s="24">
        <f>Таблица1[[#This Row],[цена за шт в рублях]]/Таблица1[[#This Row],[средняя стоимость в категории по поставщику.]]-1</f>
        <v>-0.78981581798483202</v>
      </c>
      <c r="O663" s="26">
        <f>VLOOKUP(Таблица1[[#This Row],[id клиента]],клиенты!$A$2:$E$435,5,0)</f>
        <v>44689</v>
      </c>
      <c r="P663">
        <f>Таблица1[[#This Row],[дата создания чека]]-Таблица1[[#This Row],[Дата регистрации клента]]</f>
        <v>604</v>
      </c>
      <c r="Q663" s="26">
        <f t="shared" ca="1" si="21"/>
        <v>46059</v>
      </c>
      <c r="R663" s="51">
        <f ca="1">(TODAY()-Таблица1[[#This Row],[Дата регистрации клента]])/30</f>
        <v>45.666666666666664</v>
      </c>
      <c r="S663" s="63" t="str">
        <f>VLOOKUP(Таблица1[[#This Row],[id клиента]],Таблица8[[id клиента]:[Страна]],7,0)</f>
        <v>Узбекистан</v>
      </c>
      <c r="T663" s="26"/>
    </row>
    <row r="664" spans="1:20" ht="19.5" x14ac:dyDescent="0.4">
      <c r="A664" s="41">
        <v>499</v>
      </c>
      <c r="B664" s="42">
        <v>396</v>
      </c>
      <c r="C664" s="42">
        <v>482</v>
      </c>
      <c r="D664" s="42">
        <v>2</v>
      </c>
      <c r="E664" s="42">
        <v>964</v>
      </c>
      <c r="F664" s="58">
        <v>45408</v>
      </c>
      <c r="G664" s="42" t="s">
        <v>20</v>
      </c>
      <c r="H664" s="56">
        <v>362</v>
      </c>
      <c r="I664" s="42" t="str">
        <f>VLOOKUP(продажи!$B500,товар!$A$1:$C$433,2)</f>
        <v>Молоко</v>
      </c>
      <c r="J664" s="42" t="str">
        <f>VLOOKUP(B664,товар!$A$1:$C$433,3)</f>
        <v>Домик в деревне</v>
      </c>
      <c r="K664" s="44">
        <f>AVERAGEIF(продажи!$I$2:$I$1001,продажи!$I$2:$I$1001,продажи!$C$2:$C$1001)</f>
        <v>294.95238095238096</v>
      </c>
      <c r="L664" s="45">
        <f>продажи!$C500/продажи!$K500-1</f>
        <v>-0.21004197610590902</v>
      </c>
      <c r="M664" s="53">
        <f t="shared" si="20"/>
        <v>4946</v>
      </c>
      <c r="N664" s="24">
        <f>Таблица1[[#This Row],[цена за шт в рублях]]/Таблица1[[#This Row],[средняя стоимость в категории по поставщику.]]-1</f>
        <v>-0.90254751314193293</v>
      </c>
      <c r="O664" s="26">
        <f>VLOOKUP(Таблица1[[#This Row],[id клиента]],клиенты!$A$2:$E$435,5,0)</f>
        <v>44916</v>
      </c>
      <c r="P664">
        <f>Таблица1[[#This Row],[дата создания чека]]-Таблица1[[#This Row],[Дата регистрации клента]]</f>
        <v>492</v>
      </c>
      <c r="Q664" s="26">
        <f t="shared" ca="1" si="21"/>
        <v>46059</v>
      </c>
      <c r="R664" s="51">
        <f ca="1">(TODAY()-Таблица1[[#This Row],[Дата регистрации клента]])/30</f>
        <v>38.1</v>
      </c>
      <c r="S664" s="63" t="str">
        <f>VLOOKUP(Таблица1[[#This Row],[id клиента]],Таблица8[[id клиента]:[Страна]],7,0)</f>
        <v>Россия</v>
      </c>
      <c r="T664" s="26"/>
    </row>
    <row r="665" spans="1:20" ht="19.5" x14ac:dyDescent="0.4">
      <c r="A665" s="37">
        <v>664</v>
      </c>
      <c r="B665" s="31">
        <v>386</v>
      </c>
      <c r="C665" s="31">
        <v>295</v>
      </c>
      <c r="D665" s="31">
        <v>3</v>
      </c>
      <c r="E665" s="31">
        <v>885</v>
      </c>
      <c r="F665" s="38">
        <v>45194</v>
      </c>
      <c r="G665" s="31" t="s">
        <v>19</v>
      </c>
      <c r="H665" s="31">
        <v>25</v>
      </c>
      <c r="I665" s="31" t="str">
        <f>VLOOKUP(продажи!$B665,товар!$A$1:$C$433,2)</f>
        <v>Крупа</v>
      </c>
      <c r="J665" s="31" t="str">
        <f>VLOOKUP(B665,товар!$A$1:$C$433,3)</f>
        <v>Увелка</v>
      </c>
      <c r="K665" s="39">
        <f>AVERAGEIF(продажи!$I$2:$I$1001,продажи!$I$2:$I$1001,продажи!$C$2:$C$1001)</f>
        <v>255.11627906976744</v>
      </c>
      <c r="L665" s="40">
        <f>продажи!$C665/продажи!$K665-1</f>
        <v>0.15633546034639934</v>
      </c>
      <c r="M665" s="33">
        <f t="shared" si="20"/>
        <v>3023</v>
      </c>
      <c r="N665" s="24">
        <f>Таблица1[[#This Row],[цена за шт в рублях]]/Таблица1[[#This Row],[средняя стоимость в категории по поставщику.]]-1</f>
        <v>-0.9024148197155144</v>
      </c>
      <c r="O665" s="26">
        <f>VLOOKUP(Таблица1[[#This Row],[id клиента]],клиенты!$A$2:$E$435,5,0)</f>
        <v>44582</v>
      </c>
      <c r="P665">
        <f>Таблица1[[#This Row],[дата создания чека]]-Таблица1[[#This Row],[Дата регистрации клента]]</f>
        <v>612</v>
      </c>
      <c r="Q665" s="26">
        <f t="shared" ca="1" si="21"/>
        <v>46059</v>
      </c>
      <c r="R665" s="51">
        <f ca="1">(TODAY()-Таблица1[[#This Row],[Дата регистрации клента]])/30</f>
        <v>49.233333333333334</v>
      </c>
      <c r="S665" s="63" t="str">
        <f>VLOOKUP(Таблица1[[#This Row],[id клиента]],Таблица8[[id клиента]:[Страна]],7,0)</f>
        <v>Таджикистан</v>
      </c>
      <c r="T665" s="26"/>
    </row>
    <row r="666" spans="1:20" ht="19.5" x14ac:dyDescent="0.4">
      <c r="A666" s="41">
        <v>665</v>
      </c>
      <c r="B666" s="42">
        <v>452</v>
      </c>
      <c r="C666" s="42">
        <v>226</v>
      </c>
      <c r="D666" s="42">
        <v>4</v>
      </c>
      <c r="E666" s="42">
        <v>904</v>
      </c>
      <c r="F666" s="43">
        <v>45153</v>
      </c>
      <c r="G666" s="42" t="s">
        <v>27</v>
      </c>
      <c r="H666" s="42">
        <v>33</v>
      </c>
      <c r="I666" s="42" t="str">
        <f>VLOOKUP(продажи!$B666,товар!$A$1:$C$433,2)</f>
        <v>Фрукты</v>
      </c>
      <c r="J666" s="42" t="str">
        <f>VLOOKUP(B666,товар!$A$1:$C$433,3)</f>
        <v>Экзотик</v>
      </c>
      <c r="K666" s="44">
        <f>AVERAGEIF(продажи!$I$2:$I$1001,продажи!$I$2:$I$1001,продажи!$C$2:$C$1001)</f>
        <v>274.16279069767444</v>
      </c>
      <c r="L666" s="45">
        <f>продажи!$C666/продажи!$K666-1</f>
        <v>-0.17567223683094413</v>
      </c>
      <c r="M666" s="33">
        <f t="shared" si="20"/>
        <v>4059</v>
      </c>
      <c r="N666" s="24">
        <f>Таблица1[[#This Row],[цена за шт в рублях]]/Таблица1[[#This Row],[средняя стоимость в категории по поставщику.]]-1</f>
        <v>-0.94432126139443218</v>
      </c>
      <c r="O666" s="26">
        <f>VLOOKUP(Таблица1[[#This Row],[id клиента]],клиенты!$A$2:$E$435,5,0)</f>
        <v>44730</v>
      </c>
      <c r="P666">
        <f>Таблица1[[#This Row],[дата создания чека]]-Таблица1[[#This Row],[Дата регистрации клента]]</f>
        <v>423</v>
      </c>
      <c r="Q666" s="26">
        <f t="shared" ca="1" si="21"/>
        <v>46059</v>
      </c>
      <c r="R666" s="51">
        <f ca="1">(TODAY()-Таблица1[[#This Row],[Дата регистрации клента]])/30</f>
        <v>44.3</v>
      </c>
      <c r="S666" s="63" t="str">
        <f>VLOOKUP(Таблица1[[#This Row],[id клиента]],Таблица8[[id клиента]:[Страна]],7,0)</f>
        <v>Россия</v>
      </c>
      <c r="T666" s="26"/>
    </row>
    <row r="667" spans="1:20" ht="19.5" x14ac:dyDescent="0.4">
      <c r="A667" s="37">
        <v>666</v>
      </c>
      <c r="B667" s="31">
        <v>37</v>
      </c>
      <c r="C667" s="31">
        <v>411</v>
      </c>
      <c r="D667" s="31">
        <v>5</v>
      </c>
      <c r="E667" s="31">
        <v>2055</v>
      </c>
      <c r="F667" s="38">
        <v>45140</v>
      </c>
      <c r="G667" s="31" t="s">
        <v>21</v>
      </c>
      <c r="H667" s="31">
        <v>7</v>
      </c>
      <c r="I667" s="31" t="str">
        <f>VLOOKUP(продажи!$B667,товар!$A$1:$C$433,2)</f>
        <v>Соль</v>
      </c>
      <c r="J667" s="31" t="str">
        <f>VLOOKUP(B667,товар!$A$1:$C$433,3)</f>
        <v>Илецкая</v>
      </c>
      <c r="K667" s="39">
        <f>AVERAGEIF(продажи!$I$2:$I$1001,продажи!$I$2:$I$1001,продажи!$C$2:$C$1001)</f>
        <v>264.8679245283019</v>
      </c>
      <c r="L667" s="40">
        <f>продажи!$C667/продажи!$K667-1</f>
        <v>0.55171676877048004</v>
      </c>
      <c r="M667" s="33">
        <f t="shared" si="20"/>
        <v>4287</v>
      </c>
      <c r="N667" s="24">
        <f>Таблица1[[#This Row],[цена за шт в рублях]]/Таблица1[[#This Row],[средняя стоимость в категории по поставщику.]]-1</f>
        <v>-0.90412876137158849</v>
      </c>
      <c r="O667" s="26">
        <f>VLOOKUP(Таблица1[[#This Row],[id клиента]],клиенты!$A$2:$E$435,5,0)</f>
        <v>44893</v>
      </c>
      <c r="P667">
        <f>Таблица1[[#This Row],[дата создания чека]]-Таблица1[[#This Row],[Дата регистрации клента]]</f>
        <v>247</v>
      </c>
      <c r="Q667" s="26">
        <f t="shared" ca="1" si="21"/>
        <v>46059</v>
      </c>
      <c r="R667" s="51">
        <f ca="1">(TODAY()-Таблица1[[#This Row],[Дата регистрации клента]])/30</f>
        <v>38.866666666666667</v>
      </c>
      <c r="S667" s="63" t="str">
        <f>VLOOKUP(Таблица1[[#This Row],[id клиента]],Таблица8[[id клиента]:[Страна]],7,0)</f>
        <v>Россия</v>
      </c>
      <c r="T667" s="26"/>
    </row>
    <row r="668" spans="1:20" ht="19.5" x14ac:dyDescent="0.4">
      <c r="A668" s="41">
        <v>667</v>
      </c>
      <c r="B668" s="42">
        <v>27</v>
      </c>
      <c r="C668" s="42">
        <v>301</v>
      </c>
      <c r="D668" s="42">
        <v>1</v>
      </c>
      <c r="E668" s="42">
        <v>301</v>
      </c>
      <c r="F668" s="43">
        <v>44931</v>
      </c>
      <c r="G668" s="42" t="s">
        <v>22</v>
      </c>
      <c r="H668" s="42">
        <v>494</v>
      </c>
      <c r="I668" s="42" t="str">
        <f>VLOOKUP(продажи!$B668,товар!$A$1:$C$433,2)</f>
        <v>Макароны</v>
      </c>
      <c r="J668" s="42" t="str">
        <f>VLOOKUP(B668,товар!$A$1:$C$433,3)</f>
        <v>Паста Зара</v>
      </c>
      <c r="K668" s="44">
        <f>AVERAGEIF(продажи!$I$2:$I$1001,продажи!$I$2:$I$1001,продажи!$C$2:$C$1001)</f>
        <v>265.47674418604652</v>
      </c>
      <c r="L668" s="45">
        <f>продажи!$C668/продажи!$K668-1</f>
        <v>0.13380929438044764</v>
      </c>
      <c r="M668" s="33">
        <f t="shared" si="20"/>
        <v>10237</v>
      </c>
      <c r="N668" s="24">
        <f>Таблица1[[#This Row],[цена за шт в рублях]]/Таблица1[[#This Row],[средняя стоимость в категории по поставщику.]]-1</f>
        <v>-0.97059685454723066</v>
      </c>
      <c r="O668" s="26">
        <f>VLOOKUP(Таблица1[[#This Row],[id клиента]],клиенты!$A$2:$E$435,5,0)</f>
        <v>44738</v>
      </c>
      <c r="P668">
        <f>Таблица1[[#This Row],[дата создания чека]]-Таблица1[[#This Row],[Дата регистрации клента]]</f>
        <v>193</v>
      </c>
      <c r="Q668" s="26">
        <f t="shared" ca="1" si="21"/>
        <v>46059</v>
      </c>
      <c r="R668" s="51">
        <f ca="1">(TODAY()-Таблица1[[#This Row],[Дата регистрации клента]])/30</f>
        <v>44.033333333333331</v>
      </c>
      <c r="S668" s="63" t="str">
        <f>VLOOKUP(Таблица1[[#This Row],[id клиента]],Таблица8[[id клиента]:[Страна]],7,0)</f>
        <v>Беларусь</v>
      </c>
      <c r="T668" s="26"/>
    </row>
    <row r="669" spans="1:20" ht="19.5" x14ac:dyDescent="0.4">
      <c r="A669" s="37">
        <v>668</v>
      </c>
      <c r="B669" s="31">
        <v>435</v>
      </c>
      <c r="C669" s="31">
        <v>452</v>
      </c>
      <c r="D669" s="31">
        <v>4</v>
      </c>
      <c r="E669" s="31">
        <v>1808</v>
      </c>
      <c r="F669" s="38">
        <v>44927</v>
      </c>
      <c r="G669" s="31" t="s">
        <v>13</v>
      </c>
      <c r="H669" s="31">
        <v>420</v>
      </c>
      <c r="I669" s="31" t="str">
        <f>VLOOKUP(продажи!$B669,товар!$A$1:$C$433,2)</f>
        <v>Мясо</v>
      </c>
      <c r="J669" s="31" t="str">
        <f>VLOOKUP(B669,товар!$A$1:$C$433,3)</f>
        <v>Снежана</v>
      </c>
      <c r="K669" s="39">
        <f>AVERAGEIF(продажи!$I$2:$I$1001,продажи!$I$2:$I$1001,продажи!$C$2:$C$1001)</f>
        <v>271.74545454545455</v>
      </c>
      <c r="L669" s="40">
        <f>продажи!$C669/продажи!$K669-1</f>
        <v>0.66332128997725137</v>
      </c>
      <c r="M669" s="33">
        <f t="shared" si="20"/>
        <v>4630</v>
      </c>
      <c r="N669" s="24">
        <f>Таблица1[[#This Row],[цена за шт в рублях]]/Таблица1[[#This Row],[средняя стоимость в категории по поставщику.]]-1</f>
        <v>-0.90237580993520516</v>
      </c>
      <c r="O669" s="26">
        <f>VLOOKUP(Таблица1[[#This Row],[id клиента]],клиенты!$A$2:$E$435,5,0)</f>
        <v>44698</v>
      </c>
      <c r="P669">
        <f>Таблица1[[#This Row],[дата создания чека]]-Таблица1[[#This Row],[Дата регистрации клента]]</f>
        <v>229</v>
      </c>
      <c r="Q669" s="26">
        <f t="shared" ca="1" si="21"/>
        <v>46059</v>
      </c>
      <c r="R669" s="51">
        <f ca="1">(TODAY()-Таблица1[[#This Row],[Дата регистрации клента]])/30</f>
        <v>45.366666666666667</v>
      </c>
      <c r="S669" s="63" t="str">
        <f>VLOOKUP(Таблица1[[#This Row],[id клиента]],Таблица8[[id клиента]:[Страна]],7,0)</f>
        <v>Украина</v>
      </c>
      <c r="T669" s="26"/>
    </row>
    <row r="670" spans="1:20" ht="19.5" x14ac:dyDescent="0.4">
      <c r="A670" s="41">
        <v>669</v>
      </c>
      <c r="B670" s="42">
        <v>101</v>
      </c>
      <c r="C670" s="42">
        <v>293</v>
      </c>
      <c r="D670" s="42">
        <v>1</v>
      </c>
      <c r="E670" s="42">
        <v>293</v>
      </c>
      <c r="F670" s="43">
        <v>45165</v>
      </c>
      <c r="G670" s="42" t="s">
        <v>22</v>
      </c>
      <c r="H670" s="42">
        <v>75</v>
      </c>
      <c r="I670" s="42" t="str">
        <f>VLOOKUP(продажи!$B670,товар!$A$1:$C$433,2)</f>
        <v>Чай</v>
      </c>
      <c r="J670" s="42" t="str">
        <f>VLOOKUP(B670,товар!$A$1:$C$433,3)</f>
        <v>Ахмад</v>
      </c>
      <c r="K670" s="44">
        <f>AVERAGEIF(продажи!$I$2:$I$1001,продажи!$I$2:$I$1001,продажи!$C$2:$C$1001)</f>
        <v>271.18181818181819</v>
      </c>
      <c r="L670" s="45">
        <f>продажи!$C670/продажи!$K670-1</f>
        <v>8.0455916862219201E-2</v>
      </c>
      <c r="M670" s="33">
        <f t="shared" si="20"/>
        <v>2433</v>
      </c>
      <c r="N670" s="24">
        <f>Таблица1[[#This Row],[цена за шт в рублях]]/Таблица1[[#This Row],[средняя стоимость в категории по поставщику.]]-1</f>
        <v>-0.87957254418413477</v>
      </c>
      <c r="O670" s="26">
        <f>VLOOKUP(Таблица1[[#This Row],[id клиента]],клиенты!$A$2:$E$435,5,0)</f>
        <v>44796</v>
      </c>
      <c r="P670">
        <f>Таблица1[[#This Row],[дата создания чека]]-Таблица1[[#This Row],[Дата регистрации клента]]</f>
        <v>369</v>
      </c>
      <c r="Q670" s="26">
        <f t="shared" ca="1" si="21"/>
        <v>46059</v>
      </c>
      <c r="R670" s="51">
        <f ca="1">(TODAY()-Таблица1[[#This Row],[Дата регистрации клента]])/30</f>
        <v>42.1</v>
      </c>
      <c r="S670" s="63" t="str">
        <f>VLOOKUP(Таблица1[[#This Row],[id клиента]],Таблица8[[id клиента]:[Страна]],7,0)</f>
        <v>Украина</v>
      </c>
      <c r="T670" s="26"/>
    </row>
    <row r="671" spans="1:20" ht="19.5" x14ac:dyDescent="0.4">
      <c r="A671" s="37">
        <v>670</v>
      </c>
      <c r="B671" s="31">
        <v>423</v>
      </c>
      <c r="C671" s="31">
        <v>382</v>
      </c>
      <c r="D671" s="31">
        <v>2</v>
      </c>
      <c r="E671" s="31">
        <v>764</v>
      </c>
      <c r="F671" s="38">
        <v>45283</v>
      </c>
      <c r="G671" s="31" t="s">
        <v>16</v>
      </c>
      <c r="H671" s="31">
        <v>83</v>
      </c>
      <c r="I671" s="31" t="str">
        <f>VLOOKUP(продажи!$B671,товар!$A$1:$C$433,2)</f>
        <v>Чипсы</v>
      </c>
      <c r="J671" s="31" t="str">
        <f>VLOOKUP(B671,товар!$A$1:$C$433,3)</f>
        <v>Pringles</v>
      </c>
      <c r="K671" s="39">
        <f>AVERAGEIF(продажи!$I$2:$I$1001,продажи!$I$2:$I$1001,продажи!$C$2:$C$1001)</f>
        <v>273.72549019607845</v>
      </c>
      <c r="L671" s="40">
        <f>продажи!$C671/продажи!$K671-1</f>
        <v>0.39555873925501417</v>
      </c>
      <c r="M671" s="33">
        <f t="shared" si="20"/>
        <v>5885</v>
      </c>
      <c r="N671" s="24">
        <f>Таблица1[[#This Row],[цена за шт в рублях]]/Таблица1[[#This Row],[средняя стоимость в категории по поставщику.]]-1</f>
        <v>-0.93508920985556498</v>
      </c>
      <c r="O671" s="26">
        <f>VLOOKUP(Таблица1[[#This Row],[id клиента]],клиенты!$A$2:$E$435,5,0)</f>
        <v>44739</v>
      </c>
      <c r="P671">
        <f>Таблица1[[#This Row],[дата создания чека]]-Таблица1[[#This Row],[Дата регистрации клента]]</f>
        <v>544</v>
      </c>
      <c r="Q671" s="26">
        <f t="shared" ca="1" si="21"/>
        <v>46059</v>
      </c>
      <c r="R671" s="51">
        <f ca="1">(TODAY()-Таблица1[[#This Row],[Дата регистрации клента]])/30</f>
        <v>44</v>
      </c>
      <c r="S671" s="63" t="str">
        <f>VLOOKUP(Таблица1[[#This Row],[id клиента]],Таблица8[[id клиента]:[Страна]],7,0)</f>
        <v>Таджикистан</v>
      </c>
      <c r="T671" s="26"/>
    </row>
    <row r="672" spans="1:20" ht="19.5" x14ac:dyDescent="0.4">
      <c r="A672" s="41">
        <v>671</v>
      </c>
      <c r="B672" s="42">
        <v>411</v>
      </c>
      <c r="C672" s="42">
        <v>158</v>
      </c>
      <c r="D672" s="42">
        <v>3</v>
      </c>
      <c r="E672" s="42">
        <v>474</v>
      </c>
      <c r="F672" s="43">
        <v>45070</v>
      </c>
      <c r="G672" s="42" t="s">
        <v>16</v>
      </c>
      <c r="H672" s="42">
        <v>109</v>
      </c>
      <c r="I672" s="42" t="str">
        <f>VLOOKUP(продажи!$B672,товар!$A$1:$C$433,2)</f>
        <v>Хлеб</v>
      </c>
      <c r="J672" s="42" t="str">
        <f>VLOOKUP(B672,товар!$A$1:$C$433,3)</f>
        <v>Хлебный Дом</v>
      </c>
      <c r="K672" s="44">
        <f>AVERAGEIF(продажи!$I$2:$I$1001,продажи!$I$2:$I$1001,продажи!$C$2:$C$1001)</f>
        <v>300.31818181818181</v>
      </c>
      <c r="L672" s="45">
        <f>продажи!$C672/продажи!$K672-1</f>
        <v>-0.47389132738005146</v>
      </c>
      <c r="M672" s="33">
        <f t="shared" si="20"/>
        <v>4226</v>
      </c>
      <c r="N672" s="24">
        <f>Таблица1[[#This Row],[цена за шт в рублях]]/Таблица1[[#This Row],[средняя стоимость в категории по поставщику.]]-1</f>
        <v>-0.9626123994320871</v>
      </c>
      <c r="O672" s="26">
        <f>VLOOKUP(Таблица1[[#This Row],[id клиента]],клиенты!$A$2:$E$435,5,0)</f>
        <v>44732</v>
      </c>
      <c r="P672">
        <f>Таблица1[[#This Row],[дата создания чека]]-Таблица1[[#This Row],[Дата регистрации клента]]</f>
        <v>338</v>
      </c>
      <c r="Q672" s="26">
        <f t="shared" ca="1" si="21"/>
        <v>46059</v>
      </c>
      <c r="R672" s="51">
        <f ca="1">(TODAY()-Таблица1[[#This Row],[Дата регистрации клента]])/30</f>
        <v>44.233333333333334</v>
      </c>
      <c r="S672" s="63" t="str">
        <f>VLOOKUP(Таблица1[[#This Row],[id клиента]],Таблица8[[id клиента]:[Страна]],7,0)</f>
        <v>Украина</v>
      </c>
      <c r="T672" s="26"/>
    </row>
    <row r="673" spans="1:20" ht="19.5" x14ac:dyDescent="0.4">
      <c r="A673" s="37">
        <v>672</v>
      </c>
      <c r="B673" s="31">
        <v>381</v>
      </c>
      <c r="C673" s="31">
        <v>296</v>
      </c>
      <c r="D673" s="31">
        <v>4</v>
      </c>
      <c r="E673" s="31">
        <v>1184</v>
      </c>
      <c r="F673" s="38">
        <v>45106</v>
      </c>
      <c r="G673" s="31" t="s">
        <v>20</v>
      </c>
      <c r="H673" s="31">
        <v>465</v>
      </c>
      <c r="I673" s="31" t="str">
        <f>VLOOKUP(продажи!$B673,товар!$A$1:$C$433,2)</f>
        <v>Рыба</v>
      </c>
      <c r="J673" s="31" t="str">
        <f>VLOOKUP(B673,товар!$A$1:$C$433,3)</f>
        <v>Русское море</v>
      </c>
      <c r="K673" s="39">
        <f>AVERAGEIF(продажи!$I$2:$I$1001,продажи!$I$2:$I$1001,продажи!$C$2:$C$1001)</f>
        <v>258.5128205128205</v>
      </c>
      <c r="L673" s="40">
        <f>продажи!$C673/продажи!$K673-1</f>
        <v>0.14501091053362436</v>
      </c>
      <c r="M673" s="33">
        <f t="shared" si="20"/>
        <v>878</v>
      </c>
      <c r="N673" s="24">
        <f>Таблица1[[#This Row],[цена за шт в рублях]]/Таблица1[[#This Row],[средняя стоимость в категории по поставщику.]]-1</f>
        <v>-0.66287015945330297</v>
      </c>
      <c r="O673" s="26">
        <f>VLOOKUP(Таблица1[[#This Row],[id клиента]],клиенты!$A$2:$E$435,5,0)</f>
        <v>44671</v>
      </c>
      <c r="P673">
        <f>Таблица1[[#This Row],[дата создания чека]]-Таблица1[[#This Row],[Дата регистрации клента]]</f>
        <v>435</v>
      </c>
      <c r="Q673" s="26">
        <f t="shared" ca="1" si="21"/>
        <v>46059</v>
      </c>
      <c r="R673" s="51">
        <f ca="1">(TODAY()-Таблица1[[#This Row],[Дата регистрации клента]])/30</f>
        <v>46.266666666666666</v>
      </c>
      <c r="S673" s="63" t="str">
        <f>VLOOKUP(Таблица1[[#This Row],[id клиента]],Таблица8[[id клиента]:[Страна]],7,0)</f>
        <v>Узбекистан</v>
      </c>
      <c r="T673" s="26"/>
    </row>
    <row r="674" spans="1:20" ht="19.5" x14ac:dyDescent="0.4">
      <c r="A674" s="37">
        <v>220</v>
      </c>
      <c r="B674" s="31">
        <v>498</v>
      </c>
      <c r="C674" s="31">
        <v>472</v>
      </c>
      <c r="D674" s="31">
        <v>5</v>
      </c>
      <c r="E674" s="31">
        <v>2360</v>
      </c>
      <c r="F674" s="57">
        <v>45195</v>
      </c>
      <c r="G674" s="31" t="s">
        <v>17</v>
      </c>
      <c r="H674" s="55">
        <v>171</v>
      </c>
      <c r="I674" s="31" t="str">
        <f>VLOOKUP(продажи!$B221,товар!$A$1:$C$433,2)</f>
        <v>Молоко</v>
      </c>
      <c r="J674" s="31" t="str">
        <f>VLOOKUP(B674,товар!$A$1:$C$433,3)</f>
        <v>Домик в деревне</v>
      </c>
      <c r="K674" s="39">
        <f>AVERAGEIF(продажи!$I$2:$I$1001,продажи!$I$2:$I$1001,продажи!$C$2:$C$1001)</f>
        <v>294.95238095238096</v>
      </c>
      <c r="L674" s="40">
        <f>продажи!$C221/продажи!$K221-1</f>
        <v>-0.22360348724572165</v>
      </c>
      <c r="M674" s="53">
        <f t="shared" si="20"/>
        <v>4946</v>
      </c>
      <c r="N674" s="24">
        <f>Таблица1[[#This Row],[цена за шт в рублях]]/Таблица1[[#This Row],[средняя стоимость в категории по поставщику.]]-1</f>
        <v>-0.90456934896886376</v>
      </c>
      <c r="O674" s="26">
        <f>VLOOKUP(Таблица1[[#This Row],[id клиента]],клиенты!$A$2:$E$435,5,0)</f>
        <v>44710</v>
      </c>
      <c r="P674">
        <f>Таблица1[[#This Row],[дата создания чека]]-Таблица1[[#This Row],[Дата регистрации клента]]</f>
        <v>485</v>
      </c>
      <c r="Q674" s="26">
        <f t="shared" ca="1" si="21"/>
        <v>46059</v>
      </c>
      <c r="R674" s="51">
        <f ca="1">(TODAY()-Таблица1[[#This Row],[Дата регистрации клента]])/30</f>
        <v>44.966666666666669</v>
      </c>
      <c r="S674" s="63" t="str">
        <f>VLOOKUP(Таблица1[[#This Row],[id клиента]],Таблица8[[id клиента]:[Страна]],7,0)</f>
        <v>Россия</v>
      </c>
      <c r="T674" s="26"/>
    </row>
    <row r="675" spans="1:20" ht="19.5" x14ac:dyDescent="0.4">
      <c r="A675" s="37">
        <v>674</v>
      </c>
      <c r="B675" s="31">
        <v>389</v>
      </c>
      <c r="C675" s="31">
        <v>155</v>
      </c>
      <c r="D675" s="31">
        <v>4</v>
      </c>
      <c r="E675" s="31">
        <v>620</v>
      </c>
      <c r="F675" s="38">
        <v>45412</v>
      </c>
      <c r="G675" s="31" t="s">
        <v>27</v>
      </c>
      <c r="H675" s="31">
        <v>376</v>
      </c>
      <c r="I675" s="31" t="str">
        <f>VLOOKUP(продажи!$B675,товар!$A$1:$C$433,2)</f>
        <v>Чай</v>
      </c>
      <c r="J675" s="31" t="str">
        <f>VLOOKUP(B675,товар!$A$1:$C$433,3)</f>
        <v>Ахмад</v>
      </c>
      <c r="K675" s="39">
        <f>AVERAGEIF(продажи!$I$2:$I$1001,продажи!$I$2:$I$1001,продажи!$C$2:$C$1001)</f>
        <v>271.18181818181819</v>
      </c>
      <c r="L675" s="40">
        <f>продажи!$C675/продажи!$K675-1</f>
        <v>-0.42842775729131743</v>
      </c>
      <c r="M675" s="33">
        <f t="shared" si="20"/>
        <v>2433</v>
      </c>
      <c r="N675" s="24">
        <f>Таблица1[[#This Row],[цена за шт в рублях]]/Таблица1[[#This Row],[средняя стоимость в категории по поставщику.]]-1</f>
        <v>-0.93629264282778468</v>
      </c>
      <c r="O675" s="26">
        <f>VLOOKUP(Таблица1[[#This Row],[id клиента]],клиенты!$A$2:$E$435,5,0)</f>
        <v>44730</v>
      </c>
      <c r="P675">
        <f>Таблица1[[#This Row],[дата создания чека]]-Таблица1[[#This Row],[Дата регистрации клента]]</f>
        <v>682</v>
      </c>
      <c r="Q675" s="26">
        <f t="shared" ca="1" si="21"/>
        <v>46059</v>
      </c>
      <c r="R675" s="51">
        <f ca="1">(TODAY()-Таблица1[[#This Row],[Дата регистрации клента]])/30</f>
        <v>44.3</v>
      </c>
      <c r="S675" s="63" t="str">
        <f>VLOOKUP(Таблица1[[#This Row],[id клиента]],Таблица8[[id клиента]:[Страна]],7,0)</f>
        <v>Беларусь</v>
      </c>
      <c r="T675" s="26"/>
    </row>
    <row r="676" spans="1:20" ht="19.5" x14ac:dyDescent="0.4">
      <c r="A676" s="41">
        <v>675</v>
      </c>
      <c r="B676" s="42">
        <v>227</v>
      </c>
      <c r="C676" s="42">
        <v>300</v>
      </c>
      <c r="D676" s="42">
        <v>4</v>
      </c>
      <c r="E676" s="42">
        <v>1200</v>
      </c>
      <c r="F676" s="43">
        <v>44991</v>
      </c>
      <c r="G676" s="42" t="s">
        <v>16</v>
      </c>
      <c r="H676" s="42">
        <v>88</v>
      </c>
      <c r="I676" s="42" t="str">
        <f>VLOOKUP(продажи!$B676,товар!$A$1:$C$433,2)</f>
        <v>Макароны</v>
      </c>
      <c r="J676" s="42" t="str">
        <f>VLOOKUP(B676,товар!$A$1:$C$433,3)</f>
        <v>Макфа</v>
      </c>
      <c r="K676" s="44">
        <f>AVERAGEIF(продажи!$I$2:$I$1001,продажи!$I$2:$I$1001,продажи!$C$2:$C$1001)</f>
        <v>265.47674418604652</v>
      </c>
      <c r="L676" s="45">
        <f>продажи!$C676/продажи!$K676-1</f>
        <v>0.13004248609346947</v>
      </c>
      <c r="M676" s="33">
        <f t="shared" si="20"/>
        <v>3622</v>
      </c>
      <c r="N676" s="24">
        <f>Таблица1[[#This Row],[цена за шт в рублях]]/Таблица1[[#This Row],[средняя стоимость в категории по поставщику.]]-1</f>
        <v>-0.91717283268912198</v>
      </c>
      <c r="O676" s="26">
        <f>VLOOKUP(Таблица1[[#This Row],[id клиента]],клиенты!$A$2:$E$435,5,0)</f>
        <v>44630</v>
      </c>
      <c r="P676">
        <f>Таблица1[[#This Row],[дата создания чека]]-Таблица1[[#This Row],[Дата регистрации клента]]</f>
        <v>361</v>
      </c>
      <c r="Q676" s="26">
        <f t="shared" ca="1" si="21"/>
        <v>46059</v>
      </c>
      <c r="R676" s="51">
        <f ca="1">(TODAY()-Таблица1[[#This Row],[Дата регистрации клента]])/30</f>
        <v>47.633333333333333</v>
      </c>
      <c r="S676" s="63" t="str">
        <f>VLOOKUP(Таблица1[[#This Row],[id клиента]],Таблица8[[id клиента]:[Страна]],7,0)</f>
        <v>Украина</v>
      </c>
      <c r="T676" s="26"/>
    </row>
    <row r="677" spans="1:20" ht="19.5" x14ac:dyDescent="0.4">
      <c r="A677" s="37">
        <v>676</v>
      </c>
      <c r="B677" s="31">
        <v>243</v>
      </c>
      <c r="C677" s="31">
        <v>371</v>
      </c>
      <c r="D677" s="31">
        <v>3</v>
      </c>
      <c r="E677" s="31">
        <v>1113</v>
      </c>
      <c r="F677" s="38">
        <v>45081</v>
      </c>
      <c r="G677" s="31" t="s">
        <v>9</v>
      </c>
      <c r="H677" s="31">
        <v>352</v>
      </c>
      <c r="I677" s="31" t="str">
        <f>VLOOKUP(продажи!$B677,товар!$A$1:$C$433,2)</f>
        <v>Рис</v>
      </c>
      <c r="J677" s="31" t="str">
        <f>VLOOKUP(B677,товар!$A$1:$C$433,3)</f>
        <v>Белый Злат</v>
      </c>
      <c r="K677" s="39">
        <f>AVERAGEIF(продажи!$I$2:$I$1001,продажи!$I$2:$I$1001,продажи!$C$2:$C$1001)</f>
        <v>258.375</v>
      </c>
      <c r="L677" s="40">
        <f>продажи!$C677/продажи!$K677-1</f>
        <v>0.4358974358974359</v>
      </c>
      <c r="M677" s="33">
        <f t="shared" si="20"/>
        <v>4585</v>
      </c>
      <c r="N677" s="24">
        <f>Таблица1[[#This Row],[цена за шт в рублях]]/Таблица1[[#This Row],[средняя стоимость в категории по поставщику.]]-1</f>
        <v>-0.91908396946564885</v>
      </c>
      <c r="O677" s="26">
        <f>VLOOKUP(Таблица1[[#This Row],[id клиента]],клиенты!$A$2:$E$435,5,0)</f>
        <v>44573</v>
      </c>
      <c r="P677">
        <f>Таблица1[[#This Row],[дата создания чека]]-Таблица1[[#This Row],[Дата регистрации клента]]</f>
        <v>508</v>
      </c>
      <c r="Q677" s="26">
        <f t="shared" ca="1" si="21"/>
        <v>46059</v>
      </c>
      <c r="R677" s="51">
        <f ca="1">(TODAY()-Таблица1[[#This Row],[Дата регистрации клента]])/30</f>
        <v>49.533333333333331</v>
      </c>
      <c r="S677" s="63" t="str">
        <f>VLOOKUP(Таблица1[[#This Row],[id клиента]],Таблица8[[id клиента]:[Страна]],7,0)</f>
        <v>Россия</v>
      </c>
      <c r="T677" s="26"/>
    </row>
    <row r="678" spans="1:20" ht="19.5" x14ac:dyDescent="0.4">
      <c r="A678" s="41">
        <v>677</v>
      </c>
      <c r="B678" s="42">
        <v>187</v>
      </c>
      <c r="C678" s="42">
        <v>273</v>
      </c>
      <c r="D678" s="42">
        <v>3</v>
      </c>
      <c r="E678" s="42">
        <v>819</v>
      </c>
      <c r="F678" s="43">
        <v>44980</v>
      </c>
      <c r="G678" s="42" t="s">
        <v>24</v>
      </c>
      <c r="H678" s="42">
        <v>452</v>
      </c>
      <c r="I678" s="42" t="str">
        <f>VLOOKUP(продажи!$B678,товар!$A$1:$C$433,2)</f>
        <v>Макароны</v>
      </c>
      <c r="J678" s="42" t="str">
        <f>VLOOKUP(B678,товар!$A$1:$C$433,3)</f>
        <v>Паста Зара</v>
      </c>
      <c r="K678" s="44">
        <f>AVERAGEIF(продажи!$I$2:$I$1001,продажи!$I$2:$I$1001,продажи!$C$2:$C$1001)</f>
        <v>265.47674418604652</v>
      </c>
      <c r="L678" s="45">
        <f>продажи!$C678/продажи!$K678-1</f>
        <v>2.8338662345057219E-2</v>
      </c>
      <c r="M678" s="33">
        <f t="shared" si="20"/>
        <v>10237</v>
      </c>
      <c r="N678" s="24">
        <f>Таблица1[[#This Row],[цена за шт в рублях]]/Таблица1[[#This Row],[средняя стоимость в категории по поставщику.]]-1</f>
        <v>-0.97333203086841846</v>
      </c>
      <c r="O678" s="26">
        <f>VLOOKUP(Таблица1[[#This Row],[id клиента]],клиенты!$A$2:$E$435,5,0)</f>
        <v>44769</v>
      </c>
      <c r="P678">
        <f>Таблица1[[#This Row],[дата создания чека]]-Таблица1[[#This Row],[Дата регистрации клента]]</f>
        <v>211</v>
      </c>
      <c r="Q678" s="26">
        <f t="shared" ca="1" si="21"/>
        <v>46059</v>
      </c>
      <c r="R678" s="51">
        <f ca="1">(TODAY()-Таблица1[[#This Row],[Дата регистрации клента]])/30</f>
        <v>43</v>
      </c>
      <c r="S678" s="63" t="str">
        <f>VLOOKUP(Таблица1[[#This Row],[id клиента]],Таблица8[[id клиента]:[Страна]],7,0)</f>
        <v>Россия</v>
      </c>
      <c r="T678" s="26"/>
    </row>
    <row r="679" spans="1:20" ht="19.5" x14ac:dyDescent="0.4">
      <c r="A679" s="37">
        <v>678</v>
      </c>
      <c r="B679" s="31">
        <v>441</v>
      </c>
      <c r="C679" s="31">
        <v>147</v>
      </c>
      <c r="D679" s="31">
        <v>3</v>
      </c>
      <c r="E679" s="31">
        <v>441</v>
      </c>
      <c r="F679" s="38">
        <v>45117</v>
      </c>
      <c r="G679" s="31" t="s">
        <v>17</v>
      </c>
      <c r="H679" s="31">
        <v>449</v>
      </c>
      <c r="I679" s="31" t="str">
        <f>VLOOKUP(продажи!$B679,товар!$A$1:$C$433,2)</f>
        <v>Чай</v>
      </c>
      <c r="J679" s="31" t="str">
        <f>VLOOKUP(B679,товар!$A$1:$C$433,3)</f>
        <v>Lipton</v>
      </c>
      <c r="K679" s="39">
        <f>AVERAGEIF(продажи!$I$2:$I$1001,продажи!$I$2:$I$1001,продажи!$C$2:$C$1001)</f>
        <v>271.18181818181819</v>
      </c>
      <c r="L679" s="40">
        <f>продажи!$C679/продажи!$K679-1</f>
        <v>-0.4579282601407979</v>
      </c>
      <c r="M679" s="33">
        <f t="shared" si="20"/>
        <v>4943</v>
      </c>
      <c r="N679" s="24">
        <f>Таблица1[[#This Row],[цена за шт в рублях]]/Таблица1[[#This Row],[средняя стоимость в категории по поставщику.]]-1</f>
        <v>-0.97026097511632614</v>
      </c>
      <c r="O679" s="26">
        <f>VLOOKUP(Таблица1[[#This Row],[id клиента]],клиенты!$A$2:$E$435,5,0)</f>
        <v>44645</v>
      </c>
      <c r="P679">
        <f>Таблица1[[#This Row],[дата создания чека]]-Таблица1[[#This Row],[Дата регистрации клента]]</f>
        <v>472</v>
      </c>
      <c r="Q679" s="26">
        <f t="shared" ca="1" si="21"/>
        <v>46059</v>
      </c>
      <c r="R679" s="51">
        <f ca="1">(TODAY()-Таблица1[[#This Row],[Дата регистрации клента]])/30</f>
        <v>47.133333333333333</v>
      </c>
      <c r="S679" s="63" t="str">
        <f>VLOOKUP(Таблица1[[#This Row],[id клиента]],Таблица8[[id клиента]:[Страна]],7,0)</f>
        <v>Таджикистан</v>
      </c>
      <c r="T679" s="26"/>
    </row>
    <row r="680" spans="1:20" ht="19.5" x14ac:dyDescent="0.4">
      <c r="A680" s="41">
        <v>679</v>
      </c>
      <c r="B680" s="42">
        <v>446</v>
      </c>
      <c r="C680" s="42">
        <v>440</v>
      </c>
      <c r="D680" s="42">
        <v>5</v>
      </c>
      <c r="E680" s="42">
        <v>2200</v>
      </c>
      <c r="F680" s="43">
        <v>45394</v>
      </c>
      <c r="G680" s="42" t="s">
        <v>24</v>
      </c>
      <c r="H680" s="42">
        <v>197</v>
      </c>
      <c r="I680" s="42" t="str">
        <f>VLOOKUP(продажи!$B680,товар!$A$1:$C$433,2)</f>
        <v>Чипсы</v>
      </c>
      <c r="J680" s="42" t="str">
        <f>VLOOKUP(B680,товар!$A$1:$C$433,3)</f>
        <v>Lay's</v>
      </c>
      <c r="K680" s="44">
        <f>AVERAGEIF(продажи!$I$2:$I$1001,продажи!$I$2:$I$1001,продажи!$C$2:$C$1001)</f>
        <v>273.72549019607845</v>
      </c>
      <c r="L680" s="45">
        <f>продажи!$C680/продажи!$K680-1</f>
        <v>0.60744985673352425</v>
      </c>
      <c r="M680" s="33">
        <f t="shared" si="20"/>
        <v>2244</v>
      </c>
      <c r="N680" s="24">
        <f>Таблица1[[#This Row],[цена за шт в рублях]]/Таблица1[[#This Row],[средняя стоимость в категории по поставщику.]]-1</f>
        <v>-0.80392156862745101</v>
      </c>
      <c r="O680" s="26">
        <f>VLOOKUP(Таблица1[[#This Row],[id клиента]],клиенты!$A$2:$E$435,5,0)</f>
        <v>44785</v>
      </c>
      <c r="P680">
        <f>Таблица1[[#This Row],[дата создания чека]]-Таблица1[[#This Row],[Дата регистрации клента]]</f>
        <v>609</v>
      </c>
      <c r="Q680" s="26">
        <f t="shared" ca="1" si="21"/>
        <v>46059</v>
      </c>
      <c r="R680" s="51">
        <f ca="1">(TODAY()-Таблица1[[#This Row],[Дата регистрации клента]])/30</f>
        <v>42.466666666666669</v>
      </c>
      <c r="S680" s="63" t="str">
        <f>VLOOKUP(Таблица1[[#This Row],[id клиента]],Таблица8[[id клиента]:[Страна]],7,0)</f>
        <v>Украина</v>
      </c>
      <c r="T680" s="26"/>
    </row>
    <row r="681" spans="1:20" ht="19.5" x14ac:dyDescent="0.4">
      <c r="A681" s="37">
        <v>680</v>
      </c>
      <c r="B681" s="31">
        <v>55</v>
      </c>
      <c r="C681" s="31">
        <v>227</v>
      </c>
      <c r="D681" s="31">
        <v>4</v>
      </c>
      <c r="E681" s="31">
        <v>908</v>
      </c>
      <c r="F681" s="38">
        <v>45338</v>
      </c>
      <c r="G681" s="31" t="s">
        <v>8</v>
      </c>
      <c r="H681" s="31">
        <v>70</v>
      </c>
      <c r="I681" s="31" t="str">
        <f>VLOOKUP(продажи!$B681,товар!$A$1:$C$433,2)</f>
        <v>Крупа</v>
      </c>
      <c r="J681" s="31" t="str">
        <f>VLOOKUP(B681,товар!$A$1:$C$433,3)</f>
        <v>Националь</v>
      </c>
      <c r="K681" s="39">
        <f>AVERAGEIF(продажи!$I$2:$I$1001,продажи!$I$2:$I$1001,продажи!$C$2:$C$1001)</f>
        <v>255.11627906976744</v>
      </c>
      <c r="L681" s="40">
        <f>продажи!$C681/продажи!$K681-1</f>
        <v>-0.11020966271649957</v>
      </c>
      <c r="M681" s="33">
        <f t="shared" si="20"/>
        <v>1920</v>
      </c>
      <c r="N681" s="24">
        <f>Таблица1[[#This Row],[цена за шт в рублях]]/Таблица1[[#This Row],[средняя стоимость в категории по поставщику.]]-1</f>
        <v>-0.88177083333333339</v>
      </c>
      <c r="O681" s="26">
        <f>VLOOKUP(Таблица1[[#This Row],[id клиента]],клиенты!$A$2:$E$435,5,0)</f>
        <v>44591</v>
      </c>
      <c r="P681">
        <f>Таблица1[[#This Row],[дата создания чека]]-Таблица1[[#This Row],[Дата регистрации клента]]</f>
        <v>747</v>
      </c>
      <c r="Q681" s="26">
        <f t="shared" ca="1" si="21"/>
        <v>46059</v>
      </c>
      <c r="R681" s="51">
        <f ca="1">(TODAY()-Таблица1[[#This Row],[Дата регистрации клента]])/30</f>
        <v>48.93333333333333</v>
      </c>
      <c r="S681" s="63" t="str">
        <f>VLOOKUP(Таблица1[[#This Row],[id клиента]],Таблица8[[id клиента]:[Страна]],7,0)</f>
        <v>Украина</v>
      </c>
      <c r="T681" s="26"/>
    </row>
    <row r="682" spans="1:20" ht="19.5" x14ac:dyDescent="0.4">
      <c r="A682" s="41">
        <v>681</v>
      </c>
      <c r="B682" s="42">
        <v>27</v>
      </c>
      <c r="C682" s="42">
        <v>415</v>
      </c>
      <c r="D682" s="42">
        <v>4</v>
      </c>
      <c r="E682" s="42">
        <v>1660</v>
      </c>
      <c r="F682" s="43">
        <v>45229</v>
      </c>
      <c r="G682" s="42" t="s">
        <v>25</v>
      </c>
      <c r="H682" s="42">
        <v>345</v>
      </c>
      <c r="I682" s="42" t="str">
        <f>VLOOKUP(продажи!$B682,товар!$A$1:$C$433,2)</f>
        <v>Макароны</v>
      </c>
      <c r="J682" s="42" t="str">
        <f>VLOOKUP(B682,товар!$A$1:$C$433,3)</f>
        <v>Паста Зара</v>
      </c>
      <c r="K682" s="44">
        <f>AVERAGEIF(продажи!$I$2:$I$1001,продажи!$I$2:$I$1001,продажи!$C$2:$C$1001)</f>
        <v>265.47674418604652</v>
      </c>
      <c r="L682" s="45">
        <f>продажи!$C682/продажи!$K682-1</f>
        <v>0.5632254390959659</v>
      </c>
      <c r="M682" s="33">
        <f t="shared" si="20"/>
        <v>10237</v>
      </c>
      <c r="N682" s="24">
        <f>Таблица1[[#This Row],[цена за шт в рублях]]/Таблица1[[#This Row],[средняя стоимость в категории по поставщику.]]-1</f>
        <v>-0.95946077952525155</v>
      </c>
      <c r="O682" s="26">
        <f>VLOOKUP(Таблица1[[#This Row],[id клиента]],клиенты!$A$2:$E$435,5,0)</f>
        <v>44705</v>
      </c>
      <c r="P682">
        <f>Таблица1[[#This Row],[дата создания чека]]-Таблица1[[#This Row],[Дата регистрации клента]]</f>
        <v>524</v>
      </c>
      <c r="Q682" s="26">
        <f t="shared" ca="1" si="21"/>
        <v>46059</v>
      </c>
      <c r="R682" s="51">
        <f ca="1">(TODAY()-Таблица1[[#This Row],[Дата регистрации клента]])/30</f>
        <v>45.133333333333333</v>
      </c>
      <c r="S682" s="63" t="str">
        <f>VLOOKUP(Таблица1[[#This Row],[id клиента]],Таблица8[[id клиента]:[Страна]],7,0)</f>
        <v>Беларусь</v>
      </c>
      <c r="T682" s="26"/>
    </row>
    <row r="683" spans="1:20" ht="19.5" x14ac:dyDescent="0.4">
      <c r="A683" s="37">
        <v>682</v>
      </c>
      <c r="B683" s="31">
        <v>110</v>
      </c>
      <c r="C683" s="31">
        <v>84</v>
      </c>
      <c r="D683" s="31">
        <v>5</v>
      </c>
      <c r="E683" s="31">
        <v>420</v>
      </c>
      <c r="F683" s="38">
        <v>45029</v>
      </c>
      <c r="G683" s="31" t="s">
        <v>13</v>
      </c>
      <c r="H683" s="31">
        <v>225</v>
      </c>
      <c r="I683" s="31" t="str">
        <f>VLOOKUP(продажи!$B683,товар!$A$1:$C$433,2)</f>
        <v>Макароны</v>
      </c>
      <c r="J683" s="31" t="str">
        <f>VLOOKUP(B683,товар!$A$1:$C$433,3)</f>
        <v>Паста Зара</v>
      </c>
      <c r="K683" s="39">
        <f>AVERAGEIF(продажи!$I$2:$I$1001,продажи!$I$2:$I$1001,продажи!$C$2:$C$1001)</f>
        <v>265.47674418604652</v>
      </c>
      <c r="L683" s="40">
        <f>продажи!$C683/продажи!$K683-1</f>
        <v>-0.68358810389382851</v>
      </c>
      <c r="M683" s="33">
        <f t="shared" si="20"/>
        <v>10237</v>
      </c>
      <c r="N683" s="24">
        <f>Таблица1[[#This Row],[цена за шт в рублях]]/Таблица1[[#This Row],[средняя стоимость в категории по поставщику.]]-1</f>
        <v>-0.99179447103643648</v>
      </c>
      <c r="O683" s="26">
        <f>VLOOKUP(Таблица1[[#This Row],[id клиента]],клиенты!$A$2:$E$435,5,0)</f>
        <v>44827</v>
      </c>
      <c r="P683">
        <f>Таблица1[[#This Row],[дата создания чека]]-Таблица1[[#This Row],[Дата регистрации клента]]</f>
        <v>202</v>
      </c>
      <c r="Q683" s="26">
        <f t="shared" ca="1" si="21"/>
        <v>46059</v>
      </c>
      <c r="R683" s="51">
        <f ca="1">(TODAY()-Таблица1[[#This Row],[Дата регистрации клента]])/30</f>
        <v>41.06666666666667</v>
      </c>
      <c r="S683" s="63" t="str">
        <f>VLOOKUP(Таблица1[[#This Row],[id клиента]],Таблица8[[id клиента]:[Страна]],7,0)</f>
        <v>Беларусь</v>
      </c>
      <c r="T683" s="26"/>
    </row>
    <row r="684" spans="1:20" ht="19.5" x14ac:dyDescent="0.4">
      <c r="A684" s="41">
        <v>683</v>
      </c>
      <c r="B684" s="42">
        <v>196</v>
      </c>
      <c r="C684" s="42">
        <v>196</v>
      </c>
      <c r="D684" s="42">
        <v>4</v>
      </c>
      <c r="E684" s="42">
        <v>784</v>
      </c>
      <c r="F684" s="43">
        <v>44944</v>
      </c>
      <c r="G684" s="42" t="s">
        <v>21</v>
      </c>
      <c r="H684" s="42">
        <v>8</v>
      </c>
      <c r="I684" s="42" t="str">
        <f>VLOOKUP(продажи!$B684,товар!$A$1:$C$433,2)</f>
        <v>Конфеты</v>
      </c>
      <c r="J684" s="42" t="str">
        <f>VLOOKUP(B684,товар!$A$1:$C$433,3)</f>
        <v>Рот Фронт</v>
      </c>
      <c r="K684" s="44">
        <f>AVERAGEIF(продажи!$I$2:$I$1001,продажи!$I$2:$I$1001,продажи!$C$2:$C$1001)</f>
        <v>267.85483870967744</v>
      </c>
      <c r="L684" s="45">
        <f>продажи!$C684/продажи!$K684-1</f>
        <v>-0.26826037213223342</v>
      </c>
      <c r="M684" s="33">
        <f t="shared" si="20"/>
        <v>6053</v>
      </c>
      <c r="N684" s="24">
        <f>Таблица1[[#This Row],[цена за шт в рублях]]/Таблица1[[#This Row],[средняя стоимость в категории по поставщику.]]-1</f>
        <v>-0.96761936229968615</v>
      </c>
      <c r="O684" s="26">
        <f>VLOOKUP(Таблица1[[#This Row],[id клиента]],клиенты!$A$2:$E$435,5,0)</f>
        <v>44883</v>
      </c>
      <c r="P684">
        <f>Таблица1[[#This Row],[дата создания чека]]-Таблица1[[#This Row],[Дата регистрации клента]]</f>
        <v>61</v>
      </c>
      <c r="Q684" s="26">
        <f t="shared" ca="1" si="21"/>
        <v>46059</v>
      </c>
      <c r="R684" s="51">
        <f ca="1">(TODAY()-Таблица1[[#This Row],[Дата регистрации клента]])/30</f>
        <v>39.200000000000003</v>
      </c>
      <c r="S684" s="63" t="str">
        <f>VLOOKUP(Таблица1[[#This Row],[id клиента]],Таблица8[[id клиента]:[Страна]],7,0)</f>
        <v>Беларусь</v>
      </c>
      <c r="T684" s="26"/>
    </row>
    <row r="685" spans="1:20" ht="19.5" x14ac:dyDescent="0.4">
      <c r="A685" s="37">
        <v>684</v>
      </c>
      <c r="B685" s="31">
        <v>271</v>
      </c>
      <c r="C685" s="31">
        <v>123</v>
      </c>
      <c r="D685" s="31">
        <v>2</v>
      </c>
      <c r="E685" s="31">
        <v>246</v>
      </c>
      <c r="F685" s="38">
        <v>45350</v>
      </c>
      <c r="G685" s="31" t="s">
        <v>11</v>
      </c>
      <c r="H685" s="31">
        <v>11</v>
      </c>
      <c r="I685" s="31" t="str">
        <f>VLOOKUP(продажи!$B685,товар!$A$1:$C$433,2)</f>
        <v>Сыр</v>
      </c>
      <c r="J685" s="31" t="str">
        <f>VLOOKUP(B685,товар!$A$1:$C$433,3)</f>
        <v>Сырная долина</v>
      </c>
      <c r="K685" s="39">
        <f>AVERAGEIF(продажи!$I$2:$I$1001,продажи!$I$2:$I$1001,продажи!$C$2:$C$1001)</f>
        <v>261.03225806451616</v>
      </c>
      <c r="L685" s="40">
        <f>продажи!$C685/продажи!$K685-1</f>
        <v>-0.52879387048937221</v>
      </c>
      <c r="M685" s="33">
        <f t="shared" si="20"/>
        <v>8943</v>
      </c>
      <c r="N685" s="24">
        <f>Таблица1[[#This Row],[цена за шт в рублях]]/Таблица1[[#This Row],[средняя стоимость в категории по поставщику.]]-1</f>
        <v>-0.98624622609862467</v>
      </c>
      <c r="O685" s="26">
        <f>VLOOKUP(Таблица1[[#This Row],[id клиента]],клиенты!$A$2:$E$435,5,0)</f>
        <v>44690</v>
      </c>
      <c r="P685">
        <f>Таблица1[[#This Row],[дата создания чека]]-Таблица1[[#This Row],[Дата регистрации клента]]</f>
        <v>660</v>
      </c>
      <c r="Q685" s="26">
        <f t="shared" ca="1" si="21"/>
        <v>46059</v>
      </c>
      <c r="R685" s="51">
        <f ca="1">(TODAY()-Таблица1[[#This Row],[Дата регистрации клента]])/30</f>
        <v>45.633333333333333</v>
      </c>
      <c r="S685" s="63" t="str">
        <f>VLOOKUP(Таблица1[[#This Row],[id клиента]],Таблица8[[id клиента]:[Страна]],7,0)</f>
        <v>Таджикистан</v>
      </c>
      <c r="T685" s="26"/>
    </row>
    <row r="686" spans="1:20" ht="19.5" x14ac:dyDescent="0.4">
      <c r="A686" s="41">
        <v>685</v>
      </c>
      <c r="B686" s="42">
        <v>189</v>
      </c>
      <c r="C686" s="42">
        <v>356</v>
      </c>
      <c r="D686" s="42">
        <v>1</v>
      </c>
      <c r="E686" s="42">
        <v>356</v>
      </c>
      <c r="F686" s="43">
        <v>45051</v>
      </c>
      <c r="G686" s="42" t="s">
        <v>24</v>
      </c>
      <c r="H686" s="42">
        <v>388</v>
      </c>
      <c r="I686" s="42" t="str">
        <f>VLOOKUP(продажи!$B686,товар!$A$1:$C$433,2)</f>
        <v>Хлеб</v>
      </c>
      <c r="J686" s="42" t="str">
        <f>VLOOKUP(B686,товар!$A$1:$C$433,3)</f>
        <v>Дарница</v>
      </c>
      <c r="K686" s="44">
        <f>AVERAGEIF(продажи!$I$2:$I$1001,продажи!$I$2:$I$1001,продажи!$C$2:$C$1001)</f>
        <v>300.31818181818181</v>
      </c>
      <c r="L686" s="45">
        <f>продажи!$C686/продажи!$K686-1</f>
        <v>0.18540941425760549</v>
      </c>
      <c r="M686" s="33">
        <f t="shared" si="20"/>
        <v>1848</v>
      </c>
      <c r="N686" s="24">
        <f>Таблица1[[#This Row],[цена за шт в рублях]]/Таблица1[[#This Row],[средняя стоимость в категории по поставщику.]]-1</f>
        <v>-0.80735930735930739</v>
      </c>
      <c r="O686" s="26">
        <f>VLOOKUP(Таблица1[[#This Row],[id клиента]],клиенты!$A$2:$E$435,5,0)</f>
        <v>44581</v>
      </c>
      <c r="P686">
        <f>Таблица1[[#This Row],[дата создания чека]]-Таблица1[[#This Row],[Дата регистрации клента]]</f>
        <v>470</v>
      </c>
      <c r="Q686" s="26">
        <f t="shared" ca="1" si="21"/>
        <v>46059</v>
      </c>
      <c r="R686" s="51">
        <f ca="1">(TODAY()-Таблица1[[#This Row],[Дата регистрации клента]])/30</f>
        <v>49.266666666666666</v>
      </c>
      <c r="S686" s="63" t="str">
        <f>VLOOKUP(Таблица1[[#This Row],[id клиента]],Таблица8[[id клиента]:[Страна]],7,0)</f>
        <v>Россия</v>
      </c>
      <c r="T686" s="26"/>
    </row>
    <row r="687" spans="1:20" ht="19.5" x14ac:dyDescent="0.4">
      <c r="A687" s="37">
        <v>686</v>
      </c>
      <c r="B687" s="31">
        <v>372</v>
      </c>
      <c r="C687" s="31">
        <v>166</v>
      </c>
      <c r="D687" s="31">
        <v>5</v>
      </c>
      <c r="E687" s="31">
        <v>830</v>
      </c>
      <c r="F687" s="38">
        <v>45431</v>
      </c>
      <c r="G687" s="31" t="s">
        <v>23</v>
      </c>
      <c r="H687" s="31">
        <v>40</v>
      </c>
      <c r="I687" s="31" t="str">
        <f>VLOOKUP(продажи!$B687,товар!$A$1:$C$433,2)</f>
        <v>Кофе</v>
      </c>
      <c r="J687" s="31" t="str">
        <f>VLOOKUP(B687,товар!$A$1:$C$433,3)</f>
        <v>Черная Карта</v>
      </c>
      <c r="K687" s="39">
        <f>AVERAGEIF(продажи!$I$2:$I$1001,продажи!$I$2:$I$1001,продажи!$C$2:$C$1001)</f>
        <v>249.02380952380952</v>
      </c>
      <c r="L687" s="40">
        <f>продажи!$C687/продажи!$K687-1</f>
        <v>-0.33339707429008503</v>
      </c>
      <c r="M687" s="33">
        <f t="shared" si="20"/>
        <v>2222</v>
      </c>
      <c r="N687" s="24">
        <f>Таблица1[[#This Row],[цена за шт в рублях]]/Таблица1[[#This Row],[средняя стоимость в категории по поставщику.]]-1</f>
        <v>-0.92529252925292527</v>
      </c>
      <c r="O687" s="26">
        <f>VLOOKUP(Таблица1[[#This Row],[id клиента]],клиенты!$A$2:$E$435,5,0)</f>
        <v>44855</v>
      </c>
      <c r="P687">
        <f>Таблица1[[#This Row],[дата создания чека]]-Таблица1[[#This Row],[Дата регистрации клента]]</f>
        <v>576</v>
      </c>
      <c r="Q687" s="26">
        <f t="shared" ca="1" si="21"/>
        <v>46059</v>
      </c>
      <c r="R687" s="51">
        <f ca="1">(TODAY()-Таблица1[[#This Row],[Дата регистрации клента]])/30</f>
        <v>40.133333333333333</v>
      </c>
      <c r="S687" s="63" t="str">
        <f>VLOOKUP(Таблица1[[#This Row],[id клиента]],Таблица8[[id клиента]:[Страна]],7,0)</f>
        <v>Россия</v>
      </c>
      <c r="T687" s="26"/>
    </row>
    <row r="688" spans="1:20" ht="19.5" x14ac:dyDescent="0.4">
      <c r="A688" s="41">
        <v>687</v>
      </c>
      <c r="B688" s="42">
        <v>205</v>
      </c>
      <c r="C688" s="42">
        <v>156</v>
      </c>
      <c r="D688" s="42">
        <v>4</v>
      </c>
      <c r="E688" s="42">
        <v>624</v>
      </c>
      <c r="F688" s="43">
        <v>45429</v>
      </c>
      <c r="G688" s="42" t="s">
        <v>12</v>
      </c>
      <c r="H688" s="42">
        <v>286</v>
      </c>
      <c r="I688" s="42" t="str">
        <f>VLOOKUP(продажи!$B688,товар!$A$1:$C$433,2)</f>
        <v>Макароны</v>
      </c>
      <c r="J688" s="42" t="str">
        <f>VLOOKUP(B688,товар!$A$1:$C$433,3)</f>
        <v>Борилла</v>
      </c>
      <c r="K688" s="44">
        <f>AVERAGEIF(продажи!$I$2:$I$1001,продажи!$I$2:$I$1001,продажи!$C$2:$C$1001)</f>
        <v>265.47674418604652</v>
      </c>
      <c r="L688" s="45">
        <f>продажи!$C688/продажи!$K688-1</f>
        <v>-0.41237790723139589</v>
      </c>
      <c r="M688" s="33">
        <f t="shared" si="20"/>
        <v>6852</v>
      </c>
      <c r="N688" s="24">
        <f>Таблица1[[#This Row],[цена за шт в рублях]]/Таблица1[[#This Row],[средняя стоимость в категории по поставщику.]]-1</f>
        <v>-0.97723292469352019</v>
      </c>
      <c r="O688" s="26">
        <f>VLOOKUP(Таблица1[[#This Row],[id клиента]],клиенты!$A$2:$E$435,5,0)</f>
        <v>44563</v>
      </c>
      <c r="P688">
        <f>Таблица1[[#This Row],[дата создания чека]]-Таблица1[[#This Row],[Дата регистрации клента]]</f>
        <v>866</v>
      </c>
      <c r="Q688" s="26">
        <f t="shared" ca="1" si="21"/>
        <v>46059</v>
      </c>
      <c r="R688" s="51">
        <f ca="1">(TODAY()-Таблица1[[#This Row],[Дата регистрации клента]])/30</f>
        <v>49.866666666666667</v>
      </c>
      <c r="S688" s="63" t="str">
        <f>VLOOKUP(Таблица1[[#This Row],[id клиента]],Таблица8[[id клиента]:[Страна]],7,0)</f>
        <v>Таджикистан</v>
      </c>
      <c r="T688" s="26"/>
    </row>
    <row r="689" spans="1:20" ht="19.5" x14ac:dyDescent="0.4">
      <c r="A689" s="37">
        <v>688</v>
      </c>
      <c r="B689" s="31">
        <v>187</v>
      </c>
      <c r="C689" s="31">
        <v>496</v>
      </c>
      <c r="D689" s="31">
        <v>4</v>
      </c>
      <c r="E689" s="31">
        <v>1984</v>
      </c>
      <c r="F689" s="38">
        <v>45315</v>
      </c>
      <c r="G689" s="31" t="s">
        <v>10</v>
      </c>
      <c r="H689" s="31">
        <v>448</v>
      </c>
      <c r="I689" s="31" t="str">
        <f>VLOOKUP(продажи!$B689,товар!$A$1:$C$433,2)</f>
        <v>Макароны</v>
      </c>
      <c r="J689" s="31" t="str">
        <f>VLOOKUP(B689,товар!$A$1:$C$433,3)</f>
        <v>Паста Зара</v>
      </c>
      <c r="K689" s="39">
        <f>AVERAGEIF(продажи!$I$2:$I$1001,продажи!$I$2:$I$1001,продажи!$C$2:$C$1001)</f>
        <v>265.47674418604652</v>
      </c>
      <c r="L689" s="40">
        <f>продажи!$C689/продажи!$K689-1</f>
        <v>0.86833691034120264</v>
      </c>
      <c r="M689" s="33">
        <f t="shared" si="20"/>
        <v>10237</v>
      </c>
      <c r="N689" s="24">
        <f>Таблица1[[#This Row],[цена за шт в рублях]]/Таблица1[[#This Row],[средняя стоимость в категории по поставщику.]]-1</f>
        <v>-0.95154830516752953</v>
      </c>
      <c r="O689" s="26">
        <f>VLOOKUP(Таблица1[[#This Row],[id клиента]],клиенты!$A$2:$E$435,5,0)</f>
        <v>44770</v>
      </c>
      <c r="P689">
        <f>Таблица1[[#This Row],[дата создания чека]]-Таблица1[[#This Row],[Дата регистрации клента]]</f>
        <v>545</v>
      </c>
      <c r="Q689" s="26">
        <f t="shared" ca="1" si="21"/>
        <v>46059</v>
      </c>
      <c r="R689" s="51">
        <f ca="1">(TODAY()-Таблица1[[#This Row],[Дата регистрации клента]])/30</f>
        <v>42.966666666666669</v>
      </c>
      <c r="S689" s="63" t="str">
        <f>VLOOKUP(Таблица1[[#This Row],[id клиента]],Таблица8[[id клиента]:[Страна]],7,0)</f>
        <v>Россия</v>
      </c>
      <c r="T689" s="26"/>
    </row>
    <row r="690" spans="1:20" ht="19.5" x14ac:dyDescent="0.4">
      <c r="A690" s="41">
        <v>689</v>
      </c>
      <c r="B690" s="42">
        <v>194</v>
      </c>
      <c r="C690" s="42">
        <v>257</v>
      </c>
      <c r="D690" s="42">
        <v>5</v>
      </c>
      <c r="E690" s="42">
        <v>1285</v>
      </c>
      <c r="F690" s="43">
        <v>45122</v>
      </c>
      <c r="G690" s="42" t="s">
        <v>9</v>
      </c>
      <c r="H690" s="42">
        <v>291</v>
      </c>
      <c r="I690" s="42" t="str">
        <f>VLOOKUP(продажи!$B690,товар!$A$1:$C$433,2)</f>
        <v>Соль</v>
      </c>
      <c r="J690" s="42" t="str">
        <f>VLOOKUP(B690,товар!$A$1:$C$433,3)</f>
        <v>Салта</v>
      </c>
      <c r="K690" s="44">
        <f>AVERAGEIF(продажи!$I$2:$I$1001,продажи!$I$2:$I$1001,продажи!$C$2:$C$1001)</f>
        <v>264.8679245283019</v>
      </c>
      <c r="L690" s="45">
        <f>продажи!$C690/продажи!$K690-1</f>
        <v>-2.9705086194614649E-2</v>
      </c>
      <c r="M690" s="33">
        <f t="shared" si="20"/>
        <v>2737</v>
      </c>
      <c r="N690" s="24">
        <f>Таблица1[[#This Row],[цена за шт в рублях]]/Таблица1[[#This Row],[средняя стоимость в категории по поставщику.]]-1</f>
        <v>-0.90610157106320788</v>
      </c>
      <c r="O690" s="26">
        <f>VLOOKUP(Таблица1[[#This Row],[id клиента]],клиенты!$A$2:$E$435,5,0)</f>
        <v>44710</v>
      </c>
      <c r="P690">
        <f>Таблица1[[#This Row],[дата создания чека]]-Таблица1[[#This Row],[Дата регистрации клента]]</f>
        <v>412</v>
      </c>
      <c r="Q690" s="26">
        <f t="shared" ca="1" si="21"/>
        <v>46059</v>
      </c>
      <c r="R690" s="51">
        <f ca="1">(TODAY()-Таблица1[[#This Row],[Дата регистрации клента]])/30</f>
        <v>44.966666666666669</v>
      </c>
      <c r="S690" s="63" t="str">
        <f>VLOOKUP(Таблица1[[#This Row],[id клиента]],Таблица8[[id клиента]:[Страна]],7,0)</f>
        <v>Таджикистан</v>
      </c>
      <c r="T690" s="26"/>
    </row>
    <row r="691" spans="1:20" ht="19.5" x14ac:dyDescent="0.4">
      <c r="A691" s="37">
        <v>690</v>
      </c>
      <c r="B691" s="31">
        <v>51</v>
      </c>
      <c r="C691" s="31">
        <v>476</v>
      </c>
      <c r="D691" s="31">
        <v>2</v>
      </c>
      <c r="E691" s="31">
        <v>952</v>
      </c>
      <c r="F691" s="38">
        <v>45020</v>
      </c>
      <c r="G691" s="31" t="s">
        <v>26</v>
      </c>
      <c r="H691" s="31">
        <v>480</v>
      </c>
      <c r="I691" s="31" t="str">
        <f>VLOOKUP(продажи!$B691,товар!$A$1:$C$433,2)</f>
        <v>Колбаса</v>
      </c>
      <c r="J691" s="31" t="str">
        <f>VLOOKUP(B691,товар!$A$1:$C$433,3)</f>
        <v>Дымов</v>
      </c>
      <c r="K691" s="39">
        <f>AVERAGEIF(продажи!$I$2:$I$1001,продажи!$I$2:$I$1001,продажи!$C$2:$C$1001)</f>
        <v>286.92307692307691</v>
      </c>
      <c r="L691" s="40">
        <f>продажи!$C691/продажи!$K691-1</f>
        <v>0.65898123324396796</v>
      </c>
      <c r="M691" s="33">
        <f t="shared" si="20"/>
        <v>2814</v>
      </c>
      <c r="N691" s="24">
        <f>Таблица1[[#This Row],[цена за шт в рублях]]/Таблица1[[#This Row],[средняя стоимость в категории по поставщику.]]-1</f>
        <v>-0.8308457711442786</v>
      </c>
      <c r="O691" s="26">
        <f>VLOOKUP(Таблица1[[#This Row],[id клиента]],клиенты!$A$2:$E$435,5,0)</f>
        <v>44568</v>
      </c>
      <c r="P691">
        <f>Таблица1[[#This Row],[дата создания чека]]-Таблица1[[#This Row],[Дата регистрации клента]]</f>
        <v>452</v>
      </c>
      <c r="Q691" s="26">
        <f t="shared" ca="1" si="21"/>
        <v>46059</v>
      </c>
      <c r="R691" s="51">
        <f ca="1">(TODAY()-Таблица1[[#This Row],[Дата регистрации клента]])/30</f>
        <v>49.7</v>
      </c>
      <c r="S691" s="63" t="str">
        <f>VLOOKUP(Таблица1[[#This Row],[id клиента]],Таблица8[[id клиента]:[Страна]],7,0)</f>
        <v>Узбекистан</v>
      </c>
      <c r="T691" s="26"/>
    </row>
    <row r="692" spans="1:20" ht="19.5" x14ac:dyDescent="0.4">
      <c r="A692" s="41">
        <v>691</v>
      </c>
      <c r="B692" s="42">
        <v>80</v>
      </c>
      <c r="C692" s="42">
        <v>232</v>
      </c>
      <c r="D692" s="42">
        <v>2</v>
      </c>
      <c r="E692" s="42">
        <v>464</v>
      </c>
      <c r="F692" s="43">
        <v>45116</v>
      </c>
      <c r="G692" s="42" t="s">
        <v>16</v>
      </c>
      <c r="H692" s="42">
        <v>418</v>
      </c>
      <c r="I692" s="42" t="str">
        <f>VLOOKUP(продажи!$B692,товар!$A$1:$C$433,2)</f>
        <v>Конфеты</v>
      </c>
      <c r="J692" s="42" t="str">
        <f>VLOOKUP(B692,товар!$A$1:$C$433,3)</f>
        <v>Красный Октябрь</v>
      </c>
      <c r="K692" s="44">
        <f>AVERAGEIF(продажи!$I$2:$I$1001,продажи!$I$2:$I$1001,продажи!$C$2:$C$1001)</f>
        <v>267.85483870967744</v>
      </c>
      <c r="L692" s="45">
        <f>продажи!$C692/продажи!$K692-1</f>
        <v>-0.1338592159932559</v>
      </c>
      <c r="M692" s="33">
        <f t="shared" si="20"/>
        <v>2189</v>
      </c>
      <c r="N692" s="24">
        <f>Таблица1[[#This Row],[цена за шт в рублях]]/Таблица1[[#This Row],[средняя стоимость в категории по поставщику.]]-1</f>
        <v>-0.894015532206487</v>
      </c>
      <c r="O692" s="26">
        <f>VLOOKUP(Таблица1[[#This Row],[id клиента]],клиенты!$A$2:$E$435,5,0)</f>
        <v>44700</v>
      </c>
      <c r="P692">
        <f>Таблица1[[#This Row],[дата создания чека]]-Таблица1[[#This Row],[Дата регистрации клента]]</f>
        <v>416</v>
      </c>
      <c r="Q692" s="26">
        <f t="shared" ca="1" si="21"/>
        <v>46059</v>
      </c>
      <c r="R692" s="51">
        <f ca="1">(TODAY()-Таблица1[[#This Row],[Дата регистрации клента]])/30</f>
        <v>45.3</v>
      </c>
      <c r="S692" s="63" t="str">
        <f>VLOOKUP(Таблица1[[#This Row],[id клиента]],Таблица8[[id клиента]:[Страна]],7,0)</f>
        <v>Беларусь</v>
      </c>
      <c r="T692" s="26"/>
    </row>
    <row r="693" spans="1:20" ht="19.5" x14ac:dyDescent="0.4">
      <c r="A693" s="41">
        <v>151</v>
      </c>
      <c r="B693" s="42">
        <v>206</v>
      </c>
      <c r="C693" s="42">
        <v>73</v>
      </c>
      <c r="D693" s="42">
        <v>5</v>
      </c>
      <c r="E693" s="42">
        <v>365</v>
      </c>
      <c r="F693" s="58">
        <v>45310</v>
      </c>
      <c r="G693" s="42" t="s">
        <v>10</v>
      </c>
      <c r="H693" s="56">
        <v>115</v>
      </c>
      <c r="I693" s="42" t="str">
        <f>VLOOKUP(продажи!$B152,товар!$A$1:$C$433,2)</f>
        <v>Молоко</v>
      </c>
      <c r="J693" s="42" t="str">
        <f>VLOOKUP(B693,товар!$A$1:$C$433,3)</f>
        <v>Домик в деревне</v>
      </c>
      <c r="K693" s="44">
        <f>AVERAGEIF(продажи!$I$2:$I$1001,продажи!$I$2:$I$1001,продажи!$C$2:$C$1001)</f>
        <v>294.95238095238096</v>
      </c>
      <c r="L693" s="45">
        <f>продажи!$C152/продажи!$K152-1</f>
        <v>-0.22360348724572165</v>
      </c>
      <c r="M693" s="53">
        <f t="shared" si="20"/>
        <v>4946</v>
      </c>
      <c r="N693" s="24">
        <f>Таблица1[[#This Row],[цена за шт в рублях]]/Таблица1[[#This Row],[средняя стоимость в категории по поставщику.]]-1</f>
        <v>-0.98524059846340473</v>
      </c>
      <c r="O693" s="26">
        <f>VLOOKUP(Таблица1[[#This Row],[id клиента]],клиенты!$A$2:$E$435,5,0)</f>
        <v>44832</v>
      </c>
      <c r="P693">
        <f>Таблица1[[#This Row],[дата создания чека]]-Таблица1[[#This Row],[Дата регистрации клента]]</f>
        <v>478</v>
      </c>
      <c r="Q693" s="26">
        <f t="shared" ca="1" si="21"/>
        <v>46059</v>
      </c>
      <c r="R693" s="51">
        <f ca="1">(TODAY()-Таблица1[[#This Row],[Дата регистрации клента]])/30</f>
        <v>40.9</v>
      </c>
      <c r="S693" s="63" t="str">
        <f>VLOOKUP(Таблица1[[#This Row],[id клиента]],Таблица8[[id клиента]:[Страна]],7,0)</f>
        <v>Беларусь</v>
      </c>
      <c r="T693" s="26"/>
    </row>
    <row r="694" spans="1:20" ht="19.5" x14ac:dyDescent="0.4">
      <c r="A694" s="41">
        <v>693</v>
      </c>
      <c r="B694" s="42">
        <v>215</v>
      </c>
      <c r="C694" s="42">
        <v>485</v>
      </c>
      <c r="D694" s="42">
        <v>4</v>
      </c>
      <c r="E694" s="42">
        <v>1940</v>
      </c>
      <c r="F694" s="43">
        <v>44959</v>
      </c>
      <c r="G694" s="42" t="s">
        <v>9</v>
      </c>
      <c r="H694" s="42">
        <v>318</v>
      </c>
      <c r="I694" s="42" t="str">
        <f>VLOOKUP(продажи!$B694,товар!$A$1:$C$433,2)</f>
        <v>Сок</v>
      </c>
      <c r="J694" s="42" t="str">
        <f>VLOOKUP(B694,товар!$A$1:$C$433,3)</f>
        <v>Фруктовый сад</v>
      </c>
      <c r="K694" s="44">
        <f>AVERAGEIF(продажи!$I$2:$I$1001,продажи!$I$2:$I$1001,продажи!$C$2:$C$1001)</f>
        <v>268.60344827586209</v>
      </c>
      <c r="L694" s="45">
        <f>продажи!$C694/продажи!$K694-1</f>
        <v>0.80563579177097355</v>
      </c>
      <c r="M694" s="33">
        <f t="shared" si="20"/>
        <v>9023</v>
      </c>
      <c r="N694" s="24">
        <f>Таблица1[[#This Row],[цена за шт в рублях]]/Таблица1[[#This Row],[средняя стоимость в категории по поставщику.]]-1</f>
        <v>-0.94624847611659091</v>
      </c>
      <c r="O694" s="26">
        <f>VLOOKUP(Таблица1[[#This Row],[id клиента]],клиенты!$A$2:$E$435,5,0)</f>
        <v>44892</v>
      </c>
      <c r="P694">
        <f>Таблица1[[#This Row],[дата создания чека]]-Таблица1[[#This Row],[Дата регистрации клента]]</f>
        <v>67</v>
      </c>
      <c r="Q694" s="26">
        <f t="shared" ca="1" si="21"/>
        <v>46059</v>
      </c>
      <c r="R694" s="51">
        <f ca="1">(TODAY()-Таблица1[[#This Row],[Дата регистрации клента]])/30</f>
        <v>38.9</v>
      </c>
      <c r="S694" s="63" t="str">
        <f>VLOOKUP(Таблица1[[#This Row],[id клиента]],Таблица8[[id клиента]:[Страна]],7,0)</f>
        <v>Узбекистан</v>
      </c>
      <c r="T694" s="26"/>
    </row>
    <row r="695" spans="1:20" ht="19.5" x14ac:dyDescent="0.4">
      <c r="A695" s="37">
        <v>694</v>
      </c>
      <c r="B695" s="31">
        <v>36</v>
      </c>
      <c r="C695" s="31">
        <v>150</v>
      </c>
      <c r="D695" s="31">
        <v>2</v>
      </c>
      <c r="E695" s="31">
        <v>300</v>
      </c>
      <c r="F695" s="38">
        <v>45157</v>
      </c>
      <c r="G695" s="31" t="s">
        <v>20</v>
      </c>
      <c r="H695" s="31">
        <v>283</v>
      </c>
      <c r="I695" s="31" t="str">
        <f>VLOOKUP(продажи!$B695,товар!$A$1:$C$433,2)</f>
        <v>Макароны</v>
      </c>
      <c r="J695" s="31" t="str">
        <f>VLOOKUP(B695,товар!$A$1:$C$433,3)</f>
        <v>Роллтон</v>
      </c>
      <c r="K695" s="39">
        <f>AVERAGEIF(продажи!$I$2:$I$1001,продажи!$I$2:$I$1001,продажи!$C$2:$C$1001)</f>
        <v>265.47674418604652</v>
      </c>
      <c r="L695" s="40">
        <f>продажи!$C695/продажи!$K695-1</f>
        <v>-0.43497875695326527</v>
      </c>
      <c r="M695" s="33">
        <f t="shared" si="20"/>
        <v>2120</v>
      </c>
      <c r="N695" s="24">
        <f>Таблица1[[#This Row],[цена за шт в рублях]]/Таблица1[[#This Row],[средняя стоимость в категории по поставщику.]]-1</f>
        <v>-0.92924528301886788</v>
      </c>
      <c r="O695" s="26">
        <f>VLOOKUP(Таблица1[[#This Row],[id клиента]],клиенты!$A$2:$E$435,5,0)</f>
        <v>44889</v>
      </c>
      <c r="P695">
        <f>Таблица1[[#This Row],[дата создания чека]]-Таблица1[[#This Row],[Дата регистрации клента]]</f>
        <v>268</v>
      </c>
      <c r="Q695" s="26">
        <f t="shared" ca="1" si="21"/>
        <v>46059</v>
      </c>
      <c r="R695" s="51">
        <f ca="1">(TODAY()-Таблица1[[#This Row],[Дата регистрации клента]])/30</f>
        <v>39</v>
      </c>
      <c r="S695" s="63" t="str">
        <f>VLOOKUP(Таблица1[[#This Row],[id клиента]],Таблица8[[id клиента]:[Страна]],7,0)</f>
        <v>Таджикистан</v>
      </c>
      <c r="T695" s="26"/>
    </row>
    <row r="696" spans="1:20" ht="19.5" x14ac:dyDescent="0.4">
      <c r="A696" s="41">
        <v>29</v>
      </c>
      <c r="B696" s="42">
        <v>181</v>
      </c>
      <c r="C696" s="42">
        <v>476</v>
      </c>
      <c r="D696" s="42">
        <v>4</v>
      </c>
      <c r="E696" s="42">
        <v>1904</v>
      </c>
      <c r="F696" s="58">
        <v>45040</v>
      </c>
      <c r="G696" s="42" t="s">
        <v>8</v>
      </c>
      <c r="H696" s="56">
        <v>451</v>
      </c>
      <c r="I696" s="42" t="str">
        <f>VLOOKUP(продажи!$B30,товар!$A$1:$C$433,2)</f>
        <v>Молоко</v>
      </c>
      <c r="J696" s="42" t="str">
        <f>VLOOKUP(B696,товар!$A$1:$C$433,3)</f>
        <v>Простоквашино</v>
      </c>
      <c r="K696" s="44">
        <f>AVERAGEIF(продажи!$I$2:$I$1001,продажи!$I$2:$I$1001,продажи!$C$2:$C$1001)</f>
        <v>294.95238095238096</v>
      </c>
      <c r="L696" s="45">
        <f>продажи!$C30/продажи!$K30-1</f>
        <v>0.37310300290603804</v>
      </c>
      <c r="M696" s="53">
        <f t="shared" si="20"/>
        <v>3507</v>
      </c>
      <c r="N696" s="24">
        <f>Таблица1[[#This Row],[цена за шт в рублях]]/Таблица1[[#This Row],[средняя стоимость в категории по поставщику.]]-1</f>
        <v>-0.86427145708582831</v>
      </c>
      <c r="O696" s="26">
        <f>VLOOKUP(Таблица1[[#This Row],[id клиента]],клиенты!$A$2:$E$435,5,0)</f>
        <v>44584</v>
      </c>
      <c r="P696">
        <f>Таблица1[[#This Row],[дата создания чека]]-Таблица1[[#This Row],[Дата регистрации клента]]</f>
        <v>456</v>
      </c>
      <c r="Q696" s="26">
        <f t="shared" ca="1" si="21"/>
        <v>46059</v>
      </c>
      <c r="R696" s="51">
        <f ca="1">(TODAY()-Таблица1[[#This Row],[Дата регистрации клента]])/30</f>
        <v>49.166666666666664</v>
      </c>
      <c r="S696" s="63" t="str">
        <f>VLOOKUP(Таблица1[[#This Row],[id клиента]],Таблица8[[id клиента]:[Страна]],7,0)</f>
        <v>Россия</v>
      </c>
      <c r="T696" s="26"/>
    </row>
    <row r="697" spans="1:20" ht="19.5" x14ac:dyDescent="0.4">
      <c r="A697" s="37">
        <v>696</v>
      </c>
      <c r="B697" s="31">
        <v>80</v>
      </c>
      <c r="C697" s="31">
        <v>135</v>
      </c>
      <c r="D697" s="31">
        <v>2</v>
      </c>
      <c r="E697" s="31">
        <v>270</v>
      </c>
      <c r="F697" s="38">
        <v>45296</v>
      </c>
      <c r="G697" s="31" t="s">
        <v>17</v>
      </c>
      <c r="H697" s="31">
        <v>123</v>
      </c>
      <c r="I697" s="31" t="str">
        <f>VLOOKUP(продажи!$B697,товар!$A$1:$C$433,2)</f>
        <v>Конфеты</v>
      </c>
      <c r="J697" s="31" t="str">
        <f>VLOOKUP(B697,товар!$A$1:$C$433,3)</f>
        <v>Красный Октябрь</v>
      </c>
      <c r="K697" s="39">
        <f>AVERAGEIF(продажи!$I$2:$I$1001,продажи!$I$2:$I$1001,продажи!$C$2:$C$1001)</f>
        <v>267.85483870967744</v>
      </c>
      <c r="L697" s="40">
        <f>продажи!$C697/продажи!$K697-1</f>
        <v>-0.49599566447883425</v>
      </c>
      <c r="M697" s="33">
        <f t="shared" si="20"/>
        <v>2189</v>
      </c>
      <c r="N697" s="24">
        <f>Таблица1[[#This Row],[цена за шт в рублях]]/Таблица1[[#This Row],[средняя стоимость в категории по поставщику.]]-1</f>
        <v>-0.93832800365463687</v>
      </c>
      <c r="O697" s="26">
        <f>VLOOKUP(Таблица1[[#This Row],[id клиента]],клиенты!$A$2:$E$435,5,0)</f>
        <v>44600</v>
      </c>
      <c r="P697">
        <f>Таблица1[[#This Row],[дата создания чека]]-Таблица1[[#This Row],[Дата регистрации клента]]</f>
        <v>696</v>
      </c>
      <c r="Q697" s="26">
        <f t="shared" ca="1" si="21"/>
        <v>46059</v>
      </c>
      <c r="R697" s="51">
        <f ca="1">(TODAY()-Таблица1[[#This Row],[Дата регистрации клента]])/30</f>
        <v>48.633333333333333</v>
      </c>
      <c r="S697" s="63" t="str">
        <f>VLOOKUP(Таблица1[[#This Row],[id клиента]],Таблица8[[id клиента]:[Страна]],7,0)</f>
        <v>Россия</v>
      </c>
      <c r="T697" s="26"/>
    </row>
    <row r="698" spans="1:20" ht="19.5" x14ac:dyDescent="0.4">
      <c r="A698" s="41">
        <v>697</v>
      </c>
      <c r="B698" s="42">
        <v>413</v>
      </c>
      <c r="C698" s="42">
        <v>178</v>
      </c>
      <c r="D698" s="42">
        <v>5</v>
      </c>
      <c r="E698" s="42">
        <v>890</v>
      </c>
      <c r="F698" s="43">
        <v>45095</v>
      </c>
      <c r="G698" s="42" t="s">
        <v>10</v>
      </c>
      <c r="H698" s="42">
        <v>380</v>
      </c>
      <c r="I698" s="42" t="str">
        <f>VLOOKUP(продажи!$B698,товар!$A$1:$C$433,2)</f>
        <v>Кофе</v>
      </c>
      <c r="J698" s="42" t="str">
        <f>VLOOKUP(B698,товар!$A$1:$C$433,3)</f>
        <v>Jacobs</v>
      </c>
      <c r="K698" s="44">
        <f>AVERAGEIF(продажи!$I$2:$I$1001,продажи!$I$2:$I$1001,продажи!$C$2:$C$1001)</f>
        <v>249.02380952380952</v>
      </c>
      <c r="L698" s="45">
        <f>продажи!$C698/продажи!$K698-1</f>
        <v>-0.28520891098575385</v>
      </c>
      <c r="M698" s="33">
        <f t="shared" si="20"/>
        <v>5248</v>
      </c>
      <c r="N698" s="24">
        <f>Таблица1[[#This Row],[цена за шт в рублях]]/Таблица1[[#This Row],[средняя стоимость в категории по поставщику.]]-1</f>
        <v>-0.96608231707317072</v>
      </c>
      <c r="O698" s="26">
        <f>VLOOKUP(Таблица1[[#This Row],[id клиента]],клиенты!$A$2:$E$435,5,0)</f>
        <v>44563</v>
      </c>
      <c r="P698">
        <f>Таблица1[[#This Row],[дата создания чека]]-Таблица1[[#This Row],[Дата регистрации клента]]</f>
        <v>532</v>
      </c>
      <c r="Q698" s="26">
        <f t="shared" ca="1" si="21"/>
        <v>46059</v>
      </c>
      <c r="R698" s="51">
        <f ca="1">(TODAY()-Таблица1[[#This Row],[Дата регистрации клента]])/30</f>
        <v>49.866666666666667</v>
      </c>
      <c r="S698" s="63" t="str">
        <f>VLOOKUP(Таблица1[[#This Row],[id клиента]],Таблица8[[id клиента]:[Страна]],7,0)</f>
        <v>Россия</v>
      </c>
      <c r="T698" s="26"/>
    </row>
    <row r="699" spans="1:20" ht="19.5" x14ac:dyDescent="0.4">
      <c r="A699" s="37">
        <v>698</v>
      </c>
      <c r="B699" s="31">
        <v>10</v>
      </c>
      <c r="C699" s="31">
        <v>112</v>
      </c>
      <c r="D699" s="31">
        <v>3</v>
      </c>
      <c r="E699" s="31">
        <v>336</v>
      </c>
      <c r="F699" s="38">
        <v>45350</v>
      </c>
      <c r="G699" s="31" t="s">
        <v>10</v>
      </c>
      <c r="H699" s="31">
        <v>442</v>
      </c>
      <c r="I699" s="31" t="str">
        <f>VLOOKUP(продажи!$B699,товар!$A$1:$C$433,2)</f>
        <v>Сок</v>
      </c>
      <c r="J699" s="31" t="str">
        <f>VLOOKUP(B699,товар!$A$1:$C$433,3)</f>
        <v>Фруктовый сад</v>
      </c>
      <c r="K699" s="39">
        <f>AVERAGEIF(продажи!$I$2:$I$1001,продажи!$I$2:$I$1001,продажи!$C$2:$C$1001)</f>
        <v>268.60344827586209</v>
      </c>
      <c r="L699" s="40">
        <f>продажи!$C699/продажи!$K699-1</f>
        <v>-0.58302843571474416</v>
      </c>
      <c r="M699" s="33">
        <f t="shared" si="20"/>
        <v>9023</v>
      </c>
      <c r="N699" s="24">
        <f>Таблица1[[#This Row],[цена за шт в рублях]]/Таблица1[[#This Row],[средняя стоимость в категории по поставщику.]]-1</f>
        <v>-0.98758727695888282</v>
      </c>
      <c r="O699" s="26">
        <f>VLOOKUP(Таблица1[[#This Row],[id клиента]],клиенты!$A$2:$E$435,5,0)</f>
        <v>44746</v>
      </c>
      <c r="P699">
        <f>Таблица1[[#This Row],[дата создания чека]]-Таблица1[[#This Row],[Дата регистрации клента]]</f>
        <v>604</v>
      </c>
      <c r="Q699" s="26">
        <f t="shared" ca="1" si="21"/>
        <v>46059</v>
      </c>
      <c r="R699" s="51">
        <f ca="1">(TODAY()-Таблица1[[#This Row],[Дата регистрации клента]])/30</f>
        <v>43.766666666666666</v>
      </c>
      <c r="S699" s="63" t="str">
        <f>VLOOKUP(Таблица1[[#This Row],[id клиента]],Таблица8[[id клиента]:[Страна]],7,0)</f>
        <v>Таджикистан</v>
      </c>
      <c r="T699" s="26"/>
    </row>
    <row r="700" spans="1:20" ht="19.5" x14ac:dyDescent="0.4">
      <c r="A700" s="41">
        <v>699</v>
      </c>
      <c r="B700" s="42">
        <v>14</v>
      </c>
      <c r="C700" s="42">
        <v>338</v>
      </c>
      <c r="D700" s="42">
        <v>4</v>
      </c>
      <c r="E700" s="42">
        <v>1352</v>
      </c>
      <c r="F700" s="43">
        <v>44964</v>
      </c>
      <c r="G700" s="42" t="s">
        <v>13</v>
      </c>
      <c r="H700" s="42">
        <v>218</v>
      </c>
      <c r="I700" s="42" t="str">
        <f>VLOOKUP(продажи!$B700,товар!$A$1:$C$433,2)</f>
        <v>Сок</v>
      </c>
      <c r="J700" s="42" t="str">
        <f>VLOOKUP(B700,товар!$A$1:$C$433,3)</f>
        <v>Rich</v>
      </c>
      <c r="K700" s="44">
        <f>AVERAGEIF(продажи!$I$2:$I$1001,продажи!$I$2:$I$1001,продажи!$C$2:$C$1001)</f>
        <v>268.60344827586209</v>
      </c>
      <c r="L700" s="45">
        <f>продажи!$C700/продажи!$K700-1</f>
        <v>0.25836061364657548</v>
      </c>
      <c r="M700" s="33">
        <f t="shared" si="20"/>
        <v>1089</v>
      </c>
      <c r="N700" s="24">
        <f>Таблица1[[#This Row],[цена за шт в рублях]]/Таблица1[[#This Row],[средняя стоимость в категории по поставщику.]]-1</f>
        <v>-0.689623507805326</v>
      </c>
      <c r="O700" s="26">
        <f>VLOOKUP(Таблица1[[#This Row],[id клиента]],клиенты!$A$2:$E$435,5,0)</f>
        <v>44721</v>
      </c>
      <c r="P700">
        <f>Таблица1[[#This Row],[дата создания чека]]-Таблица1[[#This Row],[Дата регистрации клента]]</f>
        <v>243</v>
      </c>
      <c r="Q700" s="26">
        <f t="shared" ca="1" si="21"/>
        <v>46059</v>
      </c>
      <c r="R700" s="51">
        <f ca="1">(TODAY()-Таблица1[[#This Row],[Дата регистрации клента]])/30</f>
        <v>44.6</v>
      </c>
      <c r="S700" s="63" t="str">
        <f>VLOOKUP(Таблица1[[#This Row],[id клиента]],Таблица8[[id клиента]:[Страна]],7,0)</f>
        <v>Узбекистан</v>
      </c>
      <c r="T700" s="26"/>
    </row>
    <row r="701" spans="1:20" ht="19.5" x14ac:dyDescent="0.4">
      <c r="A701" s="37">
        <v>700</v>
      </c>
      <c r="B701" s="31">
        <v>423</v>
      </c>
      <c r="C701" s="31">
        <v>277</v>
      </c>
      <c r="D701" s="31">
        <v>5</v>
      </c>
      <c r="E701" s="31">
        <v>1385</v>
      </c>
      <c r="F701" s="38">
        <v>45143</v>
      </c>
      <c r="G701" s="31" t="s">
        <v>12</v>
      </c>
      <c r="H701" s="31">
        <v>331</v>
      </c>
      <c r="I701" s="31" t="str">
        <f>VLOOKUP(продажи!$B701,товар!$A$1:$C$433,2)</f>
        <v>Чипсы</v>
      </c>
      <c r="J701" s="31" t="str">
        <f>VLOOKUP(B701,товар!$A$1:$C$433,3)</f>
        <v>Pringles</v>
      </c>
      <c r="K701" s="39">
        <f>AVERAGEIF(продажи!$I$2:$I$1001,продажи!$I$2:$I$1001,продажи!$C$2:$C$1001)</f>
        <v>273.72549019607845</v>
      </c>
      <c r="L701" s="40">
        <f>продажи!$C701/продажи!$K701-1</f>
        <v>1.1962750716332238E-2</v>
      </c>
      <c r="M701" s="33">
        <f t="shared" si="20"/>
        <v>5885</v>
      </c>
      <c r="N701" s="24">
        <f>Таблица1[[#This Row],[цена за шт в рублях]]/Таблица1[[#This Row],[средняя стоимость в категории по поставщику.]]-1</f>
        <v>-0.95293118096856411</v>
      </c>
      <c r="O701" s="26">
        <f>VLOOKUP(Таблица1[[#This Row],[id клиента]],клиенты!$A$2:$E$435,5,0)</f>
        <v>44813</v>
      </c>
      <c r="P701">
        <f>Таблица1[[#This Row],[дата создания чека]]-Таблица1[[#This Row],[Дата регистрации клента]]</f>
        <v>330</v>
      </c>
      <c r="Q701" s="26">
        <f t="shared" ca="1" si="21"/>
        <v>46059</v>
      </c>
      <c r="R701" s="51">
        <f ca="1">(TODAY()-Таблица1[[#This Row],[Дата регистрации клента]])/30</f>
        <v>41.533333333333331</v>
      </c>
      <c r="S701" s="63" t="str">
        <f>VLOOKUP(Таблица1[[#This Row],[id клиента]],Таблица8[[id клиента]:[Страна]],7,0)</f>
        <v>Узбекистан</v>
      </c>
      <c r="T701" s="26"/>
    </row>
    <row r="702" spans="1:20" ht="19.5" x14ac:dyDescent="0.4">
      <c r="A702" s="41">
        <v>701</v>
      </c>
      <c r="B702" s="42">
        <v>138</v>
      </c>
      <c r="C702" s="42">
        <v>427</v>
      </c>
      <c r="D702" s="42">
        <v>5</v>
      </c>
      <c r="E702" s="42">
        <v>2135</v>
      </c>
      <c r="F702" s="43">
        <v>45145</v>
      </c>
      <c r="G702" s="42" t="s">
        <v>12</v>
      </c>
      <c r="H702" s="42">
        <v>196</v>
      </c>
      <c r="I702" s="42" t="str">
        <f>VLOOKUP(продажи!$B702,товар!$A$1:$C$433,2)</f>
        <v>Сыр</v>
      </c>
      <c r="J702" s="42" t="str">
        <f>VLOOKUP(B702,товар!$A$1:$C$433,3)</f>
        <v>Сырная долина</v>
      </c>
      <c r="K702" s="44">
        <f>AVERAGEIF(продажи!$I$2:$I$1001,продажи!$I$2:$I$1001,продажи!$C$2:$C$1001)</f>
        <v>261.03225806451616</v>
      </c>
      <c r="L702" s="45">
        <f>продажи!$C702/продажи!$K702-1</f>
        <v>0.63581314878892714</v>
      </c>
      <c r="M702" s="33">
        <f t="shared" si="20"/>
        <v>8943</v>
      </c>
      <c r="N702" s="24">
        <f>Таблица1[[#This Row],[цена за шт в рублях]]/Таблица1[[#This Row],[средняя стоимость в категории по поставщику.]]-1</f>
        <v>-0.95225315889522533</v>
      </c>
      <c r="O702" s="26">
        <f>VLOOKUP(Таблица1[[#This Row],[id клиента]],клиенты!$A$2:$E$435,5,0)</f>
        <v>44835</v>
      </c>
      <c r="P702">
        <f>Таблица1[[#This Row],[дата создания чека]]-Таблица1[[#This Row],[Дата регистрации клента]]</f>
        <v>310</v>
      </c>
      <c r="Q702" s="26">
        <f t="shared" ca="1" si="21"/>
        <v>46059</v>
      </c>
      <c r="R702" s="51">
        <f ca="1">(TODAY()-Таблица1[[#This Row],[Дата регистрации клента]])/30</f>
        <v>40.799999999999997</v>
      </c>
      <c r="S702" s="63" t="str">
        <f>VLOOKUP(Таблица1[[#This Row],[id клиента]],Таблица8[[id клиента]:[Страна]],7,0)</f>
        <v>Россия</v>
      </c>
      <c r="T702" s="26"/>
    </row>
    <row r="703" spans="1:20" ht="19.5" x14ac:dyDescent="0.4">
      <c r="A703" s="37">
        <v>702</v>
      </c>
      <c r="B703" s="31">
        <v>498</v>
      </c>
      <c r="C703" s="31">
        <v>169</v>
      </c>
      <c r="D703" s="31">
        <v>4</v>
      </c>
      <c r="E703" s="31">
        <v>676</v>
      </c>
      <c r="F703" s="57">
        <v>45129</v>
      </c>
      <c r="G703" s="31" t="s">
        <v>25</v>
      </c>
      <c r="H703" s="55">
        <v>36</v>
      </c>
      <c r="I703" s="31" t="str">
        <f>VLOOKUP(продажи!$B703,товар!$A$1:$C$433,2)</f>
        <v>Молоко</v>
      </c>
      <c r="J703" s="31" t="str">
        <f>VLOOKUP(B703,товар!$A$1:$C$433,3)</f>
        <v>Домик в деревне</v>
      </c>
      <c r="K703" s="39">
        <f>AVERAGEIF(продажи!$I$2:$I$1001,продажи!$I$2:$I$1001,продажи!$C$2:$C$1001)</f>
        <v>294.95238095238096</v>
      </c>
      <c r="L703" s="40">
        <f>продажи!$C703/продажи!$K703-1</f>
        <v>-0.42702615434291247</v>
      </c>
      <c r="M703" s="53">
        <f t="shared" si="20"/>
        <v>4946</v>
      </c>
      <c r="N703" s="24">
        <f>Таблица1[[#This Row],[цена за шт в рублях]]/Таблица1[[#This Row],[средняя стоимость в категории по поставщику.]]-1</f>
        <v>-0.96583097452486855</v>
      </c>
      <c r="O703" s="26">
        <f>VLOOKUP(Таблица1[[#This Row],[id клиента]],клиенты!$A$2:$E$435,5,0)</f>
        <v>44700</v>
      </c>
      <c r="P703">
        <f>Таблица1[[#This Row],[дата создания чека]]-Таблица1[[#This Row],[Дата регистрации клента]]</f>
        <v>429</v>
      </c>
      <c r="Q703" s="26">
        <f t="shared" ca="1" si="21"/>
        <v>46059</v>
      </c>
      <c r="R703" s="51">
        <f ca="1">(TODAY()-Таблица1[[#This Row],[Дата регистрации клента]])/30</f>
        <v>45.3</v>
      </c>
      <c r="S703" s="63" t="str">
        <f>VLOOKUP(Таблица1[[#This Row],[id клиента]],Таблица8[[id клиента]:[Страна]],7,0)</f>
        <v>Россия</v>
      </c>
      <c r="T703" s="26"/>
    </row>
    <row r="704" spans="1:20" ht="19.5" x14ac:dyDescent="0.4">
      <c r="A704" s="41">
        <v>703</v>
      </c>
      <c r="B704" s="42">
        <v>46</v>
      </c>
      <c r="C704" s="42">
        <v>228</v>
      </c>
      <c r="D704" s="42">
        <v>5</v>
      </c>
      <c r="E704" s="42">
        <v>1140</v>
      </c>
      <c r="F704" s="43">
        <v>45017</v>
      </c>
      <c r="G704" s="42" t="s">
        <v>11</v>
      </c>
      <c r="H704" s="42">
        <v>272</v>
      </c>
      <c r="I704" s="42" t="str">
        <f>VLOOKUP(продажи!$B704,товар!$A$1:$C$433,2)</f>
        <v>Йогурт</v>
      </c>
      <c r="J704" s="42" t="str">
        <f>VLOOKUP(B704,товар!$A$1:$C$433,3)</f>
        <v>Активиа</v>
      </c>
      <c r="K704" s="44">
        <f>AVERAGEIF(продажи!$I$2:$I$1001,продажи!$I$2:$I$1001,продажи!$C$2:$C$1001)</f>
        <v>263.25423728813558</v>
      </c>
      <c r="L704" s="45">
        <f>продажи!$C704/продажи!$K704-1</f>
        <v>-0.13391707442698941</v>
      </c>
      <c r="M704" s="33">
        <f t="shared" si="20"/>
        <v>1762</v>
      </c>
      <c r="N704" s="24">
        <f>Таблица1[[#This Row],[цена за шт в рублях]]/Таблица1[[#This Row],[средняя стоимость в категории по поставщику.]]-1</f>
        <v>-0.87060158910329166</v>
      </c>
      <c r="O704" s="26">
        <f>VLOOKUP(Таблица1[[#This Row],[id клиента]],клиенты!$A$2:$E$435,5,0)</f>
        <v>44668</v>
      </c>
      <c r="P704">
        <f>Таблица1[[#This Row],[дата создания чека]]-Таблица1[[#This Row],[Дата регистрации клента]]</f>
        <v>349</v>
      </c>
      <c r="Q704" s="26">
        <f t="shared" ca="1" si="21"/>
        <v>46059</v>
      </c>
      <c r="R704" s="51">
        <f ca="1">(TODAY()-Таблица1[[#This Row],[Дата регистрации клента]])/30</f>
        <v>46.366666666666667</v>
      </c>
      <c r="S704" s="63" t="str">
        <f>VLOOKUP(Таблица1[[#This Row],[id клиента]],Таблица8[[id клиента]:[Страна]],7,0)</f>
        <v>Таджикистан</v>
      </c>
      <c r="T704" s="26"/>
    </row>
    <row r="705" spans="1:20" ht="19.5" x14ac:dyDescent="0.4">
      <c r="A705" s="37">
        <v>704</v>
      </c>
      <c r="B705" s="31">
        <v>1</v>
      </c>
      <c r="C705" s="31">
        <v>322</v>
      </c>
      <c r="D705" s="31">
        <v>2</v>
      </c>
      <c r="E705" s="31">
        <v>644</v>
      </c>
      <c r="F705" s="38">
        <v>45422</v>
      </c>
      <c r="G705" s="31" t="s">
        <v>23</v>
      </c>
      <c r="H705" s="31">
        <v>22</v>
      </c>
      <c r="I705" s="31" t="str">
        <f>VLOOKUP(продажи!$B705,товар!$A$1:$C$433,2)</f>
        <v>Крупа</v>
      </c>
      <c r="J705" s="31" t="str">
        <f>VLOOKUP(B705,товар!$A$1:$C$433,3)</f>
        <v>Ярмарка</v>
      </c>
      <c r="K705" s="39">
        <f>AVERAGEIF(продажи!$I$2:$I$1001,продажи!$I$2:$I$1001,продажи!$C$2:$C$1001)</f>
        <v>255.11627906976744</v>
      </c>
      <c r="L705" s="40">
        <f>продажи!$C705/продажи!$K705-1</f>
        <v>0.26216955332725611</v>
      </c>
      <c r="M705" s="33">
        <f t="shared" si="20"/>
        <v>2773</v>
      </c>
      <c r="N705" s="24">
        <f>Таблица1[[#This Row],[цена за шт в рублях]]/Таблица1[[#This Row],[средняя стоимость в категории по поставщику.]]-1</f>
        <v>-0.88388027407140279</v>
      </c>
      <c r="O705" s="26">
        <f>VLOOKUP(Таблица1[[#This Row],[id клиента]],клиенты!$A$2:$E$435,5,0)</f>
        <v>44870</v>
      </c>
      <c r="P705">
        <f>Таблица1[[#This Row],[дата создания чека]]-Таблица1[[#This Row],[Дата регистрации клента]]</f>
        <v>552</v>
      </c>
      <c r="Q705" s="26">
        <f t="shared" ca="1" si="21"/>
        <v>46059</v>
      </c>
      <c r="R705" s="51">
        <f ca="1">(TODAY()-Таблица1[[#This Row],[Дата регистрации клента]])/30</f>
        <v>39.633333333333333</v>
      </c>
      <c r="S705" s="63" t="str">
        <f>VLOOKUP(Таблица1[[#This Row],[id клиента]],Таблица8[[id клиента]:[Страна]],7,0)</f>
        <v>Беларусь</v>
      </c>
      <c r="T705" s="26"/>
    </row>
    <row r="706" spans="1:20" ht="19.5" x14ac:dyDescent="0.4">
      <c r="A706" s="41">
        <v>705</v>
      </c>
      <c r="B706" s="42">
        <v>478</v>
      </c>
      <c r="C706" s="42">
        <v>342</v>
      </c>
      <c r="D706" s="42">
        <v>3</v>
      </c>
      <c r="E706" s="42">
        <v>1026</v>
      </c>
      <c r="F706" s="43">
        <v>45037</v>
      </c>
      <c r="G706" s="42" t="s">
        <v>14</v>
      </c>
      <c r="H706" s="42">
        <v>360</v>
      </c>
      <c r="I706" s="42" t="str">
        <f>VLOOKUP(продажи!$B706,товар!$A$1:$C$433,2)</f>
        <v>Конфеты</v>
      </c>
      <c r="J706" s="42" t="str">
        <f>VLOOKUP(B706,товар!$A$1:$C$433,3)</f>
        <v>Рот Фронт</v>
      </c>
      <c r="K706" s="44">
        <f>AVERAGEIF(продажи!$I$2:$I$1001,продажи!$I$2:$I$1001,продажи!$C$2:$C$1001)</f>
        <v>267.85483870967744</v>
      </c>
      <c r="L706" s="45">
        <f>продажи!$C706/продажи!$K706-1</f>
        <v>0.27681098332028653</v>
      </c>
      <c r="M706" s="33">
        <f t="shared" ref="M706:M769" si="22">SUMIFS($C$2:$C$1001,$I$2:$I$1001,I706,$J$2:$J$1001,J706)</f>
        <v>6053</v>
      </c>
      <c r="N706" s="24">
        <f>Таблица1[[#This Row],[цена за шт в рублях]]/Таблица1[[#This Row],[средняя стоимость в категории по поставщику.]]-1</f>
        <v>-0.94349909135965637</v>
      </c>
      <c r="O706" s="26">
        <f>VLOOKUP(Таблица1[[#This Row],[id клиента]],клиенты!$A$2:$E$435,5,0)</f>
        <v>44728</v>
      </c>
      <c r="P706">
        <f>Таблица1[[#This Row],[дата создания чека]]-Таблица1[[#This Row],[Дата регистрации клента]]</f>
        <v>309</v>
      </c>
      <c r="Q706" s="26">
        <f t="shared" ref="Q706:Q769" ca="1" si="23">TODAY()</f>
        <v>46059</v>
      </c>
      <c r="R706" s="51">
        <f ca="1">(TODAY()-Таблица1[[#This Row],[Дата регистрации клента]])/30</f>
        <v>44.366666666666667</v>
      </c>
      <c r="S706" s="63" t="str">
        <f>VLOOKUP(Таблица1[[#This Row],[id клиента]],Таблица8[[id клиента]:[Страна]],7,0)</f>
        <v>Беларусь</v>
      </c>
      <c r="T706" s="26"/>
    </row>
    <row r="707" spans="1:20" ht="19.5" x14ac:dyDescent="0.4">
      <c r="A707" s="37">
        <v>706</v>
      </c>
      <c r="B707" s="31">
        <v>444</v>
      </c>
      <c r="C707" s="31">
        <v>315</v>
      </c>
      <c r="D707" s="31">
        <v>4</v>
      </c>
      <c r="E707" s="31">
        <v>1260</v>
      </c>
      <c r="F707" s="38">
        <v>45041</v>
      </c>
      <c r="G707" s="31" t="s">
        <v>12</v>
      </c>
      <c r="H707" s="31">
        <v>414</v>
      </c>
      <c r="I707" s="31" t="str">
        <f>VLOOKUP(продажи!$B707,товар!$A$1:$C$433,2)</f>
        <v>Йогурт</v>
      </c>
      <c r="J707" s="31" t="str">
        <f>VLOOKUP(B707,товар!$A$1:$C$433,3)</f>
        <v>Эрманн</v>
      </c>
      <c r="K707" s="39">
        <f>AVERAGEIF(продажи!$I$2:$I$1001,продажи!$I$2:$I$1001,продажи!$C$2:$C$1001)</f>
        <v>263.25423728813558</v>
      </c>
      <c r="L707" s="40">
        <f>продажи!$C707/продажи!$K707-1</f>
        <v>0.19656193664692245</v>
      </c>
      <c r="M707" s="33">
        <f t="shared" si="22"/>
        <v>4970</v>
      </c>
      <c r="N707" s="24">
        <f>Таблица1[[#This Row],[цена за шт в рублях]]/Таблица1[[#This Row],[средняя стоимость в категории по поставщику.]]-1</f>
        <v>-0.93661971830985913</v>
      </c>
      <c r="O707" s="26">
        <f>VLOOKUP(Таблица1[[#This Row],[id клиента]],клиенты!$A$2:$E$435,5,0)</f>
        <v>44794</v>
      </c>
      <c r="P707">
        <f>Таблица1[[#This Row],[дата создания чека]]-Таблица1[[#This Row],[Дата регистрации клента]]</f>
        <v>247</v>
      </c>
      <c r="Q707" s="26">
        <f t="shared" ca="1" si="23"/>
        <v>46059</v>
      </c>
      <c r="R707" s="51">
        <f ca="1">(TODAY()-Таблица1[[#This Row],[Дата регистрации клента]])/30</f>
        <v>42.166666666666664</v>
      </c>
      <c r="S707" s="63" t="str">
        <f>VLOOKUP(Таблица1[[#This Row],[id клиента]],Таблица8[[id клиента]:[Страна]],7,0)</f>
        <v>Беларусь</v>
      </c>
      <c r="T707" s="26"/>
    </row>
    <row r="708" spans="1:20" ht="19.5" x14ac:dyDescent="0.4">
      <c r="A708" s="41">
        <v>707</v>
      </c>
      <c r="B708" s="42">
        <v>110</v>
      </c>
      <c r="C708" s="42">
        <v>473</v>
      </c>
      <c r="D708" s="42">
        <v>2</v>
      </c>
      <c r="E708" s="42">
        <v>946</v>
      </c>
      <c r="F708" s="43">
        <v>45373</v>
      </c>
      <c r="G708" s="42" t="s">
        <v>25</v>
      </c>
      <c r="H708" s="42">
        <v>152</v>
      </c>
      <c r="I708" s="42" t="str">
        <f>VLOOKUP(продажи!$B708,товар!$A$1:$C$433,2)</f>
        <v>Макароны</v>
      </c>
      <c r="J708" s="42" t="str">
        <f>VLOOKUP(B708,товар!$A$1:$C$433,3)</f>
        <v>Паста Зара</v>
      </c>
      <c r="K708" s="44">
        <f>AVERAGEIF(продажи!$I$2:$I$1001,продажи!$I$2:$I$1001,продажи!$C$2:$C$1001)</f>
        <v>265.47674418604652</v>
      </c>
      <c r="L708" s="45">
        <f>продажи!$C708/продажи!$K708-1</f>
        <v>0.78170031974070331</v>
      </c>
      <c r="M708" s="33">
        <f t="shared" si="22"/>
        <v>10237</v>
      </c>
      <c r="N708" s="24">
        <f>Таблица1[[#This Row],[цена за шт в рублях]]/Таблица1[[#This Row],[средняя стоимость в категории по поставщику.]]-1</f>
        <v>-0.95379505714564816</v>
      </c>
      <c r="O708" s="26">
        <f>VLOOKUP(Таблица1[[#This Row],[id клиента]],клиенты!$A$2:$E$435,5,0)</f>
        <v>44791</v>
      </c>
      <c r="P708">
        <f>Таблица1[[#This Row],[дата создания чека]]-Таблица1[[#This Row],[Дата регистрации клента]]</f>
        <v>582</v>
      </c>
      <c r="Q708" s="26">
        <f t="shared" ca="1" si="23"/>
        <v>46059</v>
      </c>
      <c r="R708" s="51">
        <f ca="1">(TODAY()-Таблица1[[#This Row],[Дата регистрации клента]])/30</f>
        <v>42.266666666666666</v>
      </c>
      <c r="S708" s="63" t="str">
        <f>VLOOKUP(Таблица1[[#This Row],[id клиента]],Таблица8[[id клиента]:[Страна]],7,0)</f>
        <v>Беларусь</v>
      </c>
      <c r="T708" s="26"/>
    </row>
    <row r="709" spans="1:20" ht="19.5" x14ac:dyDescent="0.4">
      <c r="A709" s="37">
        <v>708</v>
      </c>
      <c r="B709" s="31">
        <v>191</v>
      </c>
      <c r="C709" s="31">
        <v>248</v>
      </c>
      <c r="D709" s="31">
        <v>2</v>
      </c>
      <c r="E709" s="31">
        <v>496</v>
      </c>
      <c r="F709" s="38">
        <v>45148</v>
      </c>
      <c r="G709" s="31" t="s">
        <v>19</v>
      </c>
      <c r="H709" s="31">
        <v>177</v>
      </c>
      <c r="I709" s="31" t="str">
        <f>VLOOKUP(продажи!$B709,товар!$A$1:$C$433,2)</f>
        <v>Колбаса</v>
      </c>
      <c r="J709" s="31" t="str">
        <f>VLOOKUP(B709,товар!$A$1:$C$433,3)</f>
        <v>Окраина</v>
      </c>
      <c r="K709" s="39">
        <f>AVERAGEIF(продажи!$I$2:$I$1001,продажи!$I$2:$I$1001,продажи!$C$2:$C$1001)</f>
        <v>286.92307692307691</v>
      </c>
      <c r="L709" s="40">
        <f>продажи!$C709/продажи!$K709-1</f>
        <v>-0.13565683646112592</v>
      </c>
      <c r="M709" s="33">
        <f t="shared" si="22"/>
        <v>3283</v>
      </c>
      <c r="N709" s="24">
        <f>Таблица1[[#This Row],[цена за шт в рублях]]/Таблица1[[#This Row],[средняя стоимость в категории по поставщику.]]-1</f>
        <v>-0.9244593359731953</v>
      </c>
      <c r="O709" s="26">
        <f>VLOOKUP(Таблица1[[#This Row],[id клиента]],клиенты!$A$2:$E$435,5,0)</f>
        <v>44857</v>
      </c>
      <c r="P709">
        <f>Таблица1[[#This Row],[дата создания чека]]-Таблица1[[#This Row],[Дата регистрации клента]]</f>
        <v>291</v>
      </c>
      <c r="Q709" s="26">
        <f t="shared" ca="1" si="23"/>
        <v>46059</v>
      </c>
      <c r="R709" s="51">
        <f ca="1">(TODAY()-Таблица1[[#This Row],[Дата регистрации клента]])/30</f>
        <v>40.06666666666667</v>
      </c>
      <c r="S709" s="63" t="str">
        <f>VLOOKUP(Таблица1[[#This Row],[id клиента]],Таблица8[[id клиента]:[Страна]],7,0)</f>
        <v>Таджикистан</v>
      </c>
      <c r="T709" s="26"/>
    </row>
    <row r="710" spans="1:20" ht="19.5" x14ac:dyDescent="0.4">
      <c r="A710" s="41">
        <v>709</v>
      </c>
      <c r="B710" s="42">
        <v>198</v>
      </c>
      <c r="C710" s="42">
        <v>335</v>
      </c>
      <c r="D710" s="42">
        <v>3</v>
      </c>
      <c r="E710" s="42">
        <v>1005</v>
      </c>
      <c r="F710" s="43">
        <v>45164</v>
      </c>
      <c r="G710" s="42" t="s">
        <v>18</v>
      </c>
      <c r="H710" s="42">
        <v>111</v>
      </c>
      <c r="I710" s="42" t="str">
        <f>VLOOKUP(продажи!$B710,товар!$A$1:$C$433,2)</f>
        <v>Мясо</v>
      </c>
      <c r="J710" s="42" t="str">
        <f>VLOOKUP(B710,товар!$A$1:$C$433,3)</f>
        <v>Мираторг</v>
      </c>
      <c r="K710" s="44">
        <f>AVERAGEIF(продажи!$I$2:$I$1001,продажи!$I$2:$I$1001,продажи!$C$2:$C$1001)</f>
        <v>271.74545454545455</v>
      </c>
      <c r="L710" s="45">
        <f>продажи!$C710/продажи!$K710-1</f>
        <v>0.23277131004951146</v>
      </c>
      <c r="M710" s="33">
        <f t="shared" si="22"/>
        <v>3799</v>
      </c>
      <c r="N710" s="24">
        <f>Таблица1[[#This Row],[цена за шт в рублях]]/Таблица1[[#This Row],[средняя стоимость в категории по поставщику.]]-1</f>
        <v>-0.91181889971045016</v>
      </c>
      <c r="O710" s="26">
        <f>VLOOKUP(Таблица1[[#This Row],[id клиента]],клиенты!$A$2:$E$435,5,0)</f>
        <v>44804</v>
      </c>
      <c r="P710">
        <f>Таблица1[[#This Row],[дата создания чека]]-Таблица1[[#This Row],[Дата регистрации клента]]</f>
        <v>360</v>
      </c>
      <c r="Q710" s="26">
        <f t="shared" ca="1" si="23"/>
        <v>46059</v>
      </c>
      <c r="R710" s="51">
        <f ca="1">(TODAY()-Таблица1[[#This Row],[Дата регистрации клента]])/30</f>
        <v>41.833333333333336</v>
      </c>
      <c r="S710" s="63" t="str">
        <f>VLOOKUP(Таблица1[[#This Row],[id клиента]],Таблица8[[id клиента]:[Страна]],7,0)</f>
        <v>Узбекистан</v>
      </c>
      <c r="T710" s="26"/>
    </row>
    <row r="711" spans="1:20" ht="19.5" x14ac:dyDescent="0.4">
      <c r="A711" s="37">
        <v>710</v>
      </c>
      <c r="B711" s="31">
        <v>93</v>
      </c>
      <c r="C711" s="31">
        <v>343</v>
      </c>
      <c r="D711" s="31">
        <v>3</v>
      </c>
      <c r="E711" s="31">
        <v>1029</v>
      </c>
      <c r="F711" s="38">
        <v>44930</v>
      </c>
      <c r="G711" s="31" t="s">
        <v>26</v>
      </c>
      <c r="H711" s="31">
        <v>281</v>
      </c>
      <c r="I711" s="31" t="str">
        <f>VLOOKUP(продажи!$B711,товар!$A$1:$C$433,2)</f>
        <v>Чай</v>
      </c>
      <c r="J711" s="31" t="str">
        <f>VLOOKUP(B711,товар!$A$1:$C$433,3)</f>
        <v>Greenfield</v>
      </c>
      <c r="K711" s="39">
        <f>AVERAGEIF(продажи!$I$2:$I$1001,продажи!$I$2:$I$1001,продажи!$C$2:$C$1001)</f>
        <v>271.18181818181819</v>
      </c>
      <c r="L711" s="40">
        <f>продажи!$C711/продажи!$K711-1</f>
        <v>0.26483405967147156</v>
      </c>
      <c r="M711" s="33">
        <f t="shared" si="22"/>
        <v>6412</v>
      </c>
      <c r="N711" s="24">
        <f>Таблица1[[#This Row],[цена за шт в рублях]]/Таблица1[[#This Row],[средняя стоимость в категории по поставщику.]]-1</f>
        <v>-0.94650655021834063</v>
      </c>
      <c r="O711" s="26">
        <f>VLOOKUP(Таблица1[[#This Row],[id клиента]],клиенты!$A$2:$E$435,5,0)</f>
        <v>44711</v>
      </c>
      <c r="P711">
        <f>Таблица1[[#This Row],[дата создания чека]]-Таблица1[[#This Row],[Дата регистрации клента]]</f>
        <v>219</v>
      </c>
      <c r="Q711" s="26">
        <f t="shared" ca="1" si="23"/>
        <v>46059</v>
      </c>
      <c r="R711" s="51">
        <f ca="1">(TODAY()-Таблица1[[#This Row],[Дата регистрации клента]])/30</f>
        <v>44.93333333333333</v>
      </c>
      <c r="S711" s="63" t="str">
        <f>VLOOKUP(Таблица1[[#This Row],[id клиента]],Таблица8[[id клиента]:[Страна]],7,0)</f>
        <v>Узбекистан</v>
      </c>
      <c r="T711" s="26"/>
    </row>
    <row r="712" spans="1:20" ht="19.5" x14ac:dyDescent="0.4">
      <c r="A712" s="41">
        <v>711</v>
      </c>
      <c r="B712" s="42">
        <v>385</v>
      </c>
      <c r="C712" s="42">
        <v>309</v>
      </c>
      <c r="D712" s="42">
        <v>1</v>
      </c>
      <c r="E712" s="42">
        <v>309</v>
      </c>
      <c r="F712" s="43">
        <v>45100</v>
      </c>
      <c r="G712" s="42" t="s">
        <v>14</v>
      </c>
      <c r="H712" s="42">
        <v>177</v>
      </c>
      <c r="I712" s="42" t="str">
        <f>VLOOKUP(продажи!$B712,товар!$A$1:$C$433,2)</f>
        <v>Макароны</v>
      </c>
      <c r="J712" s="42" t="str">
        <f>VLOOKUP(B712,товар!$A$1:$C$433,3)</f>
        <v>Макфа</v>
      </c>
      <c r="K712" s="44">
        <f>AVERAGEIF(продажи!$I$2:$I$1001,продажи!$I$2:$I$1001,продажи!$C$2:$C$1001)</f>
        <v>265.47674418604652</v>
      </c>
      <c r="L712" s="45">
        <f>продажи!$C712/продажи!$K712-1</f>
        <v>0.16394376067627348</v>
      </c>
      <c r="M712" s="33">
        <f t="shared" si="22"/>
        <v>3622</v>
      </c>
      <c r="N712" s="24">
        <f>Таблица1[[#This Row],[цена за шт в рублях]]/Таблица1[[#This Row],[средняя стоимость в категории по поставщику.]]-1</f>
        <v>-0.91468801766979568</v>
      </c>
      <c r="O712" s="26">
        <f>VLOOKUP(Таблица1[[#This Row],[id клиента]],клиенты!$A$2:$E$435,5,0)</f>
        <v>44857</v>
      </c>
      <c r="P712">
        <f>Таблица1[[#This Row],[дата создания чека]]-Таблица1[[#This Row],[Дата регистрации клента]]</f>
        <v>243</v>
      </c>
      <c r="Q712" s="26">
        <f t="shared" ca="1" si="23"/>
        <v>46059</v>
      </c>
      <c r="R712" s="51">
        <f ca="1">(TODAY()-Таблица1[[#This Row],[Дата регистрации клента]])/30</f>
        <v>40.06666666666667</v>
      </c>
      <c r="S712" s="63" t="str">
        <f>VLOOKUP(Таблица1[[#This Row],[id клиента]],Таблица8[[id клиента]:[Страна]],7,0)</f>
        <v>Таджикистан</v>
      </c>
      <c r="T712" s="26"/>
    </row>
    <row r="713" spans="1:20" ht="19.5" x14ac:dyDescent="0.4">
      <c r="A713" s="37">
        <v>712</v>
      </c>
      <c r="B713" s="31">
        <v>456</v>
      </c>
      <c r="C713" s="31">
        <v>196</v>
      </c>
      <c r="D713" s="31">
        <v>4</v>
      </c>
      <c r="E713" s="31">
        <v>784</v>
      </c>
      <c r="F713" s="38">
        <v>45006</v>
      </c>
      <c r="G713" s="31" t="s">
        <v>12</v>
      </c>
      <c r="H713" s="31">
        <v>446</v>
      </c>
      <c r="I713" s="31" t="str">
        <f>VLOOKUP(продажи!$B713,товар!$A$1:$C$433,2)</f>
        <v>Колбаса</v>
      </c>
      <c r="J713" s="31" t="str">
        <f>VLOOKUP(B713,товар!$A$1:$C$433,3)</f>
        <v>Окраина</v>
      </c>
      <c r="K713" s="39">
        <f>AVERAGEIF(продажи!$I$2:$I$1001,продажи!$I$2:$I$1001,продажи!$C$2:$C$1001)</f>
        <v>286.92307692307691</v>
      </c>
      <c r="L713" s="40">
        <f>продажи!$C713/продажи!$K713-1</f>
        <v>-0.31689008042895439</v>
      </c>
      <c r="M713" s="33">
        <f t="shared" si="22"/>
        <v>3283</v>
      </c>
      <c r="N713" s="24">
        <f>Таблица1[[#This Row],[цена за шт в рублях]]/Таблица1[[#This Row],[средняя стоимость в категории по поставщику.]]-1</f>
        <v>-0.94029850746268662</v>
      </c>
      <c r="O713" s="26">
        <f>VLOOKUP(Таблица1[[#This Row],[id клиента]],клиенты!$A$2:$E$435,5,0)</f>
        <v>44671</v>
      </c>
      <c r="P713">
        <f>Таблица1[[#This Row],[дата создания чека]]-Таблица1[[#This Row],[Дата регистрации клента]]</f>
        <v>335</v>
      </c>
      <c r="Q713" s="26">
        <f t="shared" ca="1" si="23"/>
        <v>46059</v>
      </c>
      <c r="R713" s="51">
        <f ca="1">(TODAY()-Таблица1[[#This Row],[Дата регистрации клента]])/30</f>
        <v>46.266666666666666</v>
      </c>
      <c r="S713" s="63" t="str">
        <f>VLOOKUP(Таблица1[[#This Row],[id клиента]],Таблица8[[id клиента]:[Страна]],7,0)</f>
        <v>Таджикистан</v>
      </c>
      <c r="T713" s="26"/>
    </row>
    <row r="714" spans="1:20" ht="19.5" x14ac:dyDescent="0.4">
      <c r="A714" s="41">
        <v>713</v>
      </c>
      <c r="B714" s="42">
        <v>147</v>
      </c>
      <c r="C714" s="42">
        <v>258</v>
      </c>
      <c r="D714" s="42">
        <v>5</v>
      </c>
      <c r="E714" s="42">
        <v>1290</v>
      </c>
      <c r="F714" s="43">
        <v>45356</v>
      </c>
      <c r="G714" s="42" t="s">
        <v>11</v>
      </c>
      <c r="H714" s="42">
        <v>202</v>
      </c>
      <c r="I714" s="42" t="str">
        <f>VLOOKUP(продажи!$B714,товар!$A$1:$C$433,2)</f>
        <v>Конфеты</v>
      </c>
      <c r="J714" s="42" t="str">
        <f>VLOOKUP(B714,товар!$A$1:$C$433,3)</f>
        <v>Бабаевский</v>
      </c>
      <c r="K714" s="44">
        <f>AVERAGEIF(продажи!$I$2:$I$1001,продажи!$I$2:$I$1001,продажи!$C$2:$C$1001)</f>
        <v>267.85483870967744</v>
      </c>
      <c r="L714" s="45">
        <f>продажи!$C714/продажи!$K714-1</f>
        <v>-3.6791714337327752E-2</v>
      </c>
      <c r="M714" s="33">
        <f t="shared" si="22"/>
        <v>6757</v>
      </c>
      <c r="N714" s="24">
        <f>Таблица1[[#This Row],[цена за шт в рублях]]/Таблица1[[#This Row],[средняя стоимость в категории по поставщику.]]-1</f>
        <v>-0.96181737457451533</v>
      </c>
      <c r="O714" s="26">
        <f>VLOOKUP(Таблица1[[#This Row],[id клиента]],клиенты!$A$2:$E$435,5,0)</f>
        <v>44766</v>
      </c>
      <c r="P714">
        <f>Таблица1[[#This Row],[дата создания чека]]-Таблица1[[#This Row],[Дата регистрации клента]]</f>
        <v>590</v>
      </c>
      <c r="Q714" s="26">
        <f t="shared" ca="1" si="23"/>
        <v>46059</v>
      </c>
      <c r="R714" s="51">
        <f ca="1">(TODAY()-Таблица1[[#This Row],[Дата регистрации клента]])/30</f>
        <v>43.1</v>
      </c>
      <c r="S714" s="63" t="str">
        <f>VLOOKUP(Таблица1[[#This Row],[id клиента]],Таблица8[[id клиента]:[Страна]],7,0)</f>
        <v>Беларусь</v>
      </c>
      <c r="T714" s="26"/>
    </row>
    <row r="715" spans="1:20" ht="19.5" x14ac:dyDescent="0.4">
      <c r="A715" s="37">
        <v>714</v>
      </c>
      <c r="B715" s="31">
        <v>47</v>
      </c>
      <c r="C715" s="31">
        <v>496</v>
      </c>
      <c r="D715" s="31">
        <v>2</v>
      </c>
      <c r="E715" s="31">
        <v>992</v>
      </c>
      <c r="F715" s="38">
        <v>45196</v>
      </c>
      <c r="G715" s="31" t="s">
        <v>10</v>
      </c>
      <c r="H715" s="31">
        <v>140</v>
      </c>
      <c r="I715" s="31" t="str">
        <f>VLOOKUP(продажи!$B715,товар!$A$1:$C$433,2)</f>
        <v>Мясо</v>
      </c>
      <c r="J715" s="31" t="str">
        <f>VLOOKUP(B715,товар!$A$1:$C$433,3)</f>
        <v>Снежана</v>
      </c>
      <c r="K715" s="39">
        <f>AVERAGEIF(продажи!$I$2:$I$1001,продажи!$I$2:$I$1001,продажи!$C$2:$C$1001)</f>
        <v>271.74545454545455</v>
      </c>
      <c r="L715" s="40">
        <f>продажи!$C715/продажи!$K715-1</f>
        <v>0.82523752174494835</v>
      </c>
      <c r="M715" s="33">
        <f t="shared" si="22"/>
        <v>4630</v>
      </c>
      <c r="N715" s="24">
        <f>Таблица1[[#This Row],[цена за шт в рублях]]/Таблица1[[#This Row],[средняя стоимость в категории по поставщику.]]-1</f>
        <v>-0.89287257019438449</v>
      </c>
      <c r="O715" s="26">
        <f>VLOOKUP(Таблица1[[#This Row],[id клиента]],клиенты!$A$2:$E$435,5,0)</f>
        <v>44627</v>
      </c>
      <c r="P715">
        <f>Таблица1[[#This Row],[дата создания чека]]-Таблица1[[#This Row],[Дата регистрации клента]]</f>
        <v>569</v>
      </c>
      <c r="Q715" s="26">
        <f t="shared" ca="1" si="23"/>
        <v>46059</v>
      </c>
      <c r="R715" s="51">
        <f ca="1">(TODAY()-Таблица1[[#This Row],[Дата регистрации клента]])/30</f>
        <v>47.733333333333334</v>
      </c>
      <c r="S715" s="63" t="str">
        <f>VLOOKUP(Таблица1[[#This Row],[id клиента]],Таблица8[[id клиента]:[Страна]],7,0)</f>
        <v>Россия</v>
      </c>
      <c r="T715" s="26"/>
    </row>
    <row r="716" spans="1:20" ht="19.5" x14ac:dyDescent="0.4">
      <c r="A716" s="37">
        <v>82</v>
      </c>
      <c r="B716" s="31">
        <v>334</v>
      </c>
      <c r="C716" s="31">
        <v>396</v>
      </c>
      <c r="D716" s="31">
        <v>4</v>
      </c>
      <c r="E716" s="31">
        <v>1584</v>
      </c>
      <c r="F716" s="57">
        <v>45173</v>
      </c>
      <c r="G716" s="31" t="s">
        <v>25</v>
      </c>
      <c r="H716" s="55">
        <v>134</v>
      </c>
      <c r="I716" s="31" t="str">
        <f>VLOOKUP(продажи!$B83,товар!$A$1:$C$433,2)</f>
        <v>Молоко</v>
      </c>
      <c r="J716" s="31" t="str">
        <f>VLOOKUP(B716,товар!$A$1:$C$433,3)</f>
        <v>Домик в деревне</v>
      </c>
      <c r="K716" s="39">
        <f>AVERAGEIF(продажи!$I$2:$I$1001,продажи!$I$2:$I$1001,продажи!$C$2:$C$1001)</f>
        <v>294.95238095238096</v>
      </c>
      <c r="L716" s="40">
        <f>продажи!$C83/продажи!$K83-1</f>
        <v>-0.63044882144010339</v>
      </c>
      <c r="M716" s="53">
        <f t="shared" si="22"/>
        <v>4946</v>
      </c>
      <c r="N716" s="24">
        <f>Таблица1[[#This Row],[цена за шт в рублях]]/Таблица1[[#This Row],[средняя стоимость в категории по поставщику.]]-1</f>
        <v>-0.91993530125353817</v>
      </c>
      <c r="O716" s="26">
        <f>VLOOKUP(Таблица1[[#This Row],[id клиента]],клиенты!$A$2:$E$435,5,0)</f>
        <v>44753</v>
      </c>
      <c r="P716">
        <f>Таблица1[[#This Row],[дата создания чека]]-Таблица1[[#This Row],[Дата регистрации клента]]</f>
        <v>420</v>
      </c>
      <c r="Q716" s="26">
        <f t="shared" ca="1" si="23"/>
        <v>46059</v>
      </c>
      <c r="R716" s="51">
        <f ca="1">(TODAY()-Таблица1[[#This Row],[Дата регистрации клента]])/30</f>
        <v>43.533333333333331</v>
      </c>
      <c r="S716" s="63" t="str">
        <f>VLOOKUP(Таблица1[[#This Row],[id клиента]],Таблица8[[id клиента]:[Страна]],7,0)</f>
        <v>Россия</v>
      </c>
      <c r="T716" s="26"/>
    </row>
    <row r="717" spans="1:20" ht="19.5" x14ac:dyDescent="0.4">
      <c r="A717" s="37">
        <v>716</v>
      </c>
      <c r="B717" s="31">
        <v>296</v>
      </c>
      <c r="C717" s="31">
        <v>155</v>
      </c>
      <c r="D717" s="31">
        <v>1</v>
      </c>
      <c r="E717" s="31">
        <v>155</v>
      </c>
      <c r="F717" s="38">
        <v>45349</v>
      </c>
      <c r="G717" s="31" t="s">
        <v>26</v>
      </c>
      <c r="H717" s="31">
        <v>188</v>
      </c>
      <c r="I717" s="31" t="str">
        <f>VLOOKUP(продажи!$B717,товар!$A$1:$C$433,2)</f>
        <v>Крупа</v>
      </c>
      <c r="J717" s="31" t="str">
        <f>VLOOKUP(B717,товар!$A$1:$C$433,3)</f>
        <v>Мистраль</v>
      </c>
      <c r="K717" s="39">
        <f>AVERAGEIF(продажи!$I$2:$I$1001,продажи!$I$2:$I$1001,продажи!$C$2:$C$1001)</f>
        <v>255.11627906976744</v>
      </c>
      <c r="L717" s="40">
        <f>продажи!$C717/продажи!$K717-1</f>
        <v>-0.39243391066545119</v>
      </c>
      <c r="M717" s="33">
        <f t="shared" si="22"/>
        <v>3254</v>
      </c>
      <c r="N717" s="24">
        <f>Таблица1[[#This Row],[цена за шт в рублях]]/Таблица1[[#This Row],[средняя стоимость в категории по поставщику.]]-1</f>
        <v>-0.95236631837738173</v>
      </c>
      <c r="O717" s="26">
        <f>VLOOKUP(Таблица1[[#This Row],[id клиента]],клиенты!$A$2:$E$435,5,0)</f>
        <v>44801</v>
      </c>
      <c r="P717">
        <f>Таблица1[[#This Row],[дата создания чека]]-Таблица1[[#This Row],[Дата регистрации клента]]</f>
        <v>548</v>
      </c>
      <c r="Q717" s="26">
        <f t="shared" ca="1" si="23"/>
        <v>46059</v>
      </c>
      <c r="R717" s="51">
        <f ca="1">(TODAY()-Таблица1[[#This Row],[Дата регистрации клента]])/30</f>
        <v>41.93333333333333</v>
      </c>
      <c r="S717" s="63" t="str">
        <f>VLOOKUP(Таблица1[[#This Row],[id клиента]],Таблица8[[id клиента]:[Страна]],7,0)</f>
        <v>Таджикистан</v>
      </c>
      <c r="T717" s="26"/>
    </row>
    <row r="718" spans="1:20" ht="19.5" x14ac:dyDescent="0.4">
      <c r="A718" s="41">
        <v>717</v>
      </c>
      <c r="B718" s="42">
        <v>448</v>
      </c>
      <c r="C718" s="42">
        <v>72</v>
      </c>
      <c r="D718" s="42">
        <v>5</v>
      </c>
      <c r="E718" s="42">
        <v>360</v>
      </c>
      <c r="F718" s="43">
        <v>45409</v>
      </c>
      <c r="G718" s="42" t="s">
        <v>18</v>
      </c>
      <c r="H718" s="42">
        <v>63</v>
      </c>
      <c r="I718" s="42" t="str">
        <f>VLOOKUP(продажи!$B718,товар!$A$1:$C$433,2)</f>
        <v>Йогурт</v>
      </c>
      <c r="J718" s="42" t="str">
        <f>VLOOKUP(B718,товар!$A$1:$C$433,3)</f>
        <v>Ростагроэкспорт</v>
      </c>
      <c r="K718" s="44">
        <f>AVERAGEIF(продажи!$I$2:$I$1001,продажи!$I$2:$I$1001,продажи!$C$2:$C$1001)</f>
        <v>263.25423728813558</v>
      </c>
      <c r="L718" s="45">
        <f>продажи!$C718/продажи!$K718-1</f>
        <v>-0.72650012876641767</v>
      </c>
      <c r="M718" s="33">
        <f t="shared" si="22"/>
        <v>5929</v>
      </c>
      <c r="N718" s="24">
        <f>Таблица1[[#This Row],[цена за шт в рублях]]/Таблица1[[#This Row],[средняя стоимость в категории по поставщику.]]-1</f>
        <v>-0.98785629954461118</v>
      </c>
      <c r="O718" s="26">
        <f>VLOOKUP(Таблица1[[#This Row],[id клиента]],клиенты!$A$2:$E$435,5,0)</f>
        <v>44684</v>
      </c>
      <c r="P718">
        <f>Таблица1[[#This Row],[дата создания чека]]-Таблица1[[#This Row],[Дата регистрации клента]]</f>
        <v>725</v>
      </c>
      <c r="Q718" s="26">
        <f t="shared" ca="1" si="23"/>
        <v>46059</v>
      </c>
      <c r="R718" s="51">
        <f ca="1">(TODAY()-Таблица1[[#This Row],[Дата регистрации клента]])/30</f>
        <v>45.833333333333336</v>
      </c>
      <c r="S718" s="63" t="str">
        <f>VLOOKUP(Таблица1[[#This Row],[id клиента]],Таблица8[[id клиента]:[Страна]],7,0)</f>
        <v>Украина</v>
      </c>
      <c r="T718" s="26"/>
    </row>
    <row r="719" spans="1:20" ht="19.5" x14ac:dyDescent="0.4">
      <c r="A719" s="37">
        <v>718</v>
      </c>
      <c r="B719" s="31">
        <v>38</v>
      </c>
      <c r="C719" s="31">
        <v>191</v>
      </c>
      <c r="D719" s="31">
        <v>5</v>
      </c>
      <c r="E719" s="31">
        <v>955</v>
      </c>
      <c r="F719" s="38">
        <v>44992</v>
      </c>
      <c r="G719" s="31" t="s">
        <v>22</v>
      </c>
      <c r="H719" s="31">
        <v>25</v>
      </c>
      <c r="I719" s="31" t="str">
        <f>VLOOKUP(продажи!$B719,товар!$A$1:$C$433,2)</f>
        <v>Конфеты</v>
      </c>
      <c r="J719" s="31" t="str">
        <f>VLOOKUP(B719,товар!$A$1:$C$433,3)</f>
        <v>Рот Фронт</v>
      </c>
      <c r="K719" s="39">
        <f>AVERAGEIF(продажи!$I$2:$I$1001,продажи!$I$2:$I$1001,продажи!$C$2:$C$1001)</f>
        <v>267.85483870967744</v>
      </c>
      <c r="L719" s="40">
        <f>продажи!$C719/продажи!$K719-1</f>
        <v>-0.2869271993737581</v>
      </c>
      <c r="M719" s="33">
        <f t="shared" si="22"/>
        <v>6053</v>
      </c>
      <c r="N719" s="24">
        <f>Таблица1[[#This Row],[цена за шт в рублях]]/Таблица1[[#This Row],[средняя стоимость в категории по поставщику.]]-1</f>
        <v>-0.96844539897571447</v>
      </c>
      <c r="O719" s="26">
        <f>VLOOKUP(Таблица1[[#This Row],[id клиента]],клиенты!$A$2:$E$435,5,0)</f>
        <v>44582</v>
      </c>
      <c r="P719">
        <f>Таблица1[[#This Row],[дата создания чека]]-Таблица1[[#This Row],[Дата регистрации клента]]</f>
        <v>410</v>
      </c>
      <c r="Q719" s="26">
        <f t="shared" ca="1" si="23"/>
        <v>46059</v>
      </c>
      <c r="R719" s="51">
        <f ca="1">(TODAY()-Таблица1[[#This Row],[Дата регистрации клента]])/30</f>
        <v>49.233333333333334</v>
      </c>
      <c r="S719" s="63" t="str">
        <f>VLOOKUP(Таблица1[[#This Row],[id клиента]],Таблица8[[id клиента]:[Страна]],7,0)</f>
        <v>Таджикистан</v>
      </c>
      <c r="T719" s="26"/>
    </row>
    <row r="720" spans="1:20" ht="19.5" x14ac:dyDescent="0.4">
      <c r="A720" s="41">
        <v>719</v>
      </c>
      <c r="B720" s="42">
        <v>272</v>
      </c>
      <c r="C720" s="42">
        <v>362</v>
      </c>
      <c r="D720" s="42">
        <v>2</v>
      </c>
      <c r="E720" s="42">
        <v>724</v>
      </c>
      <c r="F720" s="43">
        <v>45025</v>
      </c>
      <c r="G720" s="42" t="s">
        <v>26</v>
      </c>
      <c r="H720" s="42">
        <v>409</v>
      </c>
      <c r="I720" s="42" t="str">
        <f>VLOOKUP(продажи!$B720,товар!$A$1:$C$433,2)</f>
        <v>Крупа</v>
      </c>
      <c r="J720" s="42" t="str">
        <f>VLOOKUP(B720,товар!$A$1:$C$433,3)</f>
        <v>Ярмарка</v>
      </c>
      <c r="K720" s="44">
        <f>AVERAGEIF(продажи!$I$2:$I$1001,продажи!$I$2:$I$1001,продажи!$C$2:$C$1001)</f>
        <v>255.11627906976744</v>
      </c>
      <c r="L720" s="45">
        <f>продажи!$C720/продажи!$K720-1</f>
        <v>0.41896080218778486</v>
      </c>
      <c r="M720" s="33">
        <f t="shared" si="22"/>
        <v>2773</v>
      </c>
      <c r="N720" s="24">
        <f>Таблица1[[#This Row],[цена за шт в рублях]]/Таблица1[[#This Row],[средняя стоимость в категории по поставщику.]]-1</f>
        <v>-0.86945546339704294</v>
      </c>
      <c r="O720" s="26">
        <f>VLOOKUP(Таблица1[[#This Row],[id клиента]],клиенты!$A$2:$E$435,5,0)</f>
        <v>44869</v>
      </c>
      <c r="P720">
        <f>Таблица1[[#This Row],[дата создания чека]]-Таблица1[[#This Row],[Дата регистрации клента]]</f>
        <v>156</v>
      </c>
      <c r="Q720" s="26">
        <f t="shared" ca="1" si="23"/>
        <v>46059</v>
      </c>
      <c r="R720" s="51">
        <f ca="1">(TODAY()-Таблица1[[#This Row],[Дата регистрации клента]])/30</f>
        <v>39.666666666666664</v>
      </c>
      <c r="S720" s="63" t="str">
        <f>VLOOKUP(Таблица1[[#This Row],[id клиента]],Таблица8[[id клиента]:[Страна]],7,0)</f>
        <v>Украина</v>
      </c>
      <c r="T720" s="26"/>
    </row>
    <row r="721" spans="1:20" ht="19.5" x14ac:dyDescent="0.4">
      <c r="A721" s="37">
        <v>720</v>
      </c>
      <c r="B721" s="31">
        <v>426</v>
      </c>
      <c r="C721" s="31">
        <v>394</v>
      </c>
      <c r="D721" s="31">
        <v>5</v>
      </c>
      <c r="E721" s="31">
        <v>1970</v>
      </c>
      <c r="F721" s="38">
        <v>45349</v>
      </c>
      <c r="G721" s="31" t="s">
        <v>23</v>
      </c>
      <c r="H721" s="31">
        <v>386</v>
      </c>
      <c r="I721" s="31" t="str">
        <f>VLOOKUP(продажи!$B721,товар!$A$1:$C$433,2)</f>
        <v>Печенье</v>
      </c>
      <c r="J721" s="31" t="str">
        <f>VLOOKUP(B721,товар!$A$1:$C$433,3)</f>
        <v>Посиделкино</v>
      </c>
      <c r="K721" s="39">
        <f>AVERAGEIF(продажи!$I$2:$I$1001,продажи!$I$2:$I$1001,продажи!$C$2:$C$1001)</f>
        <v>283.468085106383</v>
      </c>
      <c r="L721" s="40">
        <f>продажи!$C721/продажи!$K721-1</f>
        <v>0.38992719357502059</v>
      </c>
      <c r="M721" s="33">
        <f t="shared" si="22"/>
        <v>3538</v>
      </c>
      <c r="N721" s="24">
        <f>Таблица1[[#This Row],[цена за шт в рублях]]/Таблица1[[#This Row],[средняя стоимость в категории по поставщику.]]-1</f>
        <v>-0.88863764838892023</v>
      </c>
      <c r="O721" s="26">
        <f>VLOOKUP(Таблица1[[#This Row],[id клиента]],клиенты!$A$2:$E$435,5,0)</f>
        <v>44734</v>
      </c>
      <c r="P721">
        <f>Таблица1[[#This Row],[дата создания чека]]-Таблица1[[#This Row],[Дата регистрации клента]]</f>
        <v>615</v>
      </c>
      <c r="Q721" s="26">
        <f t="shared" ca="1" si="23"/>
        <v>46059</v>
      </c>
      <c r="R721" s="51">
        <f ca="1">(TODAY()-Таблица1[[#This Row],[Дата регистрации клента]])/30</f>
        <v>44.166666666666664</v>
      </c>
      <c r="S721" s="63" t="str">
        <f>VLOOKUP(Таблица1[[#This Row],[id клиента]],Таблица8[[id клиента]:[Страна]],7,0)</f>
        <v>Узбекистан</v>
      </c>
      <c r="T721" s="26"/>
    </row>
    <row r="722" spans="1:20" ht="19.5" x14ac:dyDescent="0.4">
      <c r="A722" s="41">
        <v>721</v>
      </c>
      <c r="B722" s="42">
        <v>378</v>
      </c>
      <c r="C722" s="42">
        <v>203</v>
      </c>
      <c r="D722" s="42">
        <v>4</v>
      </c>
      <c r="E722" s="42">
        <v>812</v>
      </c>
      <c r="F722" s="43">
        <v>45244</v>
      </c>
      <c r="G722" s="42" t="s">
        <v>16</v>
      </c>
      <c r="H722" s="42">
        <v>238</v>
      </c>
      <c r="I722" s="42" t="str">
        <f>VLOOKUP(продажи!$B722,товар!$A$1:$C$433,2)</f>
        <v>Сок</v>
      </c>
      <c r="J722" s="42" t="str">
        <f>VLOOKUP(B722,товар!$A$1:$C$433,3)</f>
        <v>Фруктовый сад</v>
      </c>
      <c r="K722" s="44">
        <f>AVERAGEIF(продажи!$I$2:$I$1001,продажи!$I$2:$I$1001,продажи!$C$2:$C$1001)</f>
        <v>268.60344827586209</v>
      </c>
      <c r="L722" s="45">
        <f>продажи!$C722/продажи!$K722-1</f>
        <v>-0.24423903973297389</v>
      </c>
      <c r="M722" s="33">
        <f t="shared" si="22"/>
        <v>9023</v>
      </c>
      <c r="N722" s="24">
        <f>Таблица1[[#This Row],[цена за шт в рублях]]/Таблица1[[#This Row],[средняя стоимость в категории по поставщику.]]-1</f>
        <v>-0.97750193948797515</v>
      </c>
      <c r="O722" s="26">
        <f>VLOOKUP(Таблица1[[#This Row],[id клиента]],клиенты!$A$2:$E$435,5,0)</f>
        <v>44909</v>
      </c>
      <c r="P722">
        <f>Таблица1[[#This Row],[дата создания чека]]-Таблица1[[#This Row],[Дата регистрации клента]]</f>
        <v>335</v>
      </c>
      <c r="Q722" s="26">
        <f t="shared" ca="1" si="23"/>
        <v>46059</v>
      </c>
      <c r="R722" s="51">
        <f ca="1">(TODAY()-Таблица1[[#This Row],[Дата регистрации клента]])/30</f>
        <v>38.333333333333336</v>
      </c>
      <c r="S722" s="63" t="str">
        <f>VLOOKUP(Таблица1[[#This Row],[id клиента]],Таблица8[[id клиента]:[Страна]],7,0)</f>
        <v>Украина</v>
      </c>
      <c r="T722" s="26"/>
    </row>
    <row r="723" spans="1:20" ht="19.5" x14ac:dyDescent="0.4">
      <c r="A723" s="37">
        <v>722</v>
      </c>
      <c r="B723" s="31">
        <v>134</v>
      </c>
      <c r="C723" s="31">
        <v>450</v>
      </c>
      <c r="D723" s="31">
        <v>5</v>
      </c>
      <c r="E723" s="31">
        <v>2250</v>
      </c>
      <c r="F723" s="38">
        <v>45061</v>
      </c>
      <c r="G723" s="31" t="s">
        <v>8</v>
      </c>
      <c r="H723" s="31">
        <v>480</v>
      </c>
      <c r="I723" s="31" t="str">
        <f>VLOOKUP(продажи!$B723,товар!$A$1:$C$433,2)</f>
        <v>Рыба</v>
      </c>
      <c r="J723" s="31" t="str">
        <f>VLOOKUP(B723,товар!$A$1:$C$433,3)</f>
        <v>Меридиан</v>
      </c>
      <c r="K723" s="39">
        <f>AVERAGEIF(продажи!$I$2:$I$1001,продажи!$I$2:$I$1001,продажи!$C$2:$C$1001)</f>
        <v>258.5128205128205</v>
      </c>
      <c r="L723" s="40">
        <f>продажи!$C723/продажи!$K723-1</f>
        <v>0.74072604641936124</v>
      </c>
      <c r="M723" s="33">
        <f t="shared" si="22"/>
        <v>4431</v>
      </c>
      <c r="N723" s="24">
        <f>Таблица1[[#This Row],[цена за шт в рублях]]/Таблица1[[#This Row],[средняя стоимость в категории по поставщику.]]-1</f>
        <v>-0.89844278943805012</v>
      </c>
      <c r="O723" s="26">
        <f>VLOOKUP(Таблица1[[#This Row],[id клиента]],клиенты!$A$2:$E$435,5,0)</f>
        <v>44568</v>
      </c>
      <c r="P723">
        <f>Таблица1[[#This Row],[дата создания чека]]-Таблица1[[#This Row],[Дата регистрации клента]]</f>
        <v>493</v>
      </c>
      <c r="Q723" s="26">
        <f t="shared" ca="1" si="23"/>
        <v>46059</v>
      </c>
      <c r="R723" s="51">
        <f ca="1">(TODAY()-Таблица1[[#This Row],[Дата регистрации клента]])/30</f>
        <v>49.7</v>
      </c>
      <c r="S723" s="63" t="str">
        <f>VLOOKUP(Таблица1[[#This Row],[id клиента]],Таблица8[[id клиента]:[Страна]],7,0)</f>
        <v>Узбекистан</v>
      </c>
      <c r="T723" s="26"/>
    </row>
    <row r="724" spans="1:20" ht="19.5" x14ac:dyDescent="0.4">
      <c r="A724" s="41">
        <v>723</v>
      </c>
      <c r="B724" s="42">
        <v>485</v>
      </c>
      <c r="C724" s="42">
        <v>323</v>
      </c>
      <c r="D724" s="42">
        <v>1</v>
      </c>
      <c r="E724" s="42">
        <v>323</v>
      </c>
      <c r="F724" s="43">
        <v>45144</v>
      </c>
      <c r="G724" s="42" t="s">
        <v>25</v>
      </c>
      <c r="H724" s="42">
        <v>157</v>
      </c>
      <c r="I724" s="42" t="str">
        <f>VLOOKUP(продажи!$B724,товар!$A$1:$C$433,2)</f>
        <v>Макароны</v>
      </c>
      <c r="J724" s="42" t="str">
        <f>VLOOKUP(B724,товар!$A$1:$C$433,3)</f>
        <v>Борилла</v>
      </c>
      <c r="K724" s="44">
        <f>AVERAGEIF(продажи!$I$2:$I$1001,продажи!$I$2:$I$1001,продажи!$C$2:$C$1001)</f>
        <v>265.47674418604652</v>
      </c>
      <c r="L724" s="45">
        <f>продажи!$C724/продажи!$K724-1</f>
        <v>0.2166790766939688</v>
      </c>
      <c r="M724" s="33">
        <f t="shared" si="22"/>
        <v>6852</v>
      </c>
      <c r="N724" s="24">
        <f>Таблица1[[#This Row],[цена за шт в рублях]]/Таблица1[[#This Row],[средняя стоимость в категории по поставщику.]]-1</f>
        <v>-0.95286047869235257</v>
      </c>
      <c r="O724" s="26">
        <f>VLOOKUP(Таблица1[[#This Row],[id клиента]],клиенты!$A$2:$E$435,5,0)</f>
        <v>44783</v>
      </c>
      <c r="P724">
        <f>Таблица1[[#This Row],[дата создания чека]]-Таблица1[[#This Row],[Дата регистрации клента]]</f>
        <v>361</v>
      </c>
      <c r="Q724" s="26">
        <f t="shared" ca="1" si="23"/>
        <v>46059</v>
      </c>
      <c r="R724" s="51">
        <f ca="1">(TODAY()-Таблица1[[#This Row],[Дата регистрации клента]])/30</f>
        <v>42.533333333333331</v>
      </c>
      <c r="S724" s="63" t="str">
        <f>VLOOKUP(Таблица1[[#This Row],[id клиента]],Таблица8[[id клиента]:[Страна]],7,0)</f>
        <v>Россия</v>
      </c>
      <c r="T724" s="26"/>
    </row>
    <row r="725" spans="1:20" ht="19.5" x14ac:dyDescent="0.4">
      <c r="A725" s="37">
        <v>330</v>
      </c>
      <c r="B725" s="31">
        <v>188</v>
      </c>
      <c r="C725" s="31">
        <v>154</v>
      </c>
      <c r="D725" s="31">
        <v>4</v>
      </c>
      <c r="E725" s="31">
        <v>616</v>
      </c>
      <c r="F725" s="57">
        <v>45243</v>
      </c>
      <c r="G725" s="31" t="s">
        <v>26</v>
      </c>
      <c r="H725" s="55">
        <v>187</v>
      </c>
      <c r="I725" s="31" t="str">
        <f>VLOOKUP(продажи!$B331,товар!$A$1:$C$433,2)</f>
        <v>Молоко</v>
      </c>
      <c r="J725" s="31" t="str">
        <f>VLOOKUP(B725,товар!$A$1:$C$433,3)</f>
        <v>Вимм-Билль-Данн</v>
      </c>
      <c r="K725" s="39">
        <f>AVERAGEIF(продажи!$I$2:$I$1001,продажи!$I$2:$I$1001,продажи!$C$2:$C$1001)</f>
        <v>294.95238095238096</v>
      </c>
      <c r="L725" s="40">
        <f>продажи!$C331/продажи!$K331-1</f>
        <v>-0.24394575395544082</v>
      </c>
      <c r="M725" s="53">
        <f t="shared" si="22"/>
        <v>387</v>
      </c>
      <c r="N725" s="24">
        <f>Таблица1[[#This Row],[цена за шт в рублях]]/Таблица1[[#This Row],[средняя стоимость в категории по поставщику.]]-1</f>
        <v>-0.6020671834625323</v>
      </c>
      <c r="O725" s="26">
        <f>VLOOKUP(Таблица1[[#This Row],[id клиента]],клиенты!$A$2:$E$435,5,0)</f>
        <v>44848</v>
      </c>
      <c r="P725">
        <f>Таблица1[[#This Row],[дата создания чека]]-Таблица1[[#This Row],[Дата регистрации клента]]</f>
        <v>395</v>
      </c>
      <c r="Q725" s="26">
        <f t="shared" ca="1" si="23"/>
        <v>46059</v>
      </c>
      <c r="R725" s="51">
        <f ca="1">(TODAY()-Таблица1[[#This Row],[Дата регистрации клента]])/30</f>
        <v>40.366666666666667</v>
      </c>
      <c r="S725" s="63" t="str">
        <f>VLOOKUP(Таблица1[[#This Row],[id клиента]],Таблица8[[id клиента]:[Страна]],7,0)</f>
        <v>Россия</v>
      </c>
      <c r="T725" s="26"/>
    </row>
    <row r="726" spans="1:20" ht="19.5" x14ac:dyDescent="0.4">
      <c r="A726" s="41">
        <v>725</v>
      </c>
      <c r="B726" s="42">
        <v>28</v>
      </c>
      <c r="C726" s="42">
        <v>459</v>
      </c>
      <c r="D726" s="42">
        <v>1</v>
      </c>
      <c r="E726" s="42">
        <v>459</v>
      </c>
      <c r="F726" s="43">
        <v>45377</v>
      </c>
      <c r="G726" s="42" t="s">
        <v>8</v>
      </c>
      <c r="H726" s="42">
        <v>63</v>
      </c>
      <c r="I726" s="42" t="str">
        <f>VLOOKUP(продажи!$B726,товар!$A$1:$C$433,2)</f>
        <v>Крупа</v>
      </c>
      <c r="J726" s="42" t="str">
        <f>VLOOKUP(B726,товар!$A$1:$C$433,3)</f>
        <v>Националь</v>
      </c>
      <c r="K726" s="44">
        <f>AVERAGEIF(продажи!$I$2:$I$1001,продажи!$I$2:$I$1001,продажи!$C$2:$C$1001)</f>
        <v>255.11627906976744</v>
      </c>
      <c r="L726" s="45">
        <f>продажи!$C726/продажи!$K726-1</f>
        <v>0.79917958067456696</v>
      </c>
      <c r="M726" s="33">
        <f t="shared" si="22"/>
        <v>1920</v>
      </c>
      <c r="N726" s="24">
        <f>Таблица1[[#This Row],[цена за шт в рублях]]/Таблица1[[#This Row],[средняя стоимость в категории по поставщику.]]-1</f>
        <v>-0.76093750000000004</v>
      </c>
      <c r="O726" s="26">
        <f>VLOOKUP(Таблица1[[#This Row],[id клиента]],клиенты!$A$2:$E$435,5,0)</f>
        <v>44684</v>
      </c>
      <c r="P726">
        <f>Таблица1[[#This Row],[дата создания чека]]-Таблица1[[#This Row],[Дата регистрации клента]]</f>
        <v>693</v>
      </c>
      <c r="Q726" s="26">
        <f t="shared" ca="1" si="23"/>
        <v>46059</v>
      </c>
      <c r="R726" s="51">
        <f ca="1">(TODAY()-Таблица1[[#This Row],[Дата регистрации клента]])/30</f>
        <v>45.833333333333336</v>
      </c>
      <c r="S726" s="63" t="str">
        <f>VLOOKUP(Таблица1[[#This Row],[id клиента]],Таблица8[[id клиента]:[Страна]],7,0)</f>
        <v>Украина</v>
      </c>
      <c r="T726" s="26"/>
    </row>
    <row r="727" spans="1:20" ht="19.5" x14ac:dyDescent="0.4">
      <c r="A727" s="37">
        <v>726</v>
      </c>
      <c r="B727" s="31">
        <v>195</v>
      </c>
      <c r="C727" s="31">
        <v>497</v>
      </c>
      <c r="D727" s="31">
        <v>5</v>
      </c>
      <c r="E727" s="31">
        <v>2485</v>
      </c>
      <c r="F727" s="38">
        <v>45136</v>
      </c>
      <c r="G727" s="31" t="s">
        <v>24</v>
      </c>
      <c r="H727" s="31">
        <v>105</v>
      </c>
      <c r="I727" s="31" t="str">
        <f>VLOOKUP(продажи!$B727,товар!$A$1:$C$433,2)</f>
        <v>Хлеб</v>
      </c>
      <c r="J727" s="31" t="str">
        <f>VLOOKUP(B727,товар!$A$1:$C$433,3)</f>
        <v>Каравай</v>
      </c>
      <c r="K727" s="39">
        <f>AVERAGEIF(продажи!$I$2:$I$1001,продажи!$I$2:$I$1001,продажи!$C$2:$C$1001)</f>
        <v>300.31818181818181</v>
      </c>
      <c r="L727" s="40">
        <f>продажи!$C727/продажи!$K727-1</f>
        <v>0.65491145754502811</v>
      </c>
      <c r="M727" s="33">
        <f t="shared" si="22"/>
        <v>3974</v>
      </c>
      <c r="N727" s="24">
        <f>Таблица1[[#This Row],[цена за шт в рублях]]/Таблица1[[#This Row],[средняя стоимость в категории по поставщику.]]-1</f>
        <v>-0.87493709109209861</v>
      </c>
      <c r="O727" s="26">
        <f>VLOOKUP(Таблица1[[#This Row],[id клиента]],клиенты!$A$2:$E$435,5,0)</f>
        <v>44918</v>
      </c>
      <c r="P727">
        <f>Таблица1[[#This Row],[дата создания чека]]-Таблица1[[#This Row],[Дата регистрации клента]]</f>
        <v>218</v>
      </c>
      <c r="Q727" s="26">
        <f t="shared" ca="1" si="23"/>
        <v>46059</v>
      </c>
      <c r="R727" s="51">
        <f ca="1">(TODAY()-Таблица1[[#This Row],[Дата регистрации клента]])/30</f>
        <v>38.033333333333331</v>
      </c>
      <c r="S727" s="63" t="str">
        <f>VLOOKUP(Таблица1[[#This Row],[id клиента]],Таблица8[[id клиента]:[Страна]],7,0)</f>
        <v>Узбекистан</v>
      </c>
      <c r="T727" s="26"/>
    </row>
    <row r="728" spans="1:20" ht="19.5" x14ac:dyDescent="0.4">
      <c r="A728" s="41">
        <v>727</v>
      </c>
      <c r="B728" s="42">
        <v>398</v>
      </c>
      <c r="C728" s="42">
        <v>361</v>
      </c>
      <c r="D728" s="42">
        <v>1</v>
      </c>
      <c r="E728" s="42">
        <v>361</v>
      </c>
      <c r="F728" s="43">
        <v>45336</v>
      </c>
      <c r="G728" s="42" t="s">
        <v>15</v>
      </c>
      <c r="H728" s="42">
        <v>40</v>
      </c>
      <c r="I728" s="42" t="str">
        <f>VLOOKUP(продажи!$B728,товар!$A$1:$C$433,2)</f>
        <v>Сок</v>
      </c>
      <c r="J728" s="42" t="str">
        <f>VLOOKUP(B728,товар!$A$1:$C$433,3)</f>
        <v>Фруктовый сад</v>
      </c>
      <c r="K728" s="44">
        <f>AVERAGEIF(продажи!$I$2:$I$1001,продажи!$I$2:$I$1001,продажи!$C$2:$C$1001)</f>
        <v>268.60344827586209</v>
      </c>
      <c r="L728" s="45">
        <f>продажи!$C728/продажи!$K728-1</f>
        <v>0.34398870274086901</v>
      </c>
      <c r="M728" s="33">
        <f t="shared" si="22"/>
        <v>9023</v>
      </c>
      <c r="N728" s="24">
        <f>Таблица1[[#This Row],[цена за шт в рублях]]/Таблица1[[#This Row],[средняя стоимость в категории по поставщику.]]-1</f>
        <v>-0.95999113376925638</v>
      </c>
      <c r="O728" s="26">
        <f>VLOOKUP(Таблица1[[#This Row],[id клиента]],клиенты!$A$2:$E$435,5,0)</f>
        <v>44855</v>
      </c>
      <c r="P728">
        <f>Таблица1[[#This Row],[дата создания чека]]-Таблица1[[#This Row],[Дата регистрации клента]]</f>
        <v>481</v>
      </c>
      <c r="Q728" s="26">
        <f t="shared" ca="1" si="23"/>
        <v>46059</v>
      </c>
      <c r="R728" s="51">
        <f ca="1">(TODAY()-Таблица1[[#This Row],[Дата регистрации клента]])/30</f>
        <v>40.133333333333333</v>
      </c>
      <c r="S728" s="63" t="str">
        <f>VLOOKUP(Таблица1[[#This Row],[id клиента]],Таблица8[[id клиента]:[Страна]],7,0)</f>
        <v>Россия</v>
      </c>
      <c r="T728" s="26"/>
    </row>
    <row r="729" spans="1:20" ht="19.5" x14ac:dyDescent="0.4">
      <c r="A729" s="37">
        <v>728</v>
      </c>
      <c r="B729" s="31">
        <v>77</v>
      </c>
      <c r="C729" s="31">
        <v>160</v>
      </c>
      <c r="D729" s="31">
        <v>2</v>
      </c>
      <c r="E729" s="31">
        <v>320</v>
      </c>
      <c r="F729" s="38">
        <v>45222</v>
      </c>
      <c r="G729" s="31" t="s">
        <v>19</v>
      </c>
      <c r="H729" s="31">
        <v>260</v>
      </c>
      <c r="I729" s="31" t="str">
        <f>VLOOKUP(продажи!$B729,товар!$A$1:$C$433,2)</f>
        <v>Макароны</v>
      </c>
      <c r="J729" s="31" t="str">
        <f>VLOOKUP(B729,товар!$A$1:$C$433,3)</f>
        <v>Паста Зара</v>
      </c>
      <c r="K729" s="39">
        <f>AVERAGEIF(продажи!$I$2:$I$1001,продажи!$I$2:$I$1001,продажи!$C$2:$C$1001)</f>
        <v>265.47674418604652</v>
      </c>
      <c r="L729" s="40">
        <f>продажи!$C729/продажи!$K729-1</f>
        <v>-0.39731067408348297</v>
      </c>
      <c r="M729" s="33">
        <f t="shared" si="22"/>
        <v>10237</v>
      </c>
      <c r="N729" s="24">
        <f>Таблица1[[#This Row],[цена за шт в рублях]]/Таблица1[[#This Row],[средняя стоимость в категории по поставщику.]]-1</f>
        <v>-0.98437042102178374</v>
      </c>
      <c r="O729" s="26">
        <f>VLOOKUP(Таблица1[[#This Row],[id клиента]],клиенты!$A$2:$E$435,5,0)</f>
        <v>44729</v>
      </c>
      <c r="P729">
        <f>Таблица1[[#This Row],[дата создания чека]]-Таблица1[[#This Row],[Дата регистрации клента]]</f>
        <v>493</v>
      </c>
      <c r="Q729" s="26">
        <f t="shared" ca="1" si="23"/>
        <v>46059</v>
      </c>
      <c r="R729" s="51">
        <f ca="1">(TODAY()-Таблица1[[#This Row],[Дата регистрации клента]])/30</f>
        <v>44.333333333333336</v>
      </c>
      <c r="S729" s="63" t="str">
        <f>VLOOKUP(Таблица1[[#This Row],[id клиента]],Таблица8[[id клиента]:[Страна]],7,0)</f>
        <v>Украина</v>
      </c>
      <c r="T729" s="26"/>
    </row>
    <row r="730" spans="1:20" ht="19.5" x14ac:dyDescent="0.4">
      <c r="A730" s="41">
        <v>729</v>
      </c>
      <c r="B730" s="42">
        <v>128</v>
      </c>
      <c r="C730" s="42">
        <v>419</v>
      </c>
      <c r="D730" s="42">
        <v>5</v>
      </c>
      <c r="E730" s="42">
        <v>2095</v>
      </c>
      <c r="F730" s="43">
        <v>44943</v>
      </c>
      <c r="G730" s="42" t="s">
        <v>12</v>
      </c>
      <c r="H730" s="42">
        <v>220</v>
      </c>
      <c r="I730" s="42" t="str">
        <f>VLOOKUP(продажи!$B730,товар!$A$1:$C$433,2)</f>
        <v>Мясо</v>
      </c>
      <c r="J730" s="42" t="str">
        <f>VLOOKUP(B730,товар!$A$1:$C$433,3)</f>
        <v>Мираторг</v>
      </c>
      <c r="K730" s="44">
        <f>AVERAGEIF(продажи!$I$2:$I$1001,продажи!$I$2:$I$1001,продажи!$C$2:$C$1001)</f>
        <v>271.74545454545455</v>
      </c>
      <c r="L730" s="45">
        <f>продажи!$C730/продажи!$K730-1</f>
        <v>0.54188411615147869</v>
      </c>
      <c r="M730" s="33">
        <f t="shared" si="22"/>
        <v>3799</v>
      </c>
      <c r="N730" s="24">
        <f>Таблица1[[#This Row],[цена за шт в рублях]]/Таблица1[[#This Row],[средняя стоимость в категории по поставщику.]]-1</f>
        <v>-0.88970781784680175</v>
      </c>
      <c r="O730" s="26">
        <f>VLOOKUP(Таблица1[[#This Row],[id клиента]],клиенты!$A$2:$E$435,5,0)</f>
        <v>44570</v>
      </c>
      <c r="P730">
        <f>Таблица1[[#This Row],[дата создания чека]]-Таблица1[[#This Row],[Дата регистрации клента]]</f>
        <v>373</v>
      </c>
      <c r="Q730" s="26">
        <f t="shared" ca="1" si="23"/>
        <v>46059</v>
      </c>
      <c r="R730" s="51">
        <f ca="1">(TODAY()-Таблица1[[#This Row],[Дата регистрации клента]])/30</f>
        <v>49.633333333333333</v>
      </c>
      <c r="S730" s="63" t="str">
        <f>VLOOKUP(Таблица1[[#This Row],[id клиента]],Таблица8[[id клиента]:[Страна]],7,0)</f>
        <v>Украина</v>
      </c>
      <c r="T730" s="26"/>
    </row>
    <row r="731" spans="1:20" ht="19.5" x14ac:dyDescent="0.4">
      <c r="A731" s="37">
        <v>730</v>
      </c>
      <c r="B731" s="31">
        <v>328</v>
      </c>
      <c r="C731" s="31">
        <v>429</v>
      </c>
      <c r="D731" s="31">
        <v>4</v>
      </c>
      <c r="E731" s="31">
        <v>1716</v>
      </c>
      <c r="F731" s="38">
        <v>45245</v>
      </c>
      <c r="G731" s="31" t="s">
        <v>15</v>
      </c>
      <c r="H731" s="31">
        <v>88</v>
      </c>
      <c r="I731" s="31" t="str">
        <f>VLOOKUP(продажи!$B731,товар!$A$1:$C$433,2)</f>
        <v>Чипсы</v>
      </c>
      <c r="J731" s="31" t="str">
        <f>VLOOKUP(B731,товар!$A$1:$C$433,3)</f>
        <v>Русская картошка</v>
      </c>
      <c r="K731" s="39">
        <f>AVERAGEIF(продажи!$I$2:$I$1001,продажи!$I$2:$I$1001,продажи!$C$2:$C$1001)</f>
        <v>273.72549019607845</v>
      </c>
      <c r="L731" s="40">
        <f>продажи!$C731/продажи!$K731-1</f>
        <v>0.56726361031518602</v>
      </c>
      <c r="M731" s="33">
        <f t="shared" si="22"/>
        <v>2902</v>
      </c>
      <c r="N731" s="24">
        <f>Таблица1[[#This Row],[цена за шт в рублях]]/Таблица1[[#This Row],[средняя стоимость в категории по поставщику.]]-1</f>
        <v>-0.85217091660923505</v>
      </c>
      <c r="O731" s="26">
        <f>VLOOKUP(Таблица1[[#This Row],[id клиента]],клиенты!$A$2:$E$435,5,0)</f>
        <v>44630</v>
      </c>
      <c r="P731">
        <f>Таблица1[[#This Row],[дата создания чека]]-Таблица1[[#This Row],[Дата регистрации клента]]</f>
        <v>615</v>
      </c>
      <c r="Q731" s="26">
        <f t="shared" ca="1" si="23"/>
        <v>46059</v>
      </c>
      <c r="R731" s="51">
        <f ca="1">(TODAY()-Таблица1[[#This Row],[Дата регистрации клента]])/30</f>
        <v>47.633333333333333</v>
      </c>
      <c r="S731" s="63" t="str">
        <f>VLOOKUP(Таблица1[[#This Row],[id клиента]],Таблица8[[id клиента]:[Страна]],7,0)</f>
        <v>Украина</v>
      </c>
      <c r="T731" s="26"/>
    </row>
    <row r="732" spans="1:20" ht="19.5" x14ac:dyDescent="0.4">
      <c r="A732" s="41">
        <v>731</v>
      </c>
      <c r="B732" s="42">
        <v>455</v>
      </c>
      <c r="C732" s="42">
        <v>72</v>
      </c>
      <c r="D732" s="42">
        <v>2</v>
      </c>
      <c r="E732" s="42">
        <v>144</v>
      </c>
      <c r="F732" s="43">
        <v>45102</v>
      </c>
      <c r="G732" s="42" t="s">
        <v>13</v>
      </c>
      <c r="H732" s="42">
        <v>66</v>
      </c>
      <c r="I732" s="42" t="str">
        <f>VLOOKUP(продажи!$B732,товар!$A$1:$C$433,2)</f>
        <v>Соль</v>
      </c>
      <c r="J732" s="42" t="str">
        <f>VLOOKUP(B732,товар!$A$1:$C$433,3)</f>
        <v>Славянская</v>
      </c>
      <c r="K732" s="44">
        <f>AVERAGEIF(продажи!$I$2:$I$1001,продажи!$I$2:$I$1001,продажи!$C$2:$C$1001)</f>
        <v>264.8679245283019</v>
      </c>
      <c r="L732" s="45">
        <f>продажи!$C732/продажи!$K732-1</f>
        <v>-0.72816640547086475</v>
      </c>
      <c r="M732" s="33">
        <f t="shared" si="22"/>
        <v>2843</v>
      </c>
      <c r="N732" s="24">
        <f>Таблица1[[#This Row],[цена за шт в рублях]]/Таблица1[[#This Row],[средняя стоимость в категории по поставщику.]]-1</f>
        <v>-0.97467463946535349</v>
      </c>
      <c r="O732" s="26">
        <f>VLOOKUP(Таблица1[[#This Row],[id клиента]],клиенты!$A$2:$E$435,5,0)</f>
        <v>44777</v>
      </c>
      <c r="P732">
        <f>Таблица1[[#This Row],[дата создания чека]]-Таблица1[[#This Row],[Дата регистрации клента]]</f>
        <v>325</v>
      </c>
      <c r="Q732" s="26">
        <f t="shared" ca="1" si="23"/>
        <v>46059</v>
      </c>
      <c r="R732" s="51">
        <f ca="1">(TODAY()-Таблица1[[#This Row],[Дата регистрации клента]])/30</f>
        <v>42.733333333333334</v>
      </c>
      <c r="S732" s="63" t="str">
        <f>VLOOKUP(Таблица1[[#This Row],[id клиента]],Таблица8[[id клиента]:[Страна]],7,0)</f>
        <v>Россия</v>
      </c>
      <c r="T732" s="26"/>
    </row>
    <row r="733" spans="1:20" ht="19.5" x14ac:dyDescent="0.4">
      <c r="A733" s="37">
        <v>732</v>
      </c>
      <c r="B733" s="31">
        <v>371</v>
      </c>
      <c r="C733" s="31">
        <v>97</v>
      </c>
      <c r="D733" s="31">
        <v>3</v>
      </c>
      <c r="E733" s="31">
        <v>291</v>
      </c>
      <c r="F733" s="38">
        <v>45134</v>
      </c>
      <c r="G733" s="31" t="s">
        <v>9</v>
      </c>
      <c r="H733" s="31">
        <v>15</v>
      </c>
      <c r="I733" s="31" t="str">
        <f>VLOOKUP(продажи!$B733,товар!$A$1:$C$433,2)</f>
        <v>Сахар</v>
      </c>
      <c r="J733" s="31" t="str">
        <f>VLOOKUP(B733,товар!$A$1:$C$433,3)</f>
        <v>Русский сахар</v>
      </c>
      <c r="K733" s="39">
        <f>AVERAGEIF(продажи!$I$2:$I$1001,продажи!$I$2:$I$1001,продажи!$C$2:$C$1001)</f>
        <v>254.58333333333334</v>
      </c>
      <c r="L733" s="40">
        <f>продажи!$C733/продажи!$K733-1</f>
        <v>-0.61898527004909987</v>
      </c>
      <c r="M733" s="33">
        <f t="shared" si="22"/>
        <v>4988</v>
      </c>
      <c r="N733" s="24">
        <f>Таблица1[[#This Row],[цена за шт в рублях]]/Таблица1[[#This Row],[средняя стоимость в категории по поставщику.]]-1</f>
        <v>-0.98055332798716921</v>
      </c>
      <c r="O733" s="26">
        <f>VLOOKUP(Таблица1[[#This Row],[id клиента]],клиенты!$A$2:$E$435,5,0)</f>
        <v>44711</v>
      </c>
      <c r="P733">
        <f>Таблица1[[#This Row],[дата создания чека]]-Таблица1[[#This Row],[Дата регистрации клента]]</f>
        <v>423</v>
      </c>
      <c r="Q733" s="26">
        <f t="shared" ca="1" si="23"/>
        <v>46059</v>
      </c>
      <c r="R733" s="51">
        <f ca="1">(TODAY()-Таблица1[[#This Row],[Дата регистрации клента]])/30</f>
        <v>44.93333333333333</v>
      </c>
      <c r="S733" s="63" t="str">
        <f>VLOOKUP(Таблица1[[#This Row],[id клиента]],Таблица8[[id клиента]:[Страна]],7,0)</f>
        <v>Украина</v>
      </c>
      <c r="T733" s="26"/>
    </row>
    <row r="734" spans="1:20" ht="19.5" x14ac:dyDescent="0.4">
      <c r="A734" s="41">
        <v>733</v>
      </c>
      <c r="B734" s="42">
        <v>486</v>
      </c>
      <c r="C734" s="42">
        <v>57</v>
      </c>
      <c r="D734" s="42">
        <v>2</v>
      </c>
      <c r="E734" s="42">
        <v>114</v>
      </c>
      <c r="F734" s="43">
        <v>45198</v>
      </c>
      <c r="G734" s="42" t="s">
        <v>8</v>
      </c>
      <c r="H734" s="42">
        <v>485</v>
      </c>
      <c r="I734" s="42" t="str">
        <f>VLOOKUP(продажи!$B734,товар!$A$1:$C$433,2)</f>
        <v>Соль</v>
      </c>
      <c r="J734" s="42" t="str">
        <f>VLOOKUP(B734,товар!$A$1:$C$433,3)</f>
        <v>Илецкая</v>
      </c>
      <c r="K734" s="44">
        <f>AVERAGEIF(продажи!$I$2:$I$1001,продажи!$I$2:$I$1001,продажи!$C$2:$C$1001)</f>
        <v>264.8679245283019</v>
      </c>
      <c r="L734" s="45">
        <f>продажи!$C734/продажи!$K734-1</f>
        <v>-0.78479840433110137</v>
      </c>
      <c r="M734" s="33">
        <f t="shared" si="22"/>
        <v>4287</v>
      </c>
      <c r="N734" s="24">
        <f>Таблица1[[#This Row],[цена за шт в рублях]]/Таблица1[[#This Row],[средняя стоимость в категории по поставщику.]]-1</f>
        <v>-0.98670398880335897</v>
      </c>
      <c r="O734" s="26">
        <f>VLOOKUP(Таблица1[[#This Row],[id клиента]],клиенты!$A$2:$E$435,5,0)</f>
        <v>44723</v>
      </c>
      <c r="P734">
        <f>Таблица1[[#This Row],[дата создания чека]]-Таблица1[[#This Row],[Дата регистрации клента]]</f>
        <v>475</v>
      </c>
      <c r="Q734" s="26">
        <f t="shared" ca="1" si="23"/>
        <v>46059</v>
      </c>
      <c r="R734" s="51">
        <f ca="1">(TODAY()-Таблица1[[#This Row],[Дата регистрации клента]])/30</f>
        <v>44.533333333333331</v>
      </c>
      <c r="S734" s="63" t="str">
        <f>VLOOKUP(Таблица1[[#This Row],[id клиента]],Таблица8[[id клиента]:[Страна]],7,0)</f>
        <v>Россия</v>
      </c>
      <c r="T734" s="26"/>
    </row>
    <row r="735" spans="1:20" ht="19.5" x14ac:dyDescent="0.4">
      <c r="A735" s="37">
        <v>734</v>
      </c>
      <c r="B735" s="31">
        <v>359</v>
      </c>
      <c r="C735" s="31">
        <v>126</v>
      </c>
      <c r="D735" s="31">
        <v>4</v>
      </c>
      <c r="E735" s="31">
        <v>504</v>
      </c>
      <c r="F735" s="38">
        <v>45065</v>
      </c>
      <c r="G735" s="31" t="s">
        <v>15</v>
      </c>
      <c r="H735" s="31">
        <v>394</v>
      </c>
      <c r="I735" s="31" t="str">
        <f>VLOOKUP(продажи!$B735,товар!$A$1:$C$433,2)</f>
        <v>Мясо</v>
      </c>
      <c r="J735" s="31" t="str">
        <f>VLOOKUP(B735,товар!$A$1:$C$433,3)</f>
        <v>Мираторг</v>
      </c>
      <c r="K735" s="39">
        <f>AVERAGEIF(продажи!$I$2:$I$1001,продажи!$I$2:$I$1001,продажи!$C$2:$C$1001)</f>
        <v>271.74545454545455</v>
      </c>
      <c r="L735" s="40">
        <f>продажи!$C735/продажи!$K735-1</f>
        <v>-0.53633079084704938</v>
      </c>
      <c r="M735" s="33">
        <f t="shared" si="22"/>
        <v>3799</v>
      </c>
      <c r="N735" s="24">
        <f>Таблица1[[#This Row],[цена за шт в рублях]]/Таблица1[[#This Row],[средняя стоимость в категории по поставщику.]]-1</f>
        <v>-0.96683337720452756</v>
      </c>
      <c r="O735" s="26">
        <f>VLOOKUP(Таблица1[[#This Row],[id клиента]],клиенты!$A$2:$E$435,5,0)</f>
        <v>44708</v>
      </c>
      <c r="P735">
        <f>Таблица1[[#This Row],[дата создания чека]]-Таблица1[[#This Row],[Дата регистрации клента]]</f>
        <v>357</v>
      </c>
      <c r="Q735" s="26">
        <f t="shared" ca="1" si="23"/>
        <v>46059</v>
      </c>
      <c r="R735" s="51">
        <f ca="1">(TODAY()-Таблица1[[#This Row],[Дата регистрации клента]])/30</f>
        <v>45.033333333333331</v>
      </c>
      <c r="S735" s="63" t="str">
        <f>VLOOKUP(Таблица1[[#This Row],[id клиента]],Таблица8[[id клиента]:[Страна]],7,0)</f>
        <v>Россия</v>
      </c>
      <c r="T735" s="26"/>
    </row>
    <row r="736" spans="1:20" ht="19.5" x14ac:dyDescent="0.4">
      <c r="A736" s="41">
        <v>735</v>
      </c>
      <c r="B736" s="42">
        <v>267</v>
      </c>
      <c r="C736" s="42">
        <v>54</v>
      </c>
      <c r="D736" s="42">
        <v>2</v>
      </c>
      <c r="E736" s="42">
        <v>108</v>
      </c>
      <c r="F736" s="43">
        <v>45251</v>
      </c>
      <c r="G736" s="42" t="s">
        <v>23</v>
      </c>
      <c r="H736" s="42">
        <v>290</v>
      </c>
      <c r="I736" s="42" t="str">
        <f>VLOOKUP(продажи!$B736,товар!$A$1:$C$433,2)</f>
        <v>Овощи</v>
      </c>
      <c r="J736" s="42" t="str">
        <f>VLOOKUP(B736,товар!$A$1:$C$433,3)</f>
        <v>Семко</v>
      </c>
      <c r="K736" s="44">
        <f>AVERAGEIF(продажи!$I$2:$I$1001,продажи!$I$2:$I$1001,продажи!$C$2:$C$1001)</f>
        <v>250.48780487804879</v>
      </c>
      <c r="L736" s="45">
        <f>продажи!$C736/продажи!$K736-1</f>
        <v>-0.78442064264849076</v>
      </c>
      <c r="M736" s="33">
        <f t="shared" si="22"/>
        <v>2080</v>
      </c>
      <c r="N736" s="24">
        <f>Таблица1[[#This Row],[цена за шт в рублях]]/Таблица1[[#This Row],[средняя стоимость в категории по поставщику.]]-1</f>
        <v>-0.97403846153846152</v>
      </c>
      <c r="O736" s="26">
        <f>VLOOKUP(Таблица1[[#This Row],[id клиента]],клиенты!$A$2:$E$435,5,0)</f>
        <v>44777</v>
      </c>
      <c r="P736">
        <f>Таблица1[[#This Row],[дата создания чека]]-Таблица1[[#This Row],[Дата регистрации клента]]</f>
        <v>474</v>
      </c>
      <c r="Q736" s="26">
        <f t="shared" ca="1" si="23"/>
        <v>46059</v>
      </c>
      <c r="R736" s="51">
        <f ca="1">(TODAY()-Таблица1[[#This Row],[Дата регистрации клента]])/30</f>
        <v>42.733333333333334</v>
      </c>
      <c r="S736" s="63" t="str">
        <f>VLOOKUP(Таблица1[[#This Row],[id клиента]],Таблица8[[id клиента]:[Страна]],7,0)</f>
        <v>Россия</v>
      </c>
      <c r="T736" s="26"/>
    </row>
    <row r="737" spans="1:20" ht="19.5" x14ac:dyDescent="0.4">
      <c r="A737" s="37">
        <v>736</v>
      </c>
      <c r="B737" s="31">
        <v>52</v>
      </c>
      <c r="C737" s="31">
        <v>150</v>
      </c>
      <c r="D737" s="31">
        <v>4</v>
      </c>
      <c r="E737" s="31">
        <v>600</v>
      </c>
      <c r="F737" s="38">
        <v>45303</v>
      </c>
      <c r="G737" s="31" t="s">
        <v>11</v>
      </c>
      <c r="H737" s="31">
        <v>279</v>
      </c>
      <c r="I737" s="31" t="str">
        <f>VLOOKUP(продажи!$B737,товар!$A$1:$C$433,2)</f>
        <v>Соль</v>
      </c>
      <c r="J737" s="31" t="str">
        <f>VLOOKUP(B737,товар!$A$1:$C$433,3)</f>
        <v>Илецкая</v>
      </c>
      <c r="K737" s="39">
        <f>AVERAGEIF(продажи!$I$2:$I$1001,продажи!$I$2:$I$1001,продажи!$C$2:$C$1001)</f>
        <v>264.8679245283019</v>
      </c>
      <c r="L737" s="40">
        <f>продажи!$C737/продажи!$K737-1</f>
        <v>-0.43368001139763501</v>
      </c>
      <c r="M737" s="33">
        <f t="shared" si="22"/>
        <v>4287</v>
      </c>
      <c r="N737" s="24">
        <f>Таблица1[[#This Row],[цена за шт в рублях]]/Таблица1[[#This Row],[средняя стоимость в категории по поставщику.]]-1</f>
        <v>-0.96501049685094475</v>
      </c>
      <c r="O737" s="26">
        <f>VLOOKUP(Таблица1[[#This Row],[id клиента]],клиенты!$A$2:$E$435,5,0)</f>
        <v>44786</v>
      </c>
      <c r="P737">
        <f>Таблица1[[#This Row],[дата создания чека]]-Таблица1[[#This Row],[Дата регистрации клента]]</f>
        <v>517</v>
      </c>
      <c r="Q737" s="26">
        <f t="shared" ca="1" si="23"/>
        <v>46059</v>
      </c>
      <c r="R737" s="51">
        <f ca="1">(TODAY()-Таблица1[[#This Row],[Дата регистрации клента]])/30</f>
        <v>42.43333333333333</v>
      </c>
      <c r="S737" s="63" t="str">
        <f>VLOOKUP(Таблица1[[#This Row],[id клиента]],Таблица8[[id клиента]:[Страна]],7,0)</f>
        <v>Узбекистан</v>
      </c>
      <c r="T737" s="26"/>
    </row>
    <row r="738" spans="1:20" ht="19.5" x14ac:dyDescent="0.4">
      <c r="A738" s="41">
        <v>737</v>
      </c>
      <c r="B738" s="42">
        <v>187</v>
      </c>
      <c r="C738" s="42">
        <v>233</v>
      </c>
      <c r="D738" s="42">
        <v>4</v>
      </c>
      <c r="E738" s="42">
        <v>932</v>
      </c>
      <c r="F738" s="43">
        <v>45086</v>
      </c>
      <c r="G738" s="42" t="s">
        <v>17</v>
      </c>
      <c r="H738" s="42">
        <v>245</v>
      </c>
      <c r="I738" s="42" t="str">
        <f>VLOOKUP(продажи!$B738,товар!$A$1:$C$433,2)</f>
        <v>Макароны</v>
      </c>
      <c r="J738" s="42" t="str">
        <f>VLOOKUP(B738,товар!$A$1:$C$433,3)</f>
        <v>Паста Зара</v>
      </c>
      <c r="K738" s="44">
        <f>AVERAGEIF(продажи!$I$2:$I$1001,продажи!$I$2:$I$1001,продажи!$C$2:$C$1001)</f>
        <v>265.47674418604652</v>
      </c>
      <c r="L738" s="45">
        <f>продажи!$C738/продажи!$K738-1</f>
        <v>-0.12233366913407206</v>
      </c>
      <c r="M738" s="33">
        <f t="shared" si="22"/>
        <v>10237</v>
      </c>
      <c r="N738" s="24">
        <f>Таблица1[[#This Row],[цена за шт в рублях]]/Таблица1[[#This Row],[средняя стоимость в категории по поставщику.]]-1</f>
        <v>-0.9772394256129725</v>
      </c>
      <c r="O738" s="26">
        <f>VLOOKUP(Таблица1[[#This Row],[id клиента]],клиенты!$A$2:$E$435,5,0)</f>
        <v>44695</v>
      </c>
      <c r="P738">
        <f>Таблица1[[#This Row],[дата создания чека]]-Таблица1[[#This Row],[Дата регистрации клента]]</f>
        <v>391</v>
      </c>
      <c r="Q738" s="26">
        <f t="shared" ca="1" si="23"/>
        <v>46059</v>
      </c>
      <c r="R738" s="51">
        <f ca="1">(TODAY()-Таблица1[[#This Row],[Дата регистрации клента]])/30</f>
        <v>45.466666666666669</v>
      </c>
      <c r="S738" s="63" t="str">
        <f>VLOOKUP(Таблица1[[#This Row],[id клиента]],Таблица8[[id клиента]:[Страна]],7,0)</f>
        <v>Узбекистан</v>
      </c>
      <c r="T738" s="26"/>
    </row>
    <row r="739" spans="1:20" ht="19.5" x14ac:dyDescent="0.4">
      <c r="A739" s="37">
        <v>738</v>
      </c>
      <c r="B739" s="31">
        <v>118</v>
      </c>
      <c r="C739" s="31">
        <v>156</v>
      </c>
      <c r="D739" s="31">
        <v>5</v>
      </c>
      <c r="E739" s="31">
        <v>780</v>
      </c>
      <c r="F739" s="38">
        <v>45303</v>
      </c>
      <c r="G739" s="31" t="s">
        <v>21</v>
      </c>
      <c r="H739" s="31">
        <v>261</v>
      </c>
      <c r="I739" s="31" t="str">
        <f>VLOOKUP(продажи!$B739,товар!$A$1:$C$433,2)</f>
        <v>Сахар</v>
      </c>
      <c r="J739" s="31" t="str">
        <f>VLOOKUP(B739,товар!$A$1:$C$433,3)</f>
        <v>Продимекс</v>
      </c>
      <c r="K739" s="39">
        <f>AVERAGEIF(продажи!$I$2:$I$1001,продажи!$I$2:$I$1001,продажи!$C$2:$C$1001)</f>
        <v>254.58333333333334</v>
      </c>
      <c r="L739" s="40">
        <f>продажи!$C739/продажи!$K739-1</f>
        <v>-0.38723404255319149</v>
      </c>
      <c r="M739" s="33">
        <f t="shared" si="22"/>
        <v>5172</v>
      </c>
      <c r="N739" s="24">
        <f>Таблица1[[#This Row],[цена за шт в рублях]]/Таблица1[[#This Row],[средняя стоимость в категории по поставщику.]]-1</f>
        <v>-0.96983758700696054</v>
      </c>
      <c r="O739" s="26">
        <f>VLOOKUP(Таблица1[[#This Row],[id клиента]],клиенты!$A$2:$E$435,5,0)</f>
        <v>44848</v>
      </c>
      <c r="P739">
        <f>Таблица1[[#This Row],[дата создания чека]]-Таблица1[[#This Row],[Дата регистрации клента]]</f>
        <v>455</v>
      </c>
      <c r="Q739" s="26">
        <f t="shared" ca="1" si="23"/>
        <v>46059</v>
      </c>
      <c r="R739" s="51">
        <f ca="1">(TODAY()-Таблица1[[#This Row],[Дата регистрации клента]])/30</f>
        <v>40.366666666666667</v>
      </c>
      <c r="S739" s="63" t="str">
        <f>VLOOKUP(Таблица1[[#This Row],[id клиента]],Таблица8[[id клиента]:[Страна]],7,0)</f>
        <v>Россия</v>
      </c>
      <c r="T739" s="26"/>
    </row>
    <row r="740" spans="1:20" ht="19.5" x14ac:dyDescent="0.4">
      <c r="A740" s="41">
        <v>739</v>
      </c>
      <c r="B740" s="42">
        <v>218</v>
      </c>
      <c r="C740" s="42">
        <v>383</v>
      </c>
      <c r="D740" s="42">
        <v>2</v>
      </c>
      <c r="E740" s="42">
        <v>766</v>
      </c>
      <c r="F740" s="43">
        <v>45338</v>
      </c>
      <c r="G740" s="42" t="s">
        <v>9</v>
      </c>
      <c r="H740" s="42">
        <v>9</v>
      </c>
      <c r="I740" s="42" t="str">
        <f>VLOOKUP(продажи!$B740,товар!$A$1:$C$433,2)</f>
        <v>Колбаса</v>
      </c>
      <c r="J740" s="42" t="str">
        <f>VLOOKUP(B740,товар!$A$1:$C$433,3)</f>
        <v>Дымов</v>
      </c>
      <c r="K740" s="44">
        <f>AVERAGEIF(продажи!$I$2:$I$1001,продажи!$I$2:$I$1001,продажи!$C$2:$C$1001)</f>
        <v>286.92307692307691</v>
      </c>
      <c r="L740" s="45">
        <f>продажи!$C740/продажи!$K740-1</f>
        <v>0.33485254691689015</v>
      </c>
      <c r="M740" s="33">
        <f t="shared" si="22"/>
        <v>2814</v>
      </c>
      <c r="N740" s="24">
        <f>Таблица1[[#This Row],[цена за шт в рублях]]/Таблица1[[#This Row],[средняя стоимость в категории по поставщику.]]-1</f>
        <v>-0.86389481165600568</v>
      </c>
      <c r="O740" s="26">
        <f>VLOOKUP(Таблица1[[#This Row],[id клиента]],клиенты!$A$2:$E$435,5,0)</f>
        <v>44900</v>
      </c>
      <c r="P740">
        <f>Таблица1[[#This Row],[дата создания чека]]-Таблица1[[#This Row],[Дата регистрации клента]]</f>
        <v>438</v>
      </c>
      <c r="Q740" s="26">
        <f t="shared" ca="1" si="23"/>
        <v>46059</v>
      </c>
      <c r="R740" s="51">
        <f ca="1">(TODAY()-Таблица1[[#This Row],[Дата регистрации клента]])/30</f>
        <v>38.633333333333333</v>
      </c>
      <c r="S740" s="63" t="str">
        <f>VLOOKUP(Таблица1[[#This Row],[id клиента]],Таблица8[[id клиента]:[Страна]],7,0)</f>
        <v>Таджикистан</v>
      </c>
      <c r="T740" s="26"/>
    </row>
    <row r="741" spans="1:20" ht="19.5" x14ac:dyDescent="0.4">
      <c r="A741" s="37">
        <v>740</v>
      </c>
      <c r="B741" s="31">
        <v>46</v>
      </c>
      <c r="C741" s="31">
        <v>370</v>
      </c>
      <c r="D741" s="31">
        <v>5</v>
      </c>
      <c r="E741" s="31">
        <v>1850</v>
      </c>
      <c r="F741" s="38">
        <v>45034</v>
      </c>
      <c r="G741" s="31" t="s">
        <v>25</v>
      </c>
      <c r="H741" s="31">
        <v>103</v>
      </c>
      <c r="I741" s="31" t="str">
        <f>VLOOKUP(продажи!$B741,товар!$A$1:$C$433,2)</f>
        <v>Йогурт</v>
      </c>
      <c r="J741" s="31" t="str">
        <f>VLOOKUP(B741,товар!$A$1:$C$433,3)</f>
        <v>Активиа</v>
      </c>
      <c r="K741" s="39">
        <f>AVERAGEIF(продажи!$I$2:$I$1001,продажи!$I$2:$I$1001,продажи!$C$2:$C$1001)</f>
        <v>263.25423728813558</v>
      </c>
      <c r="L741" s="40">
        <f>продажи!$C741/продажи!$K741-1</f>
        <v>0.40548544939479791</v>
      </c>
      <c r="M741" s="33">
        <f t="shared" si="22"/>
        <v>1762</v>
      </c>
      <c r="N741" s="24">
        <f>Таблица1[[#This Row],[цена за шт в рублях]]/Таблица1[[#This Row],[средняя стоимость в категории по поставщику.]]-1</f>
        <v>-0.79001135073779793</v>
      </c>
      <c r="O741" s="26">
        <f>VLOOKUP(Таблица1[[#This Row],[id клиента]],клиенты!$A$2:$E$435,5,0)</f>
        <v>44787</v>
      </c>
      <c r="P741">
        <f>Таблица1[[#This Row],[дата создания чека]]-Таблица1[[#This Row],[Дата регистрации клента]]</f>
        <v>247</v>
      </c>
      <c r="Q741" s="26">
        <f t="shared" ca="1" si="23"/>
        <v>46059</v>
      </c>
      <c r="R741" s="51">
        <f ca="1">(TODAY()-Таблица1[[#This Row],[Дата регистрации клента]])/30</f>
        <v>42.4</v>
      </c>
      <c r="S741" s="63" t="str">
        <f>VLOOKUP(Таблица1[[#This Row],[id клиента]],Таблица8[[id клиента]:[Страна]],7,0)</f>
        <v>Узбекистан</v>
      </c>
      <c r="T741" s="26"/>
    </row>
    <row r="742" spans="1:20" ht="19.5" x14ac:dyDescent="0.4">
      <c r="A742" s="41">
        <v>741</v>
      </c>
      <c r="B742" s="42">
        <v>263</v>
      </c>
      <c r="C742" s="42">
        <v>173</v>
      </c>
      <c r="D742" s="42">
        <v>3</v>
      </c>
      <c r="E742" s="42">
        <v>519</v>
      </c>
      <c r="F742" s="43">
        <v>45390</v>
      </c>
      <c r="G742" s="42" t="s">
        <v>22</v>
      </c>
      <c r="H742" s="42">
        <v>142</v>
      </c>
      <c r="I742" s="42" t="str">
        <f>VLOOKUP(продажи!$B742,товар!$A$1:$C$433,2)</f>
        <v>Йогурт</v>
      </c>
      <c r="J742" s="42" t="str">
        <f>VLOOKUP(B742,товар!$A$1:$C$433,3)</f>
        <v>Активиа</v>
      </c>
      <c r="K742" s="44">
        <f>AVERAGEIF(продажи!$I$2:$I$1001,продажи!$I$2:$I$1001,продажи!$C$2:$C$1001)</f>
        <v>263.25423728813558</v>
      </c>
      <c r="L742" s="45">
        <f>продажи!$C742/продажи!$K742-1</f>
        <v>-0.34284058717486476</v>
      </c>
      <c r="M742" s="33">
        <f t="shared" si="22"/>
        <v>1762</v>
      </c>
      <c r="N742" s="24">
        <f>Таблица1[[#This Row],[цена за шт в рублях]]/Таблица1[[#This Row],[средняя стоимость в категории по поставщику.]]-1</f>
        <v>-0.90181611804767314</v>
      </c>
      <c r="O742" s="26">
        <f>VLOOKUP(Таблица1[[#This Row],[id клиента]],клиенты!$A$2:$E$435,5,0)</f>
        <v>44683</v>
      </c>
      <c r="P742">
        <f>Таблица1[[#This Row],[дата создания чека]]-Таблица1[[#This Row],[Дата регистрации клента]]</f>
        <v>707</v>
      </c>
      <c r="Q742" s="26">
        <f t="shared" ca="1" si="23"/>
        <v>46059</v>
      </c>
      <c r="R742" s="51">
        <f ca="1">(TODAY()-Таблица1[[#This Row],[Дата регистрации клента]])/30</f>
        <v>45.866666666666667</v>
      </c>
      <c r="S742" s="63" t="str">
        <f>VLOOKUP(Таблица1[[#This Row],[id клиента]],Таблица8[[id клиента]:[Страна]],7,0)</f>
        <v>Россия</v>
      </c>
      <c r="T742" s="26"/>
    </row>
    <row r="743" spans="1:20" ht="19.5" x14ac:dyDescent="0.4">
      <c r="A743" s="37">
        <v>742</v>
      </c>
      <c r="B743" s="31">
        <v>201</v>
      </c>
      <c r="C743" s="31">
        <v>113</v>
      </c>
      <c r="D743" s="31">
        <v>5</v>
      </c>
      <c r="E743" s="31">
        <v>565</v>
      </c>
      <c r="F743" s="38">
        <v>44959</v>
      </c>
      <c r="G743" s="31" t="s">
        <v>21</v>
      </c>
      <c r="H743" s="31">
        <v>470</v>
      </c>
      <c r="I743" s="31" t="str">
        <f>VLOOKUP(продажи!$B743,товар!$A$1:$C$433,2)</f>
        <v>Печенье</v>
      </c>
      <c r="J743" s="31" t="str">
        <f>VLOOKUP(B743,товар!$A$1:$C$433,3)</f>
        <v>Белогорье</v>
      </c>
      <c r="K743" s="39">
        <f>AVERAGEIF(продажи!$I$2:$I$1001,продажи!$I$2:$I$1001,продажи!$C$2:$C$1001)</f>
        <v>283.468085106383</v>
      </c>
      <c r="L743" s="40">
        <f>продажи!$C743/продажи!$K743-1</f>
        <v>-0.60136605869548898</v>
      </c>
      <c r="M743" s="33">
        <f t="shared" si="22"/>
        <v>3493</v>
      </c>
      <c r="N743" s="24">
        <f>Таблица1[[#This Row],[цена за шт в рублях]]/Таблица1[[#This Row],[средняя стоимость в категории по поставщику.]]-1</f>
        <v>-0.96764958488405384</v>
      </c>
      <c r="O743" s="26">
        <f>VLOOKUP(Таблица1[[#This Row],[id клиента]],клиенты!$A$2:$E$435,5,0)</f>
        <v>44690</v>
      </c>
      <c r="P743">
        <f>Таблица1[[#This Row],[дата создания чека]]-Таблица1[[#This Row],[Дата регистрации клента]]</f>
        <v>269</v>
      </c>
      <c r="Q743" s="26">
        <f t="shared" ca="1" si="23"/>
        <v>46059</v>
      </c>
      <c r="R743" s="51">
        <f ca="1">(TODAY()-Таблица1[[#This Row],[Дата регистрации клента]])/30</f>
        <v>45.633333333333333</v>
      </c>
      <c r="S743" s="63" t="str">
        <f>VLOOKUP(Таблица1[[#This Row],[id клиента]],Таблица8[[id клиента]:[Страна]],7,0)</f>
        <v>Таджикистан</v>
      </c>
      <c r="T743" s="26"/>
    </row>
    <row r="744" spans="1:20" ht="19.5" x14ac:dyDescent="0.4">
      <c r="A744" s="41">
        <v>743</v>
      </c>
      <c r="B744" s="42">
        <v>434</v>
      </c>
      <c r="C744" s="42">
        <v>366</v>
      </c>
      <c r="D744" s="42">
        <v>4</v>
      </c>
      <c r="E744" s="42">
        <v>1464</v>
      </c>
      <c r="F744" s="43">
        <v>45107</v>
      </c>
      <c r="G744" s="42" t="s">
        <v>13</v>
      </c>
      <c r="H744" s="42">
        <v>490</v>
      </c>
      <c r="I744" s="42" t="str">
        <f>VLOOKUP(продажи!$B744,товар!$A$1:$C$433,2)</f>
        <v>Сыр</v>
      </c>
      <c r="J744" s="42" t="str">
        <f>VLOOKUP(B744,товар!$A$1:$C$433,3)</f>
        <v>Сырная долина</v>
      </c>
      <c r="K744" s="44">
        <f>AVERAGEIF(продажи!$I$2:$I$1001,продажи!$I$2:$I$1001,продажи!$C$2:$C$1001)</f>
        <v>261.03225806451616</v>
      </c>
      <c r="L744" s="45">
        <f>продажи!$C744/продажи!$K744-1</f>
        <v>0.40212555610479472</v>
      </c>
      <c r="M744" s="33">
        <f t="shared" si="22"/>
        <v>8943</v>
      </c>
      <c r="N744" s="24">
        <f>Таблица1[[#This Row],[цена за шт в рублях]]/Таблица1[[#This Row],[средняя стоимость в категории по поставщику.]]-1</f>
        <v>-0.95907413619590742</v>
      </c>
      <c r="O744" s="26">
        <f>VLOOKUP(Таблица1[[#This Row],[id клиента]],клиенты!$A$2:$E$435,5,0)</f>
        <v>44603</v>
      </c>
      <c r="P744">
        <f>Таблица1[[#This Row],[дата создания чека]]-Таблица1[[#This Row],[Дата регистрации клента]]</f>
        <v>504</v>
      </c>
      <c r="Q744" s="26">
        <f t="shared" ca="1" si="23"/>
        <v>46059</v>
      </c>
      <c r="R744" s="51">
        <f ca="1">(TODAY()-Таблица1[[#This Row],[Дата регистрации клента]])/30</f>
        <v>48.533333333333331</v>
      </c>
      <c r="S744" s="63" t="str">
        <f>VLOOKUP(Таблица1[[#This Row],[id клиента]],Таблица8[[id клиента]:[Страна]],7,0)</f>
        <v>Россия</v>
      </c>
      <c r="T744" s="26"/>
    </row>
    <row r="745" spans="1:20" ht="19.5" x14ac:dyDescent="0.4">
      <c r="A745" s="37">
        <v>744</v>
      </c>
      <c r="B745" s="31">
        <v>99</v>
      </c>
      <c r="C745" s="31">
        <v>92</v>
      </c>
      <c r="D745" s="31">
        <v>4</v>
      </c>
      <c r="E745" s="31">
        <v>368</v>
      </c>
      <c r="F745" s="38">
        <v>45073</v>
      </c>
      <c r="G745" s="31" t="s">
        <v>14</v>
      </c>
      <c r="H745" s="31">
        <v>255</v>
      </c>
      <c r="I745" s="31" t="str">
        <f>VLOOKUP(продажи!$B745,товар!$A$1:$C$433,2)</f>
        <v>Овощи</v>
      </c>
      <c r="J745" s="31" t="str">
        <f>VLOOKUP(B745,товар!$A$1:$C$433,3)</f>
        <v>Семко</v>
      </c>
      <c r="K745" s="39">
        <f>AVERAGEIF(продажи!$I$2:$I$1001,продажи!$I$2:$I$1001,продажи!$C$2:$C$1001)</f>
        <v>250.48780487804879</v>
      </c>
      <c r="L745" s="40">
        <f>продажи!$C745/продажи!$K745-1</f>
        <v>-0.63271665043816938</v>
      </c>
      <c r="M745" s="33">
        <f t="shared" si="22"/>
        <v>2080</v>
      </c>
      <c r="N745" s="24">
        <f>Таблица1[[#This Row],[цена за шт в рублях]]/Таблица1[[#This Row],[средняя стоимость в категории по поставщику.]]-1</f>
        <v>-0.95576923076923082</v>
      </c>
      <c r="O745" s="26">
        <f>VLOOKUP(Таблица1[[#This Row],[id клиента]],клиенты!$A$2:$E$435,5,0)</f>
        <v>44793</v>
      </c>
      <c r="P745">
        <f>Таблица1[[#This Row],[дата создания чека]]-Таблица1[[#This Row],[Дата регистрации клента]]</f>
        <v>280</v>
      </c>
      <c r="Q745" s="26">
        <f t="shared" ca="1" si="23"/>
        <v>46059</v>
      </c>
      <c r="R745" s="51">
        <f ca="1">(TODAY()-Таблица1[[#This Row],[Дата регистрации клента]])/30</f>
        <v>42.2</v>
      </c>
      <c r="S745" s="63" t="str">
        <f>VLOOKUP(Таблица1[[#This Row],[id клиента]],Таблица8[[id клиента]:[Страна]],7,0)</f>
        <v>Украина</v>
      </c>
      <c r="T745" s="26"/>
    </row>
    <row r="746" spans="1:20" ht="19.5" x14ac:dyDescent="0.4">
      <c r="A746" s="41">
        <v>745</v>
      </c>
      <c r="B746" s="42">
        <v>357</v>
      </c>
      <c r="C746" s="42">
        <v>290</v>
      </c>
      <c r="D746" s="42">
        <v>4</v>
      </c>
      <c r="E746" s="42">
        <v>1160</v>
      </c>
      <c r="F746" s="43">
        <v>45077</v>
      </c>
      <c r="G746" s="42" t="s">
        <v>13</v>
      </c>
      <c r="H746" s="42">
        <v>422</v>
      </c>
      <c r="I746" s="42" t="str">
        <f>VLOOKUP(продажи!$B746,товар!$A$1:$C$433,2)</f>
        <v>Мясо</v>
      </c>
      <c r="J746" s="42" t="str">
        <f>VLOOKUP(B746,товар!$A$1:$C$433,3)</f>
        <v>Снежана</v>
      </c>
      <c r="K746" s="44">
        <f>AVERAGEIF(продажи!$I$2:$I$1001,продажи!$I$2:$I$1001,продажи!$C$2:$C$1001)</f>
        <v>271.74545454545455</v>
      </c>
      <c r="L746" s="45">
        <f>продажи!$C746/продажи!$K746-1</f>
        <v>6.7175163923457681E-2</v>
      </c>
      <c r="M746" s="33">
        <f t="shared" si="22"/>
        <v>4630</v>
      </c>
      <c r="N746" s="24">
        <f>Таблица1[[#This Row],[цена за шт в рублях]]/Таблица1[[#This Row],[средняя стоимость в категории по поставщику.]]-1</f>
        <v>-0.93736501079913603</v>
      </c>
      <c r="O746" s="26">
        <f>VLOOKUP(Таблица1[[#This Row],[id клиента]],клиенты!$A$2:$E$435,5,0)</f>
        <v>44784</v>
      </c>
      <c r="P746">
        <f>Таблица1[[#This Row],[дата создания чека]]-Таблица1[[#This Row],[Дата регистрации клента]]</f>
        <v>293</v>
      </c>
      <c r="Q746" s="26">
        <f t="shared" ca="1" si="23"/>
        <v>46059</v>
      </c>
      <c r="R746" s="51">
        <f ca="1">(TODAY()-Таблица1[[#This Row],[Дата регистрации клента]])/30</f>
        <v>42.5</v>
      </c>
      <c r="S746" s="63" t="str">
        <f>VLOOKUP(Таблица1[[#This Row],[id клиента]],Таблица8[[id клиента]:[Страна]],7,0)</f>
        <v>Украина</v>
      </c>
      <c r="T746" s="26"/>
    </row>
    <row r="747" spans="1:20" ht="19.5" x14ac:dyDescent="0.4">
      <c r="A747" s="37">
        <v>746</v>
      </c>
      <c r="B747" s="31">
        <v>337</v>
      </c>
      <c r="C747" s="31">
        <v>453</v>
      </c>
      <c r="D747" s="31">
        <v>4</v>
      </c>
      <c r="E747" s="31">
        <v>1812</v>
      </c>
      <c r="F747" s="38">
        <v>45415</v>
      </c>
      <c r="G747" s="31" t="s">
        <v>26</v>
      </c>
      <c r="H747" s="31">
        <v>115</v>
      </c>
      <c r="I747" s="31" t="str">
        <f>VLOOKUP(продажи!$B747,товар!$A$1:$C$433,2)</f>
        <v>Макароны</v>
      </c>
      <c r="J747" s="31" t="str">
        <f>VLOOKUP(B747,товар!$A$1:$C$433,3)</f>
        <v>Паста Зара</v>
      </c>
      <c r="K747" s="39">
        <f>AVERAGEIF(продажи!$I$2:$I$1001,продажи!$I$2:$I$1001,продажи!$C$2:$C$1001)</f>
        <v>265.47674418604652</v>
      </c>
      <c r="L747" s="40">
        <f>продажи!$C747/продажи!$K747-1</f>
        <v>0.70636415400113872</v>
      </c>
      <c r="M747" s="33">
        <f t="shared" si="22"/>
        <v>10237</v>
      </c>
      <c r="N747" s="24">
        <f>Таблица1[[#This Row],[цена за шт в рублях]]/Таблица1[[#This Row],[средняя стоимость в категории по поставщику.]]-1</f>
        <v>-0.95574875451792518</v>
      </c>
      <c r="O747" s="26">
        <f>VLOOKUP(Таблица1[[#This Row],[id клиента]],клиенты!$A$2:$E$435,5,0)</f>
        <v>44832</v>
      </c>
      <c r="P747">
        <f>Таблица1[[#This Row],[дата создания чека]]-Таблица1[[#This Row],[Дата регистрации клента]]</f>
        <v>583</v>
      </c>
      <c r="Q747" s="26">
        <f t="shared" ca="1" si="23"/>
        <v>46059</v>
      </c>
      <c r="R747" s="51">
        <f ca="1">(TODAY()-Таблица1[[#This Row],[Дата регистрации клента]])/30</f>
        <v>40.9</v>
      </c>
      <c r="S747" s="63" t="str">
        <f>VLOOKUP(Таблица1[[#This Row],[id клиента]],Таблица8[[id клиента]:[Страна]],7,0)</f>
        <v>Беларусь</v>
      </c>
      <c r="T747" s="26"/>
    </row>
    <row r="748" spans="1:20" ht="19.5" x14ac:dyDescent="0.4">
      <c r="A748" s="41">
        <v>747</v>
      </c>
      <c r="B748" s="42">
        <v>230</v>
      </c>
      <c r="C748" s="42">
        <v>104</v>
      </c>
      <c r="D748" s="42">
        <v>4</v>
      </c>
      <c r="E748" s="42">
        <v>416</v>
      </c>
      <c r="F748" s="43">
        <v>44965</v>
      </c>
      <c r="G748" s="42" t="s">
        <v>12</v>
      </c>
      <c r="H748" s="42">
        <v>163</v>
      </c>
      <c r="I748" s="42" t="str">
        <f>VLOOKUP(продажи!$B748,товар!$A$1:$C$433,2)</f>
        <v>Сок</v>
      </c>
      <c r="J748" s="42" t="str">
        <f>VLOOKUP(B748,товар!$A$1:$C$433,3)</f>
        <v>Фруктовый сад</v>
      </c>
      <c r="K748" s="44">
        <f>AVERAGEIF(продажи!$I$2:$I$1001,продажи!$I$2:$I$1001,продажи!$C$2:$C$1001)</f>
        <v>268.60344827586209</v>
      </c>
      <c r="L748" s="45">
        <f>продажи!$C748/продажи!$K748-1</f>
        <v>-0.61281211887797682</v>
      </c>
      <c r="M748" s="33">
        <f t="shared" si="22"/>
        <v>9023</v>
      </c>
      <c r="N748" s="24">
        <f>Таблица1[[#This Row],[цена за шт в рублях]]/Таблица1[[#This Row],[средняя стоимость в категории по поставщику.]]-1</f>
        <v>-0.98847390003324831</v>
      </c>
      <c r="O748" s="26">
        <f>VLOOKUP(Таблица1[[#This Row],[id клиента]],клиенты!$A$2:$E$435,5,0)</f>
        <v>44571</v>
      </c>
      <c r="P748">
        <f>Таблица1[[#This Row],[дата создания чека]]-Таблица1[[#This Row],[Дата регистрации клента]]</f>
        <v>394</v>
      </c>
      <c r="Q748" s="26">
        <f t="shared" ca="1" si="23"/>
        <v>46059</v>
      </c>
      <c r="R748" s="51">
        <f ca="1">(TODAY()-Таблица1[[#This Row],[Дата регистрации клента]])/30</f>
        <v>49.6</v>
      </c>
      <c r="S748" s="63" t="str">
        <f>VLOOKUP(Таблица1[[#This Row],[id клиента]],Таблица8[[id клиента]:[Страна]],7,0)</f>
        <v>Узбекистан</v>
      </c>
      <c r="T748" s="26"/>
    </row>
    <row r="749" spans="1:20" ht="19.5" x14ac:dyDescent="0.4">
      <c r="A749" s="37">
        <v>748</v>
      </c>
      <c r="B749" s="31">
        <v>293</v>
      </c>
      <c r="C749" s="31">
        <v>57</v>
      </c>
      <c r="D749" s="31">
        <v>5</v>
      </c>
      <c r="E749" s="31">
        <v>285</v>
      </c>
      <c r="F749" s="38">
        <v>45004</v>
      </c>
      <c r="G749" s="31" t="s">
        <v>26</v>
      </c>
      <c r="H749" s="31">
        <v>248</v>
      </c>
      <c r="I749" s="31" t="str">
        <f>VLOOKUP(продажи!$B749,товар!$A$1:$C$433,2)</f>
        <v>Конфеты</v>
      </c>
      <c r="J749" s="31" t="str">
        <f>VLOOKUP(B749,товар!$A$1:$C$433,3)</f>
        <v>Бабаевский</v>
      </c>
      <c r="K749" s="39">
        <f>AVERAGEIF(продажи!$I$2:$I$1001,продажи!$I$2:$I$1001,продажи!$C$2:$C$1001)</f>
        <v>267.85483870967744</v>
      </c>
      <c r="L749" s="40">
        <f>продажи!$C749/продажи!$K749-1</f>
        <v>-0.78719816944661891</v>
      </c>
      <c r="M749" s="33">
        <f t="shared" si="22"/>
        <v>6757</v>
      </c>
      <c r="N749" s="24">
        <f>Таблица1[[#This Row],[цена за шт в рублях]]/Таблица1[[#This Row],[средняя стоимость в категории по поставщику.]]-1</f>
        <v>-0.99156430368506732</v>
      </c>
      <c r="O749" s="26">
        <f>VLOOKUP(Таблица1[[#This Row],[id клиента]],клиенты!$A$2:$E$435,5,0)</f>
        <v>44694</v>
      </c>
      <c r="P749">
        <f>Таблица1[[#This Row],[дата создания чека]]-Таблица1[[#This Row],[Дата регистрации клента]]</f>
        <v>310</v>
      </c>
      <c r="Q749" s="26">
        <f t="shared" ca="1" si="23"/>
        <v>46059</v>
      </c>
      <c r="R749" s="51">
        <f ca="1">(TODAY()-Таблица1[[#This Row],[Дата регистрации клента]])/30</f>
        <v>45.5</v>
      </c>
      <c r="S749" s="63" t="str">
        <f>VLOOKUP(Таблица1[[#This Row],[id клиента]],Таблица8[[id клиента]:[Страна]],7,0)</f>
        <v>Россия</v>
      </c>
      <c r="T749" s="26"/>
    </row>
    <row r="750" spans="1:20" ht="19.5" x14ac:dyDescent="0.4">
      <c r="A750" s="41">
        <v>749</v>
      </c>
      <c r="B750" s="42">
        <v>254</v>
      </c>
      <c r="C750" s="42">
        <v>326</v>
      </c>
      <c r="D750" s="42">
        <v>1</v>
      </c>
      <c r="E750" s="42">
        <v>326</v>
      </c>
      <c r="F750" s="43">
        <v>45372</v>
      </c>
      <c r="G750" s="42" t="s">
        <v>10</v>
      </c>
      <c r="H750" s="42">
        <v>201</v>
      </c>
      <c r="I750" s="42" t="str">
        <f>VLOOKUP(продажи!$B750,товар!$A$1:$C$433,2)</f>
        <v>Соль</v>
      </c>
      <c r="J750" s="42" t="str">
        <f>VLOOKUP(B750,товар!$A$1:$C$433,3)</f>
        <v>Илецкая</v>
      </c>
      <c r="K750" s="44">
        <f>AVERAGEIF(продажи!$I$2:$I$1001,продажи!$I$2:$I$1001,продажи!$C$2:$C$1001)</f>
        <v>264.8679245283019</v>
      </c>
      <c r="L750" s="45">
        <f>продажи!$C750/продажи!$K750-1</f>
        <v>0.23080210856247318</v>
      </c>
      <c r="M750" s="33">
        <f t="shared" si="22"/>
        <v>4287</v>
      </c>
      <c r="N750" s="24">
        <f>Таблица1[[#This Row],[цена за шт в рублях]]/Таблица1[[#This Row],[средняя стоимость в категории по поставщику.]]-1</f>
        <v>-0.92395614648938651</v>
      </c>
      <c r="O750" s="26">
        <f>VLOOKUP(Таблица1[[#This Row],[id клиента]],клиенты!$A$2:$E$435,5,0)</f>
        <v>44843</v>
      </c>
      <c r="P750">
        <f>Таблица1[[#This Row],[дата создания чека]]-Таблица1[[#This Row],[Дата регистрации клента]]</f>
        <v>529</v>
      </c>
      <c r="Q750" s="26">
        <f t="shared" ca="1" si="23"/>
        <v>46059</v>
      </c>
      <c r="R750" s="51">
        <f ca="1">(TODAY()-Таблица1[[#This Row],[Дата регистрации клента]])/30</f>
        <v>40.533333333333331</v>
      </c>
      <c r="S750" s="63" t="str">
        <f>VLOOKUP(Таблица1[[#This Row],[id клиента]],Таблица8[[id клиента]:[Страна]],7,0)</f>
        <v>Таджикистан</v>
      </c>
      <c r="T750" s="26"/>
    </row>
    <row r="751" spans="1:20" ht="19.5" x14ac:dyDescent="0.4">
      <c r="A751" s="37">
        <v>750</v>
      </c>
      <c r="B751" s="31">
        <v>248</v>
      </c>
      <c r="C751" s="31">
        <v>176</v>
      </c>
      <c r="D751" s="31">
        <v>5</v>
      </c>
      <c r="E751" s="31">
        <v>880</v>
      </c>
      <c r="F751" s="38">
        <v>44946</v>
      </c>
      <c r="G751" s="31" t="s">
        <v>16</v>
      </c>
      <c r="H751" s="31">
        <v>434</v>
      </c>
      <c r="I751" s="31" t="str">
        <f>VLOOKUP(продажи!$B751,товар!$A$1:$C$433,2)</f>
        <v>Конфеты</v>
      </c>
      <c r="J751" s="31" t="str">
        <f>VLOOKUP(B751,товар!$A$1:$C$433,3)</f>
        <v>Красный Октябрь</v>
      </c>
      <c r="K751" s="39">
        <f>AVERAGEIF(продажи!$I$2:$I$1001,продажи!$I$2:$I$1001,продажи!$C$2:$C$1001)</f>
        <v>267.85483870967744</v>
      </c>
      <c r="L751" s="40">
        <f>продажи!$C751/продажи!$K751-1</f>
        <v>-0.34292768109833205</v>
      </c>
      <c r="M751" s="33">
        <f t="shared" si="22"/>
        <v>2189</v>
      </c>
      <c r="N751" s="24">
        <f>Таблица1[[#This Row],[цена за шт в рублях]]/Таблица1[[#This Row],[средняя стоимость в категории по поставщику.]]-1</f>
        <v>-0.91959798994974873</v>
      </c>
      <c r="O751" s="26">
        <f>VLOOKUP(Таблица1[[#This Row],[id клиента]],клиенты!$A$2:$E$435,5,0)</f>
        <v>44730</v>
      </c>
      <c r="P751">
        <f>Таблица1[[#This Row],[дата создания чека]]-Таблица1[[#This Row],[Дата регистрации клента]]</f>
        <v>216</v>
      </c>
      <c r="Q751" s="26">
        <f t="shared" ca="1" si="23"/>
        <v>46059</v>
      </c>
      <c r="R751" s="51">
        <f ca="1">(TODAY()-Таблица1[[#This Row],[Дата регистрации клента]])/30</f>
        <v>44.3</v>
      </c>
      <c r="S751" s="63" t="str">
        <f>VLOOKUP(Таблица1[[#This Row],[id клиента]],Таблица8[[id клиента]:[Страна]],7,0)</f>
        <v>Украина</v>
      </c>
      <c r="T751" s="26"/>
    </row>
    <row r="752" spans="1:20" ht="19.5" x14ac:dyDescent="0.4">
      <c r="A752" s="41">
        <v>751</v>
      </c>
      <c r="B752" s="42">
        <v>156</v>
      </c>
      <c r="C752" s="42">
        <v>490</v>
      </c>
      <c r="D752" s="42">
        <v>1</v>
      </c>
      <c r="E752" s="42">
        <v>490</v>
      </c>
      <c r="F752" s="43">
        <v>45237</v>
      </c>
      <c r="G752" s="42" t="s">
        <v>17</v>
      </c>
      <c r="H752" s="42">
        <v>140</v>
      </c>
      <c r="I752" s="42" t="str">
        <f>VLOOKUP(продажи!$B752,товар!$A$1:$C$433,2)</f>
        <v>Фрукты</v>
      </c>
      <c r="J752" s="42" t="str">
        <f>VLOOKUP(B752,товар!$A$1:$C$433,3)</f>
        <v>Фрукты-Ягоды</v>
      </c>
      <c r="K752" s="44">
        <f>AVERAGEIF(продажи!$I$2:$I$1001,продажи!$I$2:$I$1001,продажи!$C$2:$C$1001)</f>
        <v>274.16279069767444</v>
      </c>
      <c r="L752" s="45">
        <f>продажи!$C752/продажи!$K752-1</f>
        <v>0.78725930952582912</v>
      </c>
      <c r="M752" s="33">
        <f t="shared" si="22"/>
        <v>2526</v>
      </c>
      <c r="N752" s="24">
        <f>Таблица1[[#This Row],[цена за шт в рублях]]/Таблица1[[#This Row],[средняя стоимость в категории по поставщику.]]-1</f>
        <v>-0.80601741884402212</v>
      </c>
      <c r="O752" s="26">
        <f>VLOOKUP(Таблица1[[#This Row],[id клиента]],клиенты!$A$2:$E$435,5,0)</f>
        <v>44627</v>
      </c>
      <c r="P752">
        <f>Таблица1[[#This Row],[дата создания чека]]-Таблица1[[#This Row],[Дата регистрации клента]]</f>
        <v>610</v>
      </c>
      <c r="Q752" s="26">
        <f t="shared" ca="1" si="23"/>
        <v>46059</v>
      </c>
      <c r="R752" s="51">
        <f ca="1">(TODAY()-Таблица1[[#This Row],[Дата регистрации клента]])/30</f>
        <v>47.733333333333334</v>
      </c>
      <c r="S752" s="63" t="str">
        <f>VLOOKUP(Таблица1[[#This Row],[id клиента]],Таблица8[[id клиента]:[Страна]],7,0)</f>
        <v>Россия</v>
      </c>
      <c r="T752" s="26"/>
    </row>
    <row r="753" spans="1:20" ht="19.5" x14ac:dyDescent="0.4">
      <c r="A753" s="37">
        <v>752</v>
      </c>
      <c r="B753" s="31">
        <v>370</v>
      </c>
      <c r="C753" s="31">
        <v>95</v>
      </c>
      <c r="D753" s="31">
        <v>5</v>
      </c>
      <c r="E753" s="31">
        <v>475</v>
      </c>
      <c r="F753" s="38">
        <v>45202</v>
      </c>
      <c r="G753" s="31" t="s">
        <v>13</v>
      </c>
      <c r="H753" s="31">
        <v>250</v>
      </c>
      <c r="I753" s="31" t="str">
        <f>VLOOKUP(продажи!$B753,товар!$A$1:$C$433,2)</f>
        <v>Сок</v>
      </c>
      <c r="J753" s="31" t="str">
        <f>VLOOKUP(B753,товар!$A$1:$C$433,3)</f>
        <v>Фруктовый сад</v>
      </c>
      <c r="K753" s="39">
        <f>AVERAGEIF(продажи!$I$2:$I$1001,продажи!$I$2:$I$1001,продажи!$C$2:$C$1001)</f>
        <v>268.60344827586209</v>
      </c>
      <c r="L753" s="40">
        <f>продажи!$C753/продажи!$K753-1</f>
        <v>-0.64631876243661335</v>
      </c>
      <c r="M753" s="33">
        <f t="shared" si="22"/>
        <v>9023</v>
      </c>
      <c r="N753" s="24">
        <f>Таблица1[[#This Row],[цена за шт в рублях]]/Таблица1[[#This Row],[средняя стоимость в категории по поставщику.]]-1</f>
        <v>-0.98947135099190953</v>
      </c>
      <c r="O753" s="26">
        <f>VLOOKUP(Таблица1[[#This Row],[id клиента]],клиенты!$A$2:$E$435,5,0)</f>
        <v>44856</v>
      </c>
      <c r="P753">
        <f>Таблица1[[#This Row],[дата создания чека]]-Таблица1[[#This Row],[Дата регистрации клента]]</f>
        <v>346</v>
      </c>
      <c r="Q753" s="26">
        <f t="shared" ca="1" si="23"/>
        <v>46059</v>
      </c>
      <c r="R753" s="51">
        <f ca="1">(TODAY()-Таблица1[[#This Row],[Дата регистрации клента]])/30</f>
        <v>40.1</v>
      </c>
      <c r="S753" s="63" t="str">
        <f>VLOOKUP(Таблица1[[#This Row],[id клиента]],Таблица8[[id клиента]:[Страна]],7,0)</f>
        <v>Россия</v>
      </c>
      <c r="T753" s="26"/>
    </row>
    <row r="754" spans="1:20" ht="19.5" x14ac:dyDescent="0.4">
      <c r="A754" s="41">
        <v>753</v>
      </c>
      <c r="B754" s="42">
        <v>61</v>
      </c>
      <c r="C754" s="42">
        <v>183</v>
      </c>
      <c r="D754" s="42">
        <v>5</v>
      </c>
      <c r="E754" s="42">
        <v>915</v>
      </c>
      <c r="F754" s="43">
        <v>45062</v>
      </c>
      <c r="G754" s="42" t="s">
        <v>17</v>
      </c>
      <c r="H754" s="42">
        <v>191</v>
      </c>
      <c r="I754" s="42" t="str">
        <f>VLOOKUP(продажи!$B754,товар!$A$1:$C$433,2)</f>
        <v>Йогурт</v>
      </c>
      <c r="J754" s="42" t="str">
        <f>VLOOKUP(B754,товар!$A$1:$C$433,3)</f>
        <v>Эрманн</v>
      </c>
      <c r="K754" s="44">
        <f>AVERAGEIF(продажи!$I$2:$I$1001,продажи!$I$2:$I$1001,продажи!$C$2:$C$1001)</f>
        <v>263.25423728813558</v>
      </c>
      <c r="L754" s="45">
        <f>продажи!$C754/продажи!$K754-1</f>
        <v>-0.30485449394797837</v>
      </c>
      <c r="M754" s="33">
        <f t="shared" si="22"/>
        <v>4970</v>
      </c>
      <c r="N754" s="24">
        <f>Таблица1[[#This Row],[цена за шт в рублях]]/Таблица1[[#This Row],[средняя стоимость в категории по поставщику.]]-1</f>
        <v>-0.96317907444668005</v>
      </c>
      <c r="O754" s="26">
        <f>VLOOKUP(Таблица1[[#This Row],[id клиента]],клиенты!$A$2:$E$435,5,0)</f>
        <v>44866</v>
      </c>
      <c r="P754">
        <f>Таблица1[[#This Row],[дата создания чека]]-Таблица1[[#This Row],[Дата регистрации клента]]</f>
        <v>196</v>
      </c>
      <c r="Q754" s="26">
        <f t="shared" ca="1" si="23"/>
        <v>46059</v>
      </c>
      <c r="R754" s="51">
        <f ca="1">(TODAY()-Таблица1[[#This Row],[Дата регистрации клента]])/30</f>
        <v>39.766666666666666</v>
      </c>
      <c r="S754" s="63" t="str">
        <f>VLOOKUP(Таблица1[[#This Row],[id клиента]],Таблица8[[id клиента]:[Страна]],7,0)</f>
        <v>Украина</v>
      </c>
      <c r="T754" s="26"/>
    </row>
    <row r="755" spans="1:20" ht="19.5" x14ac:dyDescent="0.4">
      <c r="A755" s="37">
        <v>754</v>
      </c>
      <c r="B755" s="31">
        <v>246</v>
      </c>
      <c r="C755" s="31">
        <v>302</v>
      </c>
      <c r="D755" s="31">
        <v>5</v>
      </c>
      <c r="E755" s="31">
        <v>1510</v>
      </c>
      <c r="F755" s="38">
        <v>45407</v>
      </c>
      <c r="G755" s="31" t="s">
        <v>13</v>
      </c>
      <c r="H755" s="31">
        <v>336</v>
      </c>
      <c r="I755" s="31" t="str">
        <f>VLOOKUP(продажи!$B755,товар!$A$1:$C$433,2)</f>
        <v>Сыр</v>
      </c>
      <c r="J755" s="31" t="str">
        <f>VLOOKUP(B755,товар!$A$1:$C$433,3)</f>
        <v>President</v>
      </c>
      <c r="K755" s="39">
        <f>AVERAGEIF(продажи!$I$2:$I$1001,продажи!$I$2:$I$1001,продажи!$C$2:$C$1001)</f>
        <v>261.03225806451616</v>
      </c>
      <c r="L755" s="40">
        <f>продажи!$C755/продажи!$K755-1</f>
        <v>0.15694513099357388</v>
      </c>
      <c r="M755" s="33">
        <f t="shared" si="22"/>
        <v>3935</v>
      </c>
      <c r="N755" s="24">
        <f>Таблица1[[#This Row],[цена за шт в рублях]]/Таблица1[[#This Row],[средняя стоимость в категории по поставщику.]]-1</f>
        <v>-0.92325285895806863</v>
      </c>
      <c r="O755" s="26">
        <f>VLOOKUP(Таблица1[[#This Row],[id клиента]],клиенты!$A$2:$E$435,5,0)</f>
        <v>44856</v>
      </c>
      <c r="P755">
        <f>Таблица1[[#This Row],[дата создания чека]]-Таблица1[[#This Row],[Дата регистрации клента]]</f>
        <v>551</v>
      </c>
      <c r="Q755" s="26">
        <f t="shared" ca="1" si="23"/>
        <v>46059</v>
      </c>
      <c r="R755" s="51">
        <f ca="1">(TODAY()-Таблица1[[#This Row],[Дата регистрации клента]])/30</f>
        <v>40.1</v>
      </c>
      <c r="S755" s="63" t="str">
        <f>VLOOKUP(Таблица1[[#This Row],[id клиента]],Таблица8[[id клиента]:[Страна]],7,0)</f>
        <v>Узбекистан</v>
      </c>
      <c r="T755" s="26"/>
    </row>
    <row r="756" spans="1:20" ht="19.5" x14ac:dyDescent="0.4">
      <c r="A756" s="41">
        <v>755</v>
      </c>
      <c r="B756" s="42">
        <v>322</v>
      </c>
      <c r="C756" s="42">
        <v>417</v>
      </c>
      <c r="D756" s="42">
        <v>2</v>
      </c>
      <c r="E756" s="42">
        <v>834</v>
      </c>
      <c r="F756" s="43">
        <v>45376</v>
      </c>
      <c r="G756" s="42" t="s">
        <v>24</v>
      </c>
      <c r="H756" s="42">
        <v>3</v>
      </c>
      <c r="I756" s="42" t="str">
        <f>VLOOKUP(продажи!$B756,товар!$A$1:$C$433,2)</f>
        <v>Крупа</v>
      </c>
      <c r="J756" s="42" t="str">
        <f>VLOOKUP(B756,товар!$A$1:$C$433,3)</f>
        <v>Увелка</v>
      </c>
      <c r="K756" s="44">
        <f>AVERAGEIF(продажи!$I$2:$I$1001,продажи!$I$2:$I$1001,продажи!$C$2:$C$1001)</f>
        <v>255.11627906976744</v>
      </c>
      <c r="L756" s="45">
        <f>продажи!$C756/продажи!$K756-1</f>
        <v>0.6345487693710119</v>
      </c>
      <c r="M756" s="33">
        <f t="shared" si="22"/>
        <v>3023</v>
      </c>
      <c r="N756" s="24">
        <f>Таблица1[[#This Row],[цена за шт в рублях]]/Таблица1[[#This Row],[средняя стоимость в категории по поставщику.]]-1</f>
        <v>-0.8620575587165068</v>
      </c>
      <c r="O756" s="26">
        <f>VLOOKUP(Таблица1[[#This Row],[id клиента]],клиенты!$A$2:$E$435,5,0)</f>
        <v>44666</v>
      </c>
      <c r="P756">
        <f>Таблица1[[#This Row],[дата создания чека]]-Таблица1[[#This Row],[Дата регистрации клента]]</f>
        <v>710</v>
      </c>
      <c r="Q756" s="26">
        <f t="shared" ca="1" si="23"/>
        <v>46059</v>
      </c>
      <c r="R756" s="51">
        <f ca="1">(TODAY()-Таблица1[[#This Row],[Дата регистрации клента]])/30</f>
        <v>46.43333333333333</v>
      </c>
      <c r="S756" s="63" t="str">
        <f>VLOOKUP(Таблица1[[#This Row],[id клиента]],Таблица8[[id клиента]:[Страна]],7,0)</f>
        <v>Украина</v>
      </c>
      <c r="T756" s="26"/>
    </row>
    <row r="757" spans="1:20" ht="19.5" x14ac:dyDescent="0.4">
      <c r="A757" s="37">
        <v>756</v>
      </c>
      <c r="B757" s="31">
        <v>51</v>
      </c>
      <c r="C757" s="31">
        <v>439</v>
      </c>
      <c r="D757" s="31">
        <v>5</v>
      </c>
      <c r="E757" s="31">
        <v>2195</v>
      </c>
      <c r="F757" s="38">
        <v>45353</v>
      </c>
      <c r="G757" s="31" t="s">
        <v>17</v>
      </c>
      <c r="H757" s="31">
        <v>435</v>
      </c>
      <c r="I757" s="31" t="str">
        <f>VLOOKUP(продажи!$B757,товар!$A$1:$C$433,2)</f>
        <v>Колбаса</v>
      </c>
      <c r="J757" s="31" t="str">
        <f>VLOOKUP(B757,товар!$A$1:$C$433,3)</f>
        <v>Дымов</v>
      </c>
      <c r="K757" s="39">
        <f>AVERAGEIF(продажи!$I$2:$I$1001,продажи!$I$2:$I$1001,продажи!$C$2:$C$1001)</f>
        <v>286.92307692307691</v>
      </c>
      <c r="L757" s="40">
        <f>продажи!$C757/продажи!$K757-1</f>
        <v>0.53002680965147464</v>
      </c>
      <c r="M757" s="33">
        <f t="shared" si="22"/>
        <v>2814</v>
      </c>
      <c r="N757" s="24">
        <f>Таблица1[[#This Row],[цена за шт в рублях]]/Таблица1[[#This Row],[средняя стоимость в категории по поставщику.]]-1</f>
        <v>-0.84399431414356785</v>
      </c>
      <c r="O757" s="26">
        <f>VLOOKUP(Таблица1[[#This Row],[id клиента]],клиенты!$A$2:$E$435,5,0)</f>
        <v>44618</v>
      </c>
      <c r="P757">
        <f>Таблица1[[#This Row],[дата создания чека]]-Таблица1[[#This Row],[Дата регистрации клента]]</f>
        <v>735</v>
      </c>
      <c r="Q757" s="26">
        <f t="shared" ca="1" si="23"/>
        <v>46059</v>
      </c>
      <c r="R757" s="51">
        <f ca="1">(TODAY()-Таблица1[[#This Row],[Дата регистрации клента]])/30</f>
        <v>48.033333333333331</v>
      </c>
      <c r="S757" s="63" t="str">
        <f>VLOOKUP(Таблица1[[#This Row],[id клиента]],Таблица8[[id клиента]:[Страна]],7,0)</f>
        <v>Узбекистан</v>
      </c>
      <c r="T757" s="26"/>
    </row>
    <row r="758" spans="1:20" ht="19.5" x14ac:dyDescent="0.4">
      <c r="A758" s="41">
        <v>757</v>
      </c>
      <c r="B758" s="42">
        <v>189</v>
      </c>
      <c r="C758" s="42">
        <v>136</v>
      </c>
      <c r="D758" s="42">
        <v>5</v>
      </c>
      <c r="E758" s="42">
        <v>680</v>
      </c>
      <c r="F758" s="43">
        <v>45232</v>
      </c>
      <c r="G758" s="42" t="s">
        <v>26</v>
      </c>
      <c r="H758" s="42">
        <v>80</v>
      </c>
      <c r="I758" s="42" t="str">
        <f>VLOOKUP(продажи!$B758,товар!$A$1:$C$433,2)</f>
        <v>Хлеб</v>
      </c>
      <c r="J758" s="42" t="str">
        <f>VLOOKUP(B758,товар!$A$1:$C$433,3)</f>
        <v>Дарница</v>
      </c>
      <c r="K758" s="44">
        <f>AVERAGEIF(продажи!$I$2:$I$1001,продажи!$I$2:$I$1001,продажи!$C$2:$C$1001)</f>
        <v>300.31818181818181</v>
      </c>
      <c r="L758" s="45">
        <f>продажи!$C758/продажи!$K758-1</f>
        <v>-0.54714696533979112</v>
      </c>
      <c r="M758" s="33">
        <f t="shared" si="22"/>
        <v>1848</v>
      </c>
      <c r="N758" s="24">
        <f>Таблица1[[#This Row],[цена за шт в рублях]]/Таблица1[[#This Row],[средняя стоимость в категории по поставщику.]]-1</f>
        <v>-0.92640692640692635</v>
      </c>
      <c r="O758" s="26">
        <f>VLOOKUP(Таблица1[[#This Row],[id клиента]],клиенты!$A$2:$E$435,5,0)</f>
        <v>44623</v>
      </c>
      <c r="P758">
        <f>Таблица1[[#This Row],[дата создания чека]]-Таблица1[[#This Row],[Дата регистрации клента]]</f>
        <v>609</v>
      </c>
      <c r="Q758" s="26">
        <f t="shared" ca="1" si="23"/>
        <v>46059</v>
      </c>
      <c r="R758" s="51">
        <f ca="1">(TODAY()-Таблица1[[#This Row],[Дата регистрации клента]])/30</f>
        <v>47.866666666666667</v>
      </c>
      <c r="S758" s="63" t="str">
        <f>VLOOKUP(Таблица1[[#This Row],[id клиента]],Таблица8[[id клиента]:[Страна]],7,0)</f>
        <v>Беларусь</v>
      </c>
      <c r="T758" s="26"/>
    </row>
    <row r="759" spans="1:20" ht="19.5" x14ac:dyDescent="0.4">
      <c r="A759" s="37">
        <v>758</v>
      </c>
      <c r="B759" s="31">
        <v>67</v>
      </c>
      <c r="C759" s="31">
        <v>274</v>
      </c>
      <c r="D759" s="31">
        <v>4</v>
      </c>
      <c r="E759" s="31">
        <v>1096</v>
      </c>
      <c r="F759" s="38">
        <v>45298</v>
      </c>
      <c r="G759" s="31" t="s">
        <v>10</v>
      </c>
      <c r="H759" s="31">
        <v>262</v>
      </c>
      <c r="I759" s="31" t="str">
        <f>VLOOKUP(продажи!$B759,товар!$A$1:$C$433,2)</f>
        <v>Йогурт</v>
      </c>
      <c r="J759" s="31" t="str">
        <f>VLOOKUP(B759,товар!$A$1:$C$433,3)</f>
        <v>Чудо</v>
      </c>
      <c r="K759" s="39">
        <f>AVERAGEIF(продажи!$I$2:$I$1001,продажи!$I$2:$I$1001,продажи!$C$2:$C$1001)</f>
        <v>263.25423728813558</v>
      </c>
      <c r="L759" s="40">
        <f>продажи!$C759/продажи!$K759-1</f>
        <v>4.0818954416688147E-2</v>
      </c>
      <c r="M759" s="33">
        <f t="shared" si="22"/>
        <v>2871</v>
      </c>
      <c r="N759" s="24">
        <f>Таблица1[[#This Row],[цена за шт в рублях]]/Таблица1[[#This Row],[средняя стоимость в категории по поставщику.]]-1</f>
        <v>-0.90456287008011149</v>
      </c>
      <c r="O759" s="26">
        <f>VLOOKUP(Таблица1[[#This Row],[id клиента]],клиенты!$A$2:$E$435,5,0)</f>
        <v>44778</v>
      </c>
      <c r="P759">
        <f>Таблица1[[#This Row],[дата создания чека]]-Таблица1[[#This Row],[Дата регистрации клента]]</f>
        <v>520</v>
      </c>
      <c r="Q759" s="26">
        <f t="shared" ca="1" si="23"/>
        <v>46059</v>
      </c>
      <c r="R759" s="51">
        <f ca="1">(TODAY()-Таблица1[[#This Row],[Дата регистрации клента]])/30</f>
        <v>42.7</v>
      </c>
      <c r="S759" s="63" t="str">
        <f>VLOOKUP(Таблица1[[#This Row],[id клиента]],Таблица8[[id клиента]:[Страна]],7,0)</f>
        <v>Таджикистан</v>
      </c>
      <c r="T759" s="26"/>
    </row>
    <row r="760" spans="1:20" ht="19.5" x14ac:dyDescent="0.4">
      <c r="A760" s="41">
        <v>759</v>
      </c>
      <c r="B760" s="42">
        <v>301</v>
      </c>
      <c r="C760" s="42">
        <v>189</v>
      </c>
      <c r="D760" s="42">
        <v>3</v>
      </c>
      <c r="E760" s="42">
        <v>567</v>
      </c>
      <c r="F760" s="43">
        <v>45144</v>
      </c>
      <c r="G760" s="42" t="s">
        <v>23</v>
      </c>
      <c r="H760" s="42">
        <v>43</v>
      </c>
      <c r="I760" s="42" t="str">
        <f>VLOOKUP(продажи!$B760,товар!$A$1:$C$433,2)</f>
        <v>Фрукты</v>
      </c>
      <c r="J760" s="42" t="str">
        <f>VLOOKUP(B760,товар!$A$1:$C$433,3)</f>
        <v>Экзотик</v>
      </c>
      <c r="K760" s="44">
        <f>AVERAGEIF(продажи!$I$2:$I$1001,продажи!$I$2:$I$1001,продажи!$C$2:$C$1001)</f>
        <v>274.16279069767444</v>
      </c>
      <c r="L760" s="45">
        <f>продажи!$C760/продажи!$K760-1</f>
        <v>-0.31062855204003736</v>
      </c>
      <c r="M760" s="33">
        <f t="shared" si="22"/>
        <v>4059</v>
      </c>
      <c r="N760" s="24">
        <f>Таблица1[[#This Row],[цена за шт в рублях]]/Таблица1[[#This Row],[средняя стоимость в категории по поставщику.]]-1</f>
        <v>-0.95343680709534373</v>
      </c>
      <c r="O760" s="26">
        <f>VLOOKUP(Таблица1[[#This Row],[id клиента]],клиенты!$A$2:$E$435,5,0)</f>
        <v>44912</v>
      </c>
      <c r="P760">
        <f>Таблица1[[#This Row],[дата создания чека]]-Таблица1[[#This Row],[Дата регистрации клента]]</f>
        <v>232</v>
      </c>
      <c r="Q760" s="26">
        <f t="shared" ca="1" si="23"/>
        <v>46059</v>
      </c>
      <c r="R760" s="51">
        <f ca="1">(TODAY()-Таблица1[[#This Row],[Дата регистрации клента]])/30</f>
        <v>38.233333333333334</v>
      </c>
      <c r="S760" s="63" t="str">
        <f>VLOOKUP(Таблица1[[#This Row],[id клиента]],Таблица8[[id клиента]:[Страна]],7,0)</f>
        <v>Россия</v>
      </c>
      <c r="T760" s="26"/>
    </row>
    <row r="761" spans="1:20" ht="19.5" x14ac:dyDescent="0.4">
      <c r="A761" s="37">
        <v>760</v>
      </c>
      <c r="B761" s="31">
        <v>463</v>
      </c>
      <c r="C761" s="31">
        <v>77</v>
      </c>
      <c r="D761" s="31">
        <v>4</v>
      </c>
      <c r="E761" s="31">
        <v>308</v>
      </c>
      <c r="F761" s="38">
        <v>45293</v>
      </c>
      <c r="G761" s="31" t="s">
        <v>21</v>
      </c>
      <c r="H761" s="31">
        <v>163</v>
      </c>
      <c r="I761" s="31" t="str">
        <f>VLOOKUP(продажи!$B761,товар!$A$1:$C$433,2)</f>
        <v>Кофе</v>
      </c>
      <c r="J761" s="31" t="str">
        <f>VLOOKUP(B761,товар!$A$1:$C$433,3)</f>
        <v>Черная Карта</v>
      </c>
      <c r="K761" s="39">
        <f>AVERAGEIF(продажи!$I$2:$I$1001,продажи!$I$2:$I$1001,продажи!$C$2:$C$1001)</f>
        <v>249.02380952380952</v>
      </c>
      <c r="L761" s="40">
        <f>продажи!$C761/продажи!$K761-1</f>
        <v>-0.69079261879720821</v>
      </c>
      <c r="M761" s="33">
        <f t="shared" si="22"/>
        <v>2222</v>
      </c>
      <c r="N761" s="24">
        <f>Таблица1[[#This Row],[цена за шт в рублях]]/Таблица1[[#This Row],[средняя стоимость в категории по поставщику.]]-1</f>
        <v>-0.96534653465346532</v>
      </c>
      <c r="O761" s="26">
        <f>VLOOKUP(Таблица1[[#This Row],[id клиента]],клиенты!$A$2:$E$435,5,0)</f>
        <v>44571</v>
      </c>
      <c r="P761">
        <f>Таблица1[[#This Row],[дата создания чека]]-Таблица1[[#This Row],[Дата регистрации клента]]</f>
        <v>722</v>
      </c>
      <c r="Q761" s="26">
        <f t="shared" ca="1" si="23"/>
        <v>46059</v>
      </c>
      <c r="R761" s="51">
        <f ca="1">(TODAY()-Таблица1[[#This Row],[Дата регистрации клента]])/30</f>
        <v>49.6</v>
      </c>
      <c r="S761" s="63" t="str">
        <f>VLOOKUP(Таблица1[[#This Row],[id клиента]],Таблица8[[id клиента]:[Страна]],7,0)</f>
        <v>Узбекистан</v>
      </c>
      <c r="T761" s="26"/>
    </row>
    <row r="762" spans="1:20" ht="19.5" x14ac:dyDescent="0.4">
      <c r="A762" s="41">
        <v>905</v>
      </c>
      <c r="B762" s="42">
        <v>318</v>
      </c>
      <c r="C762" s="42">
        <v>280</v>
      </c>
      <c r="D762" s="42">
        <v>1</v>
      </c>
      <c r="E762" s="42">
        <v>280</v>
      </c>
      <c r="F762" s="58">
        <v>45213</v>
      </c>
      <c r="G762" s="42" t="s">
        <v>9</v>
      </c>
      <c r="H762" s="56">
        <v>382</v>
      </c>
      <c r="I762" s="42" t="str">
        <f>VLOOKUP(продажи!$B906,товар!$A$1:$C$433,2)</f>
        <v>Молоко</v>
      </c>
      <c r="J762" s="42" t="str">
        <f>VLOOKUP(B762,товар!$A$1:$C$433,3)</f>
        <v>Домик в деревне</v>
      </c>
      <c r="K762" s="44">
        <f>AVERAGEIF(продажи!$I$2:$I$1001,продажи!$I$2:$I$1001,продажи!$C$2:$C$1001)</f>
        <v>294.95238095238096</v>
      </c>
      <c r="L762" s="45">
        <f>продажи!$C906/продажи!$K906-1</f>
        <v>-0.42024539877300615</v>
      </c>
      <c r="M762" s="53">
        <f t="shared" si="22"/>
        <v>4946</v>
      </c>
      <c r="N762" s="24">
        <f>Таблица1[[#This Row],[цена за шт в рублях]]/Таблица1[[#This Row],[средняя стоимость в категории по поставщику.]]-1</f>
        <v>-0.94338859684593612</v>
      </c>
      <c r="O762" s="26">
        <f>VLOOKUP(Таблица1[[#This Row],[id клиента]],клиенты!$A$2:$E$435,5,0)</f>
        <v>44850</v>
      </c>
      <c r="P762">
        <f>Таблица1[[#This Row],[дата создания чека]]-Таблица1[[#This Row],[Дата регистрации клента]]</f>
        <v>363</v>
      </c>
      <c r="Q762" s="26">
        <f t="shared" ca="1" si="23"/>
        <v>46059</v>
      </c>
      <c r="R762" s="51">
        <f ca="1">(TODAY()-Таблица1[[#This Row],[Дата регистрации клента]])/30</f>
        <v>40.299999999999997</v>
      </c>
      <c r="S762" s="63" t="str">
        <f>VLOOKUP(Таблица1[[#This Row],[id клиента]],Таблица8[[id клиента]:[Страна]],7,0)</f>
        <v>Беларусь</v>
      </c>
      <c r="T762" s="26"/>
    </row>
    <row r="763" spans="1:20" ht="19.5" x14ac:dyDescent="0.4">
      <c r="A763" s="37">
        <v>762</v>
      </c>
      <c r="B763" s="31">
        <v>398</v>
      </c>
      <c r="C763" s="31">
        <v>464</v>
      </c>
      <c r="D763" s="31">
        <v>5</v>
      </c>
      <c r="E763" s="31">
        <v>2320</v>
      </c>
      <c r="F763" s="38">
        <v>45040</v>
      </c>
      <c r="G763" s="31" t="s">
        <v>11</v>
      </c>
      <c r="H763" s="31">
        <v>342</v>
      </c>
      <c r="I763" s="31" t="str">
        <f>VLOOKUP(продажи!$B763,товар!$A$1:$C$433,2)</f>
        <v>Сок</v>
      </c>
      <c r="J763" s="31" t="str">
        <f>VLOOKUP(B763,товар!$A$1:$C$433,3)</f>
        <v>Фруктовый сад</v>
      </c>
      <c r="K763" s="39">
        <f>AVERAGEIF(продажи!$I$2:$I$1001,продажи!$I$2:$I$1001,продажи!$C$2:$C$1001)</f>
        <v>268.60344827586209</v>
      </c>
      <c r="L763" s="40">
        <f>продажи!$C763/продажи!$K763-1</f>
        <v>0.72745362346748821</v>
      </c>
      <c r="M763" s="33">
        <f t="shared" si="22"/>
        <v>9023</v>
      </c>
      <c r="N763" s="24">
        <f>Таблица1[[#This Row],[цена за шт в рублях]]/Таблица1[[#This Row],[средняя стоимость в категории по поставщику.]]-1</f>
        <v>-0.94857586168680041</v>
      </c>
      <c r="O763" s="26">
        <f>VLOOKUP(Таблица1[[#This Row],[id клиента]],клиенты!$A$2:$E$435,5,0)</f>
        <v>44570</v>
      </c>
      <c r="P763">
        <f>Таблица1[[#This Row],[дата создания чека]]-Таблица1[[#This Row],[Дата регистрации клента]]</f>
        <v>470</v>
      </c>
      <c r="Q763" s="26">
        <f t="shared" ca="1" si="23"/>
        <v>46059</v>
      </c>
      <c r="R763" s="51">
        <f ca="1">(TODAY()-Таблица1[[#This Row],[Дата регистрации клента]])/30</f>
        <v>49.633333333333333</v>
      </c>
      <c r="S763" s="63" t="str">
        <f>VLOOKUP(Таблица1[[#This Row],[id клиента]],Таблица8[[id клиента]:[Страна]],7,0)</f>
        <v>Таджикистан</v>
      </c>
      <c r="T763" s="26"/>
    </row>
    <row r="764" spans="1:20" ht="19.5" x14ac:dyDescent="0.4">
      <c r="A764" s="41">
        <v>763</v>
      </c>
      <c r="B764" s="42">
        <v>483</v>
      </c>
      <c r="C764" s="42">
        <v>140</v>
      </c>
      <c r="D764" s="42">
        <v>5</v>
      </c>
      <c r="E764" s="42">
        <v>700</v>
      </c>
      <c r="F764" s="43">
        <v>45244</v>
      </c>
      <c r="G764" s="42" t="s">
        <v>11</v>
      </c>
      <c r="H764" s="42">
        <v>7</v>
      </c>
      <c r="I764" s="42" t="str">
        <f>VLOOKUP(продажи!$B764,товар!$A$1:$C$433,2)</f>
        <v>Колбаса</v>
      </c>
      <c r="J764" s="42" t="str">
        <f>VLOOKUP(B764,товар!$A$1:$C$433,3)</f>
        <v>Дымов</v>
      </c>
      <c r="K764" s="44">
        <f>AVERAGEIF(продажи!$I$2:$I$1001,продажи!$I$2:$I$1001,продажи!$C$2:$C$1001)</f>
        <v>286.92307692307691</v>
      </c>
      <c r="L764" s="45">
        <f>продажи!$C764/продажи!$K764-1</f>
        <v>-0.51206434316353877</v>
      </c>
      <c r="M764" s="33">
        <f t="shared" si="22"/>
        <v>2814</v>
      </c>
      <c r="N764" s="24">
        <f>Таблица1[[#This Row],[цена за шт в рублях]]/Таблица1[[#This Row],[средняя стоимость в категории по поставщику.]]-1</f>
        <v>-0.95024875621890548</v>
      </c>
      <c r="O764" s="26">
        <f>VLOOKUP(Таблица1[[#This Row],[id клиента]],клиенты!$A$2:$E$435,5,0)</f>
        <v>44893</v>
      </c>
      <c r="P764">
        <f>Таблица1[[#This Row],[дата создания чека]]-Таблица1[[#This Row],[Дата регистрации клента]]</f>
        <v>351</v>
      </c>
      <c r="Q764" s="26">
        <f t="shared" ca="1" si="23"/>
        <v>46059</v>
      </c>
      <c r="R764" s="51">
        <f ca="1">(TODAY()-Таблица1[[#This Row],[Дата регистрации клента]])/30</f>
        <v>38.866666666666667</v>
      </c>
      <c r="S764" s="63" t="str">
        <f>VLOOKUP(Таблица1[[#This Row],[id клиента]],Таблица8[[id клиента]:[Страна]],7,0)</f>
        <v>Россия</v>
      </c>
      <c r="T764" s="26"/>
    </row>
    <row r="765" spans="1:20" ht="19.5" x14ac:dyDescent="0.4">
      <c r="A765" s="37">
        <v>764</v>
      </c>
      <c r="B765" s="31">
        <v>86</v>
      </c>
      <c r="C765" s="31">
        <v>353</v>
      </c>
      <c r="D765" s="31">
        <v>2</v>
      </c>
      <c r="E765" s="31">
        <v>706</v>
      </c>
      <c r="F765" s="38">
        <v>45333</v>
      </c>
      <c r="G765" s="31" t="s">
        <v>27</v>
      </c>
      <c r="H765" s="31">
        <v>264</v>
      </c>
      <c r="I765" s="31" t="str">
        <f>VLOOKUP(продажи!$B765,товар!$A$1:$C$433,2)</f>
        <v>Сахар</v>
      </c>
      <c r="J765" s="31" t="str">
        <f>VLOOKUP(B765,товар!$A$1:$C$433,3)</f>
        <v>Русский сахар</v>
      </c>
      <c r="K765" s="39">
        <f>AVERAGEIF(продажи!$I$2:$I$1001,продажи!$I$2:$I$1001,продажи!$C$2:$C$1001)</f>
        <v>254.58333333333334</v>
      </c>
      <c r="L765" s="40">
        <f>продажи!$C765/продажи!$K765-1</f>
        <v>0.38657937806873965</v>
      </c>
      <c r="M765" s="33">
        <f t="shared" si="22"/>
        <v>4988</v>
      </c>
      <c r="N765" s="24">
        <f>Таблица1[[#This Row],[цена за шт в рублях]]/Таблица1[[#This Row],[средняя стоимость в категории по поставщику.]]-1</f>
        <v>-0.92923015236567763</v>
      </c>
      <c r="O765" s="26">
        <f>VLOOKUP(Таблица1[[#This Row],[id клиента]],клиенты!$A$2:$E$435,5,0)</f>
        <v>44907</v>
      </c>
      <c r="P765">
        <f>Таблица1[[#This Row],[дата создания чека]]-Таблица1[[#This Row],[Дата регистрации клента]]</f>
        <v>426</v>
      </c>
      <c r="Q765" s="26">
        <f t="shared" ca="1" si="23"/>
        <v>46059</v>
      </c>
      <c r="R765" s="51">
        <f ca="1">(TODAY()-Таблица1[[#This Row],[Дата регистрации клента]])/30</f>
        <v>38.4</v>
      </c>
      <c r="S765" s="63" t="str">
        <f>VLOOKUP(Таблица1[[#This Row],[id клиента]],Таблица8[[id клиента]:[Страна]],7,0)</f>
        <v>Беларусь</v>
      </c>
      <c r="T765" s="26"/>
    </row>
    <row r="766" spans="1:20" ht="19.5" x14ac:dyDescent="0.4">
      <c r="A766" s="41">
        <v>765</v>
      </c>
      <c r="B766" s="42">
        <v>158</v>
      </c>
      <c r="C766" s="42">
        <v>318</v>
      </c>
      <c r="D766" s="42">
        <v>5</v>
      </c>
      <c r="E766" s="42">
        <v>1590</v>
      </c>
      <c r="F766" s="43">
        <v>44958</v>
      </c>
      <c r="G766" s="42" t="s">
        <v>15</v>
      </c>
      <c r="H766" s="42">
        <v>99</v>
      </c>
      <c r="I766" s="42" t="str">
        <f>VLOOKUP(продажи!$B766,товар!$A$1:$C$433,2)</f>
        <v>Сахар</v>
      </c>
      <c r="J766" s="42" t="str">
        <f>VLOOKUP(B766,товар!$A$1:$C$433,3)</f>
        <v>Сладов</v>
      </c>
      <c r="K766" s="44">
        <f>AVERAGEIF(продажи!$I$2:$I$1001,продажи!$I$2:$I$1001,продажи!$C$2:$C$1001)</f>
        <v>254.58333333333334</v>
      </c>
      <c r="L766" s="45">
        <f>продажи!$C766/продажи!$K766-1</f>
        <v>0.24909983633387878</v>
      </c>
      <c r="M766" s="33">
        <f t="shared" si="22"/>
        <v>3604</v>
      </c>
      <c r="N766" s="24">
        <f>Таблица1[[#This Row],[цена за шт в рублях]]/Таблица1[[#This Row],[средняя стоимость в категории по поставщику.]]-1</f>
        <v>-0.91176470588235292</v>
      </c>
      <c r="O766" s="26">
        <f>VLOOKUP(Таблица1[[#This Row],[id клиента]],клиенты!$A$2:$E$435,5,0)</f>
        <v>44886</v>
      </c>
      <c r="P766">
        <f>Таблица1[[#This Row],[дата создания чека]]-Таблица1[[#This Row],[Дата регистрации клента]]</f>
        <v>72</v>
      </c>
      <c r="Q766" s="26">
        <f t="shared" ca="1" si="23"/>
        <v>46059</v>
      </c>
      <c r="R766" s="51">
        <f ca="1">(TODAY()-Таблица1[[#This Row],[Дата регистрации клента]])/30</f>
        <v>39.1</v>
      </c>
      <c r="S766" s="63" t="str">
        <f>VLOOKUP(Таблица1[[#This Row],[id клиента]],Таблица8[[id клиента]:[Страна]],7,0)</f>
        <v>Россия</v>
      </c>
      <c r="T766" s="26"/>
    </row>
    <row r="767" spans="1:20" ht="19.5" x14ac:dyDescent="0.4">
      <c r="A767" s="37">
        <v>766</v>
      </c>
      <c r="B767" s="31">
        <v>199</v>
      </c>
      <c r="C767" s="31">
        <v>80</v>
      </c>
      <c r="D767" s="31">
        <v>5</v>
      </c>
      <c r="E767" s="31">
        <v>400</v>
      </c>
      <c r="F767" s="38">
        <v>45408</v>
      </c>
      <c r="G767" s="31" t="s">
        <v>17</v>
      </c>
      <c r="H767" s="31">
        <v>404</v>
      </c>
      <c r="I767" s="31" t="str">
        <f>VLOOKUP(продажи!$B767,товар!$A$1:$C$433,2)</f>
        <v>Макароны</v>
      </c>
      <c r="J767" s="31" t="str">
        <f>VLOOKUP(B767,товар!$A$1:$C$433,3)</f>
        <v>Борилла</v>
      </c>
      <c r="K767" s="39">
        <f>AVERAGEIF(продажи!$I$2:$I$1001,продажи!$I$2:$I$1001,продажи!$C$2:$C$1001)</f>
        <v>265.47674418604652</v>
      </c>
      <c r="L767" s="40">
        <f>продажи!$C767/продажи!$K767-1</f>
        <v>-0.69865533704174143</v>
      </c>
      <c r="M767" s="33">
        <f t="shared" si="22"/>
        <v>6852</v>
      </c>
      <c r="N767" s="24">
        <f>Таблица1[[#This Row],[цена за шт в рублях]]/Таблица1[[#This Row],[средняя стоимость в категории по поставщику.]]-1</f>
        <v>-0.98832457676590779</v>
      </c>
      <c r="O767" s="26">
        <f>VLOOKUP(Таблица1[[#This Row],[id клиента]],клиенты!$A$2:$E$435,5,0)</f>
        <v>44913</v>
      </c>
      <c r="P767">
        <f>Таблица1[[#This Row],[дата создания чека]]-Таблица1[[#This Row],[Дата регистрации клента]]</f>
        <v>495</v>
      </c>
      <c r="Q767" s="26">
        <f t="shared" ca="1" si="23"/>
        <v>46059</v>
      </c>
      <c r="R767" s="51">
        <f ca="1">(TODAY()-Таблица1[[#This Row],[Дата регистрации клента]])/30</f>
        <v>38.200000000000003</v>
      </c>
      <c r="S767" s="63" t="str">
        <f>VLOOKUP(Таблица1[[#This Row],[id клиента]],Таблица8[[id клиента]:[Страна]],7,0)</f>
        <v>Украина</v>
      </c>
      <c r="T767" s="26"/>
    </row>
    <row r="768" spans="1:20" ht="19.5" x14ac:dyDescent="0.4">
      <c r="A768" s="41">
        <v>767</v>
      </c>
      <c r="B768" s="42">
        <v>259</v>
      </c>
      <c r="C768" s="42">
        <v>90</v>
      </c>
      <c r="D768" s="42">
        <v>4</v>
      </c>
      <c r="E768" s="42">
        <v>360</v>
      </c>
      <c r="F768" s="43">
        <v>45058</v>
      </c>
      <c r="G768" s="42" t="s">
        <v>12</v>
      </c>
      <c r="H768" s="42">
        <v>79</v>
      </c>
      <c r="I768" s="42" t="str">
        <f>VLOOKUP(продажи!$B768,товар!$A$1:$C$433,2)</f>
        <v>Йогурт</v>
      </c>
      <c r="J768" s="42" t="str">
        <f>VLOOKUP(B768,товар!$A$1:$C$433,3)</f>
        <v>Ростагроэкспорт</v>
      </c>
      <c r="K768" s="44">
        <f>AVERAGEIF(продажи!$I$2:$I$1001,продажи!$I$2:$I$1001,продажи!$C$2:$C$1001)</f>
        <v>263.25423728813558</v>
      </c>
      <c r="L768" s="45">
        <f>продажи!$C768/продажи!$K768-1</f>
        <v>-0.65812516095802209</v>
      </c>
      <c r="M768" s="33">
        <f t="shared" si="22"/>
        <v>5929</v>
      </c>
      <c r="N768" s="24">
        <f>Таблица1[[#This Row],[цена за шт в рублях]]/Таблица1[[#This Row],[средняя стоимость в категории по поставщику.]]-1</f>
        <v>-0.98482037443076409</v>
      </c>
      <c r="O768" s="26">
        <f>VLOOKUP(Таблица1[[#This Row],[id клиента]],клиенты!$A$2:$E$435,5,0)</f>
        <v>44716</v>
      </c>
      <c r="P768">
        <f>Таблица1[[#This Row],[дата создания чека]]-Таблица1[[#This Row],[Дата регистрации клента]]</f>
        <v>342</v>
      </c>
      <c r="Q768" s="26">
        <f t="shared" ca="1" si="23"/>
        <v>46059</v>
      </c>
      <c r="R768" s="51">
        <f ca="1">(TODAY()-Таблица1[[#This Row],[Дата регистрации клента]])/30</f>
        <v>44.766666666666666</v>
      </c>
      <c r="S768" s="63" t="str">
        <f>VLOOKUP(Таблица1[[#This Row],[id клиента]],Таблица8[[id клиента]:[Страна]],7,0)</f>
        <v>Таджикистан</v>
      </c>
      <c r="T768" s="26"/>
    </row>
    <row r="769" spans="1:20" ht="19.5" x14ac:dyDescent="0.4">
      <c r="A769" s="37">
        <v>768</v>
      </c>
      <c r="B769" s="31">
        <v>468</v>
      </c>
      <c r="C769" s="31">
        <v>167</v>
      </c>
      <c r="D769" s="31">
        <v>4</v>
      </c>
      <c r="E769" s="31">
        <v>668</v>
      </c>
      <c r="F769" s="38">
        <v>45211</v>
      </c>
      <c r="G769" s="31" t="s">
        <v>27</v>
      </c>
      <c r="H769" s="31">
        <v>377</v>
      </c>
      <c r="I769" s="31" t="str">
        <f>VLOOKUP(продажи!$B769,товар!$A$1:$C$433,2)</f>
        <v>Йогурт</v>
      </c>
      <c r="J769" s="31" t="str">
        <f>VLOOKUP(B769,товар!$A$1:$C$433,3)</f>
        <v>Чудо</v>
      </c>
      <c r="K769" s="39">
        <f>AVERAGEIF(продажи!$I$2:$I$1001,продажи!$I$2:$I$1001,продажи!$C$2:$C$1001)</f>
        <v>263.25423728813558</v>
      </c>
      <c r="L769" s="40">
        <f>продажи!$C769/продажи!$K769-1</f>
        <v>-0.36563224311099662</v>
      </c>
      <c r="M769" s="33">
        <f t="shared" si="22"/>
        <v>2871</v>
      </c>
      <c r="N769" s="24">
        <f>Таблица1[[#This Row],[цена за шт в рублях]]/Таблица1[[#This Row],[средняя стоимость в категории по поставщику.]]-1</f>
        <v>-0.9418321142459074</v>
      </c>
      <c r="O769" s="26">
        <f>VLOOKUP(Таблица1[[#This Row],[id клиента]],клиенты!$A$2:$E$435,5,0)</f>
        <v>44794</v>
      </c>
      <c r="P769">
        <f>Таблица1[[#This Row],[дата создания чека]]-Таблица1[[#This Row],[Дата регистрации клента]]</f>
        <v>417</v>
      </c>
      <c r="Q769" s="26">
        <f t="shared" ca="1" si="23"/>
        <v>46059</v>
      </c>
      <c r="R769" s="51">
        <f ca="1">(TODAY()-Таблица1[[#This Row],[Дата регистрации клента]])/30</f>
        <v>42.166666666666664</v>
      </c>
      <c r="S769" s="63" t="str">
        <f>VLOOKUP(Таблица1[[#This Row],[id клиента]],Таблица8[[id клиента]:[Страна]],7,0)</f>
        <v>Узбекистан</v>
      </c>
      <c r="T769" s="26"/>
    </row>
    <row r="770" spans="1:20" ht="19.5" x14ac:dyDescent="0.4">
      <c r="A770" s="41">
        <v>769</v>
      </c>
      <c r="B770" s="42">
        <v>4</v>
      </c>
      <c r="C770" s="42">
        <v>478</v>
      </c>
      <c r="D770" s="42">
        <v>4</v>
      </c>
      <c r="E770" s="42">
        <v>1912</v>
      </c>
      <c r="F770" s="43">
        <v>45156</v>
      </c>
      <c r="G770" s="42" t="s">
        <v>21</v>
      </c>
      <c r="H770" s="42">
        <v>146</v>
      </c>
      <c r="I770" s="42" t="str">
        <f>VLOOKUP(продажи!$B770,товар!$A$1:$C$433,2)</f>
        <v>Рис</v>
      </c>
      <c r="J770" s="42" t="str">
        <f>VLOOKUP(B770,товар!$A$1:$C$433,3)</f>
        <v>Белый Злат</v>
      </c>
      <c r="K770" s="44">
        <f>AVERAGEIF(продажи!$I$2:$I$1001,продажи!$I$2:$I$1001,продажи!$C$2:$C$1001)</f>
        <v>258.375</v>
      </c>
      <c r="L770" s="45">
        <f>продажи!$C770/продажи!$K770-1</f>
        <v>0.85002418964683124</v>
      </c>
      <c r="M770" s="33">
        <f t="shared" ref="M770:M833" si="24">SUMIFS($C$2:$C$1001,$I$2:$I$1001,I770,$J$2:$J$1001,J770)</f>
        <v>4585</v>
      </c>
      <c r="N770" s="24">
        <f>Таблица1[[#This Row],[цена за шт в рублях]]/Таблица1[[#This Row],[средняя стоимость в категории по поставщику.]]-1</f>
        <v>-0.89574700109051253</v>
      </c>
      <c r="O770" s="26">
        <f>VLOOKUP(Таблица1[[#This Row],[id клиента]],клиенты!$A$2:$E$435,5,0)</f>
        <v>44617</v>
      </c>
      <c r="P770">
        <f>Таблица1[[#This Row],[дата создания чека]]-Таблица1[[#This Row],[Дата регистрации клента]]</f>
        <v>539</v>
      </c>
      <c r="Q770" s="26">
        <f t="shared" ref="Q770:Q833" ca="1" si="25">TODAY()</f>
        <v>46059</v>
      </c>
      <c r="R770" s="51">
        <f ca="1">(TODAY()-Таблица1[[#This Row],[Дата регистрации клента]])/30</f>
        <v>48.06666666666667</v>
      </c>
      <c r="S770" s="63" t="str">
        <f>VLOOKUP(Таблица1[[#This Row],[id клиента]],Таблица8[[id клиента]:[Страна]],7,0)</f>
        <v>Беларусь</v>
      </c>
      <c r="T770" s="26"/>
    </row>
    <row r="771" spans="1:20" ht="19.5" x14ac:dyDescent="0.4">
      <c r="A771" s="37">
        <v>770</v>
      </c>
      <c r="B771" s="31">
        <v>155</v>
      </c>
      <c r="C771" s="31">
        <v>310</v>
      </c>
      <c r="D771" s="31">
        <v>4</v>
      </c>
      <c r="E771" s="31">
        <v>1240</v>
      </c>
      <c r="F771" s="38">
        <v>44930</v>
      </c>
      <c r="G771" s="31" t="s">
        <v>19</v>
      </c>
      <c r="H771" s="31">
        <v>346</v>
      </c>
      <c r="I771" s="31" t="str">
        <f>VLOOKUP(продажи!$B771,товар!$A$1:$C$433,2)</f>
        <v>Йогурт</v>
      </c>
      <c r="J771" s="31" t="str">
        <f>VLOOKUP(B771,товар!$A$1:$C$433,3)</f>
        <v>Эрманн</v>
      </c>
      <c r="K771" s="39">
        <f>AVERAGEIF(продажи!$I$2:$I$1001,продажи!$I$2:$I$1001,продажи!$C$2:$C$1001)</f>
        <v>263.25423728813558</v>
      </c>
      <c r="L771" s="40">
        <f>продажи!$C771/продажи!$K771-1</f>
        <v>0.17756889003347931</v>
      </c>
      <c r="M771" s="33">
        <f t="shared" si="24"/>
        <v>4970</v>
      </c>
      <c r="N771" s="24">
        <f>Таблица1[[#This Row],[цена за шт в рублях]]/Таблица1[[#This Row],[средняя стоимость в категории по поставщику.]]-1</f>
        <v>-0.93762575452716301</v>
      </c>
      <c r="O771" s="26">
        <f>VLOOKUP(Таблица1[[#This Row],[id клиента]],клиенты!$A$2:$E$435,5,0)</f>
        <v>44636</v>
      </c>
      <c r="P771">
        <f>Таблица1[[#This Row],[дата создания чека]]-Таблица1[[#This Row],[Дата регистрации клента]]</f>
        <v>294</v>
      </c>
      <c r="Q771" s="26">
        <f t="shared" ca="1" si="25"/>
        <v>46059</v>
      </c>
      <c r="R771" s="51">
        <f ca="1">(TODAY()-Таблица1[[#This Row],[Дата регистрации клента]])/30</f>
        <v>47.43333333333333</v>
      </c>
      <c r="S771" s="63" t="str">
        <f>VLOOKUP(Таблица1[[#This Row],[id клиента]],Таблица8[[id клиента]:[Страна]],7,0)</f>
        <v>Россия</v>
      </c>
      <c r="T771" s="26"/>
    </row>
    <row r="772" spans="1:20" ht="19.5" x14ac:dyDescent="0.4">
      <c r="A772" s="41">
        <v>771</v>
      </c>
      <c r="B772" s="42">
        <v>413</v>
      </c>
      <c r="C772" s="42">
        <v>210</v>
      </c>
      <c r="D772" s="42">
        <v>5</v>
      </c>
      <c r="E772" s="42">
        <v>1050</v>
      </c>
      <c r="F772" s="43">
        <v>45422</v>
      </c>
      <c r="G772" s="42" t="s">
        <v>19</v>
      </c>
      <c r="H772" s="42">
        <v>436</v>
      </c>
      <c r="I772" s="42" t="str">
        <f>VLOOKUP(продажи!$B772,товар!$A$1:$C$433,2)</f>
        <v>Кофе</v>
      </c>
      <c r="J772" s="42" t="str">
        <f>VLOOKUP(B772,товар!$A$1:$C$433,3)</f>
        <v>Jacobs</v>
      </c>
      <c r="K772" s="44">
        <f>AVERAGEIF(продажи!$I$2:$I$1001,продажи!$I$2:$I$1001,продажи!$C$2:$C$1001)</f>
        <v>249.02380952380952</v>
      </c>
      <c r="L772" s="45">
        <f>продажи!$C772/продажи!$K772-1</f>
        <v>-0.15670714217420401</v>
      </c>
      <c r="M772" s="33">
        <f t="shared" si="24"/>
        <v>5248</v>
      </c>
      <c r="N772" s="24">
        <f>Таблица1[[#This Row],[цена за шт в рублях]]/Таблица1[[#This Row],[средняя стоимость в категории по поставщику.]]-1</f>
        <v>-0.95998475609756095</v>
      </c>
      <c r="O772" s="26">
        <f>VLOOKUP(Таблица1[[#This Row],[id клиента]],клиенты!$A$2:$E$435,5,0)</f>
        <v>44683</v>
      </c>
      <c r="P772">
        <f>Таблица1[[#This Row],[дата создания чека]]-Таблица1[[#This Row],[Дата регистрации клента]]</f>
        <v>739</v>
      </c>
      <c r="Q772" s="26">
        <f t="shared" ca="1" si="25"/>
        <v>46059</v>
      </c>
      <c r="R772" s="51">
        <f ca="1">(TODAY()-Таблица1[[#This Row],[Дата регистрации клента]])/30</f>
        <v>45.866666666666667</v>
      </c>
      <c r="S772" s="63" t="str">
        <f>VLOOKUP(Таблица1[[#This Row],[id клиента]],Таблица8[[id клиента]:[Страна]],7,0)</f>
        <v>Россия</v>
      </c>
      <c r="T772" s="26"/>
    </row>
    <row r="773" spans="1:20" ht="19.5" x14ac:dyDescent="0.4">
      <c r="A773" s="37">
        <v>772</v>
      </c>
      <c r="B773" s="31">
        <v>200</v>
      </c>
      <c r="C773" s="31">
        <v>67</v>
      </c>
      <c r="D773" s="31">
        <v>1</v>
      </c>
      <c r="E773" s="31">
        <v>67</v>
      </c>
      <c r="F773" s="38">
        <v>45163</v>
      </c>
      <c r="G773" s="31" t="s">
        <v>14</v>
      </c>
      <c r="H773" s="31">
        <v>103</v>
      </c>
      <c r="I773" s="31" t="str">
        <f>VLOOKUP(продажи!$B773,товар!$A$1:$C$433,2)</f>
        <v>Чипсы</v>
      </c>
      <c r="J773" s="31" t="str">
        <f>VLOOKUP(B773,товар!$A$1:$C$433,3)</f>
        <v>Estrella</v>
      </c>
      <c r="K773" s="39">
        <f>AVERAGEIF(продажи!$I$2:$I$1001,продажи!$I$2:$I$1001,продажи!$C$2:$C$1001)</f>
        <v>273.72549019607845</v>
      </c>
      <c r="L773" s="40">
        <f>продажи!$C773/продажи!$K773-1</f>
        <v>-0.75522922636103151</v>
      </c>
      <c r="M773" s="33">
        <f t="shared" si="24"/>
        <v>2929</v>
      </c>
      <c r="N773" s="24">
        <f>Таблица1[[#This Row],[цена за шт в рублях]]/Таблица1[[#This Row],[средняя стоимость в категории по поставщику.]]-1</f>
        <v>-0.97712529873677023</v>
      </c>
      <c r="O773" s="26">
        <f>VLOOKUP(Таблица1[[#This Row],[id клиента]],клиенты!$A$2:$E$435,5,0)</f>
        <v>44787</v>
      </c>
      <c r="P773">
        <f>Таблица1[[#This Row],[дата создания чека]]-Таблица1[[#This Row],[Дата регистрации клента]]</f>
        <v>376</v>
      </c>
      <c r="Q773" s="26">
        <f t="shared" ca="1" si="25"/>
        <v>46059</v>
      </c>
      <c r="R773" s="51">
        <f ca="1">(TODAY()-Таблица1[[#This Row],[Дата регистрации клента]])/30</f>
        <v>42.4</v>
      </c>
      <c r="S773" s="63" t="str">
        <f>VLOOKUP(Таблица1[[#This Row],[id клиента]],Таблица8[[id клиента]:[Страна]],7,0)</f>
        <v>Узбекистан</v>
      </c>
      <c r="T773" s="26"/>
    </row>
    <row r="774" spans="1:20" ht="19.5" x14ac:dyDescent="0.4">
      <c r="A774" s="41">
        <v>773</v>
      </c>
      <c r="B774" s="42">
        <v>295</v>
      </c>
      <c r="C774" s="42">
        <v>294</v>
      </c>
      <c r="D774" s="42">
        <v>5</v>
      </c>
      <c r="E774" s="42">
        <v>1470</v>
      </c>
      <c r="F774" s="43">
        <v>45147</v>
      </c>
      <c r="G774" s="42" t="s">
        <v>26</v>
      </c>
      <c r="H774" s="42">
        <v>493</v>
      </c>
      <c r="I774" s="42" t="str">
        <f>VLOOKUP(продажи!$B774,товар!$A$1:$C$433,2)</f>
        <v>Печенье</v>
      </c>
      <c r="J774" s="42" t="str">
        <f>VLOOKUP(B774,товар!$A$1:$C$433,3)</f>
        <v>Белогорье</v>
      </c>
      <c r="K774" s="44">
        <f>AVERAGEIF(продажи!$I$2:$I$1001,продажи!$I$2:$I$1001,продажи!$C$2:$C$1001)</f>
        <v>283.468085106383</v>
      </c>
      <c r="L774" s="45">
        <f>продажи!$C774/продажи!$K774-1</f>
        <v>3.715379419049758E-2</v>
      </c>
      <c r="M774" s="33">
        <f t="shared" si="24"/>
        <v>3493</v>
      </c>
      <c r="N774" s="24">
        <f>Таблица1[[#This Row],[цена за шт в рублях]]/Таблица1[[#This Row],[средняя стоимость в категории по поставщику.]]-1</f>
        <v>-0.91583166332665333</v>
      </c>
      <c r="O774" s="26">
        <f>VLOOKUP(Таблица1[[#This Row],[id клиента]],клиенты!$A$2:$E$435,5,0)</f>
        <v>44855</v>
      </c>
      <c r="P774">
        <f>Таблица1[[#This Row],[дата создания чека]]-Таблица1[[#This Row],[Дата регистрации клента]]</f>
        <v>292</v>
      </c>
      <c r="Q774" s="26">
        <f t="shared" ca="1" si="25"/>
        <v>46059</v>
      </c>
      <c r="R774" s="51">
        <f ca="1">(TODAY()-Таблица1[[#This Row],[Дата регистрации клента]])/30</f>
        <v>40.133333333333333</v>
      </c>
      <c r="S774" s="63" t="str">
        <f>VLOOKUP(Таблица1[[#This Row],[id клиента]],Таблица8[[id клиента]:[Страна]],7,0)</f>
        <v>Украина</v>
      </c>
      <c r="T774" s="26"/>
    </row>
    <row r="775" spans="1:20" ht="19.5" x14ac:dyDescent="0.4">
      <c r="A775" s="37">
        <v>774</v>
      </c>
      <c r="B775" s="31">
        <v>39</v>
      </c>
      <c r="C775" s="31">
        <v>404</v>
      </c>
      <c r="D775" s="31">
        <v>2</v>
      </c>
      <c r="E775" s="31">
        <v>808</v>
      </c>
      <c r="F775" s="38">
        <v>45175</v>
      </c>
      <c r="G775" s="31" t="s">
        <v>15</v>
      </c>
      <c r="H775" s="31">
        <v>252</v>
      </c>
      <c r="I775" s="31" t="str">
        <f>VLOOKUP(продажи!$B775,товар!$A$1:$C$433,2)</f>
        <v>Сыр</v>
      </c>
      <c r="J775" s="31" t="str">
        <f>VLOOKUP(B775,товар!$A$1:$C$433,3)</f>
        <v>Сырная долина</v>
      </c>
      <c r="K775" s="39">
        <f>AVERAGEIF(продажи!$I$2:$I$1001,продажи!$I$2:$I$1001,продажи!$C$2:$C$1001)</f>
        <v>261.03225806451616</v>
      </c>
      <c r="L775" s="40">
        <f>продажи!$C775/продажи!$K775-1</f>
        <v>0.54770143351458223</v>
      </c>
      <c r="M775" s="33">
        <f t="shared" si="24"/>
        <v>8943</v>
      </c>
      <c r="N775" s="24">
        <f>Таблица1[[#This Row],[цена за шт в рублях]]/Таблица1[[#This Row],[средняя стоимость в категории по поставщику.]]-1</f>
        <v>-0.95482500279548255</v>
      </c>
      <c r="O775" s="26">
        <f>VLOOKUP(Таблица1[[#This Row],[id клиента]],клиенты!$A$2:$E$435,5,0)</f>
        <v>44643</v>
      </c>
      <c r="P775">
        <f>Таблица1[[#This Row],[дата создания чека]]-Таблица1[[#This Row],[Дата регистрации клента]]</f>
        <v>532</v>
      </c>
      <c r="Q775" s="26">
        <f t="shared" ca="1" si="25"/>
        <v>46059</v>
      </c>
      <c r="R775" s="51">
        <f ca="1">(TODAY()-Таблица1[[#This Row],[Дата регистрации клента]])/30</f>
        <v>47.2</v>
      </c>
      <c r="S775" s="63" t="str">
        <f>VLOOKUP(Таблица1[[#This Row],[id клиента]],Таблица8[[id клиента]:[Страна]],7,0)</f>
        <v>Россия</v>
      </c>
      <c r="T775" s="26"/>
    </row>
    <row r="776" spans="1:20" ht="19.5" x14ac:dyDescent="0.4">
      <c r="A776" s="41">
        <v>775</v>
      </c>
      <c r="B776" s="42">
        <v>228</v>
      </c>
      <c r="C776" s="42">
        <v>98</v>
      </c>
      <c r="D776" s="42">
        <v>2</v>
      </c>
      <c r="E776" s="42">
        <v>196</v>
      </c>
      <c r="F776" s="43">
        <v>45344</v>
      </c>
      <c r="G776" s="42" t="s">
        <v>12</v>
      </c>
      <c r="H776" s="42">
        <v>338</v>
      </c>
      <c r="I776" s="42" t="str">
        <f>VLOOKUP(продажи!$B776,товар!$A$1:$C$433,2)</f>
        <v>Рис</v>
      </c>
      <c r="J776" s="42" t="str">
        <f>VLOOKUP(B776,товар!$A$1:$C$433,3)</f>
        <v>Мистраль</v>
      </c>
      <c r="K776" s="44">
        <f>AVERAGEIF(продажи!$I$2:$I$1001,продажи!$I$2:$I$1001,продажи!$C$2:$C$1001)</f>
        <v>258.375</v>
      </c>
      <c r="L776" s="45">
        <f>продажи!$C776/продажи!$K776-1</f>
        <v>-0.62070633768746974</v>
      </c>
      <c r="M776" s="33">
        <f t="shared" si="24"/>
        <v>1271</v>
      </c>
      <c r="N776" s="24">
        <f>Таблица1[[#This Row],[цена за шт в рублях]]/Таблица1[[#This Row],[средняя стоимость в категории по поставщику.]]-1</f>
        <v>-0.92289535798583788</v>
      </c>
      <c r="O776" s="26">
        <f>VLOOKUP(Таблица1[[#This Row],[id клиента]],клиенты!$A$2:$E$435,5,0)</f>
        <v>44577</v>
      </c>
      <c r="P776">
        <f>Таблица1[[#This Row],[дата создания чека]]-Таблица1[[#This Row],[Дата регистрации клента]]</f>
        <v>767</v>
      </c>
      <c r="Q776" s="26">
        <f t="shared" ca="1" si="25"/>
        <v>46059</v>
      </c>
      <c r="R776" s="51">
        <f ca="1">(TODAY()-Таблица1[[#This Row],[Дата регистрации клента]])/30</f>
        <v>49.4</v>
      </c>
      <c r="S776" s="63" t="str">
        <f>VLOOKUP(Таблица1[[#This Row],[id клиента]],Таблица8[[id клиента]:[Страна]],7,0)</f>
        <v>Таджикистан</v>
      </c>
      <c r="T776" s="26"/>
    </row>
    <row r="777" spans="1:20" ht="19.5" x14ac:dyDescent="0.4">
      <c r="A777" s="37">
        <v>776</v>
      </c>
      <c r="B777" s="31">
        <v>37</v>
      </c>
      <c r="C777" s="31">
        <v>139</v>
      </c>
      <c r="D777" s="31">
        <v>3</v>
      </c>
      <c r="E777" s="31">
        <v>417</v>
      </c>
      <c r="F777" s="38">
        <v>45014</v>
      </c>
      <c r="G777" s="31" t="s">
        <v>17</v>
      </c>
      <c r="H777" s="31">
        <v>397</v>
      </c>
      <c r="I777" s="31" t="str">
        <f>VLOOKUP(продажи!$B777,товар!$A$1:$C$433,2)</f>
        <v>Соль</v>
      </c>
      <c r="J777" s="31" t="str">
        <f>VLOOKUP(B777,товар!$A$1:$C$433,3)</f>
        <v>Илецкая</v>
      </c>
      <c r="K777" s="39">
        <f>AVERAGEIF(продажи!$I$2:$I$1001,продажи!$I$2:$I$1001,продажи!$C$2:$C$1001)</f>
        <v>264.8679245283019</v>
      </c>
      <c r="L777" s="40">
        <f>продажи!$C777/продажи!$K777-1</f>
        <v>-0.47521014389514182</v>
      </c>
      <c r="M777" s="33">
        <f t="shared" si="24"/>
        <v>4287</v>
      </c>
      <c r="N777" s="24">
        <f>Таблица1[[#This Row],[цена за шт в рублях]]/Таблица1[[#This Row],[средняя стоимость в категории по поставщику.]]-1</f>
        <v>-0.9675763937485421</v>
      </c>
      <c r="O777" s="26">
        <f>VLOOKUP(Таблица1[[#This Row],[id клиента]],клиенты!$A$2:$E$435,5,0)</f>
        <v>44728</v>
      </c>
      <c r="P777">
        <f>Таблица1[[#This Row],[дата создания чека]]-Таблица1[[#This Row],[Дата регистрации клента]]</f>
        <v>286</v>
      </c>
      <c r="Q777" s="26">
        <f t="shared" ca="1" si="25"/>
        <v>46059</v>
      </c>
      <c r="R777" s="51">
        <f ca="1">(TODAY()-Таблица1[[#This Row],[Дата регистрации клента]])/30</f>
        <v>44.366666666666667</v>
      </c>
      <c r="S777" s="63" t="str">
        <f>VLOOKUP(Таблица1[[#This Row],[id клиента]],Таблица8[[id клиента]:[Страна]],7,0)</f>
        <v>Беларусь</v>
      </c>
      <c r="T777" s="26"/>
    </row>
    <row r="778" spans="1:20" ht="19.5" x14ac:dyDescent="0.4">
      <c r="A778" s="41">
        <v>777</v>
      </c>
      <c r="B778" s="42">
        <v>62</v>
      </c>
      <c r="C778" s="42">
        <v>241</v>
      </c>
      <c r="D778" s="42">
        <v>2</v>
      </c>
      <c r="E778" s="42">
        <v>482</v>
      </c>
      <c r="F778" s="43">
        <v>45231</v>
      </c>
      <c r="G778" s="42" t="s">
        <v>8</v>
      </c>
      <c r="H778" s="42">
        <v>247</v>
      </c>
      <c r="I778" s="42" t="str">
        <f>VLOOKUP(продажи!$B778,товар!$A$1:$C$433,2)</f>
        <v>Рыба</v>
      </c>
      <c r="J778" s="42" t="str">
        <f>VLOOKUP(B778,товар!$A$1:$C$433,3)</f>
        <v>Балтийский берег</v>
      </c>
      <c r="K778" s="44">
        <f>AVERAGEIF(продажи!$I$2:$I$1001,продажи!$I$2:$I$1001,продажи!$C$2:$C$1001)</f>
        <v>258.5128205128205</v>
      </c>
      <c r="L778" s="45">
        <f>продажи!$C778/продажи!$K778-1</f>
        <v>-6.7744495139853145E-2</v>
      </c>
      <c r="M778" s="33">
        <f t="shared" si="24"/>
        <v>2609</v>
      </c>
      <c r="N778" s="24">
        <f>Таблица1[[#This Row],[цена за шт в рублях]]/Таблица1[[#This Row],[средняя стоимость в категории по поставщику.]]-1</f>
        <v>-0.90762744346492907</v>
      </c>
      <c r="O778" s="26">
        <f>VLOOKUP(Таблица1[[#This Row],[id клиента]],клиенты!$A$2:$E$435,5,0)</f>
        <v>44762</v>
      </c>
      <c r="P778">
        <f>Таблица1[[#This Row],[дата создания чека]]-Таблица1[[#This Row],[Дата регистрации клента]]</f>
        <v>469</v>
      </c>
      <c r="Q778" s="26">
        <f t="shared" ca="1" si="25"/>
        <v>46059</v>
      </c>
      <c r="R778" s="51">
        <f ca="1">(TODAY()-Таблица1[[#This Row],[Дата регистрации клента]])/30</f>
        <v>43.233333333333334</v>
      </c>
      <c r="S778" s="63" t="str">
        <f>VLOOKUP(Таблица1[[#This Row],[id клиента]],Таблица8[[id клиента]:[Страна]],7,0)</f>
        <v>Узбекистан</v>
      </c>
      <c r="T778" s="26"/>
    </row>
    <row r="779" spans="1:20" ht="19.5" x14ac:dyDescent="0.4">
      <c r="A779" s="37">
        <v>778</v>
      </c>
      <c r="B779" s="31">
        <v>468</v>
      </c>
      <c r="C779" s="31">
        <v>182</v>
      </c>
      <c r="D779" s="31">
        <v>5</v>
      </c>
      <c r="E779" s="31">
        <v>910</v>
      </c>
      <c r="F779" s="38">
        <v>45005</v>
      </c>
      <c r="G779" s="31" t="s">
        <v>24</v>
      </c>
      <c r="H779" s="31">
        <v>445</v>
      </c>
      <c r="I779" s="31" t="str">
        <f>VLOOKUP(продажи!$B779,товар!$A$1:$C$433,2)</f>
        <v>Йогурт</v>
      </c>
      <c r="J779" s="31" t="str">
        <f>VLOOKUP(B779,товар!$A$1:$C$433,3)</f>
        <v>Чудо</v>
      </c>
      <c r="K779" s="39">
        <f>AVERAGEIF(продажи!$I$2:$I$1001,продажи!$I$2:$I$1001,продажи!$C$2:$C$1001)</f>
        <v>263.25423728813558</v>
      </c>
      <c r="L779" s="40">
        <f>продажи!$C779/продажи!$K779-1</f>
        <v>-0.30865310327066697</v>
      </c>
      <c r="M779" s="33">
        <f t="shared" si="24"/>
        <v>2871</v>
      </c>
      <c r="N779" s="24">
        <f>Таблица1[[#This Row],[цена за шт в рублях]]/Таблица1[[#This Row],[средняя стоимость в категории по поставщику.]]-1</f>
        <v>-0.93660745384883315</v>
      </c>
      <c r="O779" s="26">
        <f>VLOOKUP(Таблица1[[#This Row],[id клиента]],клиенты!$A$2:$E$435,5,0)</f>
        <v>44676</v>
      </c>
      <c r="P779">
        <f>Таблица1[[#This Row],[дата создания чека]]-Таблица1[[#This Row],[Дата регистрации клента]]</f>
        <v>329</v>
      </c>
      <c r="Q779" s="26">
        <f t="shared" ca="1" si="25"/>
        <v>46059</v>
      </c>
      <c r="R779" s="51">
        <f ca="1">(TODAY()-Таблица1[[#This Row],[Дата регистрации клента]])/30</f>
        <v>46.1</v>
      </c>
      <c r="S779" s="63" t="str">
        <f>VLOOKUP(Таблица1[[#This Row],[id клиента]],Таблица8[[id клиента]:[Страна]],7,0)</f>
        <v>Россия</v>
      </c>
      <c r="T779" s="26"/>
    </row>
    <row r="780" spans="1:20" ht="19.5" x14ac:dyDescent="0.4">
      <c r="A780" s="41">
        <v>779</v>
      </c>
      <c r="B780" s="42">
        <v>497</v>
      </c>
      <c r="C780" s="42">
        <v>275</v>
      </c>
      <c r="D780" s="42">
        <v>4</v>
      </c>
      <c r="E780" s="42">
        <v>1100</v>
      </c>
      <c r="F780" s="43">
        <v>45236</v>
      </c>
      <c r="G780" s="42" t="s">
        <v>11</v>
      </c>
      <c r="H780" s="42">
        <v>477</v>
      </c>
      <c r="I780" s="42" t="str">
        <f>VLOOKUP(продажи!$B780,товар!$A$1:$C$433,2)</f>
        <v>Конфеты</v>
      </c>
      <c r="J780" s="42" t="str">
        <f>VLOOKUP(B780,товар!$A$1:$C$433,3)</f>
        <v>Бабаевский</v>
      </c>
      <c r="K780" s="44">
        <f>AVERAGEIF(продажи!$I$2:$I$1001,продажи!$I$2:$I$1001,продажи!$C$2:$C$1001)</f>
        <v>267.85483870967744</v>
      </c>
      <c r="L780" s="45">
        <f>продажи!$C780/продажи!$K780-1</f>
        <v>2.667549828385618E-2</v>
      </c>
      <c r="M780" s="33">
        <f t="shared" si="24"/>
        <v>6757</v>
      </c>
      <c r="N780" s="24">
        <f>Таблица1[[#This Row],[цена за шт в рублях]]/Таблица1[[#This Row],[средняя стоимость в категории по поставщику.]]-1</f>
        <v>-0.95930146514725467</v>
      </c>
      <c r="O780" s="26">
        <f>VLOOKUP(Таблица1[[#This Row],[id клиента]],клиенты!$A$2:$E$435,5,0)</f>
        <v>44738</v>
      </c>
      <c r="P780">
        <f>Таблица1[[#This Row],[дата создания чека]]-Таблица1[[#This Row],[Дата регистрации клента]]</f>
        <v>498</v>
      </c>
      <c r="Q780" s="26">
        <f t="shared" ca="1" si="25"/>
        <v>46059</v>
      </c>
      <c r="R780" s="51">
        <f ca="1">(TODAY()-Таблица1[[#This Row],[Дата регистрации клента]])/30</f>
        <v>44.033333333333331</v>
      </c>
      <c r="S780" s="63" t="str">
        <f>VLOOKUP(Таблица1[[#This Row],[id клиента]],Таблица8[[id клиента]:[Страна]],7,0)</f>
        <v>Узбекистан</v>
      </c>
      <c r="T780" s="26"/>
    </row>
    <row r="781" spans="1:20" ht="19.5" x14ac:dyDescent="0.4">
      <c r="A781" s="37">
        <v>780</v>
      </c>
      <c r="B781" s="31">
        <v>372</v>
      </c>
      <c r="C781" s="31">
        <v>182</v>
      </c>
      <c r="D781" s="31">
        <v>2</v>
      </c>
      <c r="E781" s="31">
        <v>364</v>
      </c>
      <c r="F781" s="38">
        <v>44991</v>
      </c>
      <c r="G781" s="31" t="s">
        <v>22</v>
      </c>
      <c r="H781" s="31">
        <v>402</v>
      </c>
      <c r="I781" s="31" t="str">
        <f>VLOOKUP(продажи!$B781,товар!$A$1:$C$433,2)</f>
        <v>Кофе</v>
      </c>
      <c r="J781" s="31" t="str">
        <f>VLOOKUP(B781,товар!$A$1:$C$433,3)</f>
        <v>Черная Карта</v>
      </c>
      <c r="K781" s="39">
        <f>AVERAGEIF(продажи!$I$2:$I$1001,продажи!$I$2:$I$1001,продажи!$C$2:$C$1001)</f>
        <v>249.02380952380952</v>
      </c>
      <c r="L781" s="40">
        <f>продажи!$C781/продажи!$K781-1</f>
        <v>-0.26914618988431016</v>
      </c>
      <c r="M781" s="33">
        <f t="shared" si="24"/>
        <v>2222</v>
      </c>
      <c r="N781" s="24">
        <f>Таблица1[[#This Row],[цена за шт в рублях]]/Таблица1[[#This Row],[средняя стоимость в категории по поставщику.]]-1</f>
        <v>-0.91809180918091804</v>
      </c>
      <c r="O781" s="26">
        <f>VLOOKUP(Таблица1[[#This Row],[id клиента]],клиенты!$A$2:$E$435,5,0)</f>
        <v>44742</v>
      </c>
      <c r="P781">
        <f>Таблица1[[#This Row],[дата создания чека]]-Таблица1[[#This Row],[Дата регистрации клента]]</f>
        <v>249</v>
      </c>
      <c r="Q781" s="26">
        <f t="shared" ca="1" si="25"/>
        <v>46059</v>
      </c>
      <c r="R781" s="51">
        <f ca="1">(TODAY()-Таблица1[[#This Row],[Дата регистрации клента]])/30</f>
        <v>43.9</v>
      </c>
      <c r="S781" s="63" t="str">
        <f>VLOOKUP(Таблица1[[#This Row],[id клиента]],Таблица8[[id клиента]:[Страна]],7,0)</f>
        <v>Узбекистан</v>
      </c>
      <c r="T781" s="26"/>
    </row>
    <row r="782" spans="1:20" ht="19.5" x14ac:dyDescent="0.4">
      <c r="A782" s="41">
        <v>781</v>
      </c>
      <c r="B782" s="42">
        <v>354</v>
      </c>
      <c r="C782" s="42">
        <v>203</v>
      </c>
      <c r="D782" s="42">
        <v>5</v>
      </c>
      <c r="E782" s="42">
        <v>1015</v>
      </c>
      <c r="F782" s="43">
        <v>45234</v>
      </c>
      <c r="G782" s="42" t="s">
        <v>25</v>
      </c>
      <c r="H782" s="42">
        <v>265</v>
      </c>
      <c r="I782" s="42" t="str">
        <f>VLOOKUP(продажи!$B782,товар!$A$1:$C$433,2)</f>
        <v>Чай</v>
      </c>
      <c r="J782" s="42" t="str">
        <f>VLOOKUP(B782,товар!$A$1:$C$433,3)</f>
        <v>Lipton</v>
      </c>
      <c r="K782" s="44">
        <f>AVERAGEIF(продажи!$I$2:$I$1001,продажи!$I$2:$I$1001,продажи!$C$2:$C$1001)</f>
        <v>271.18181818181819</v>
      </c>
      <c r="L782" s="45">
        <f>продажи!$C782/продажи!$K782-1</f>
        <v>-0.25142474019443517</v>
      </c>
      <c r="M782" s="33">
        <f t="shared" si="24"/>
        <v>4943</v>
      </c>
      <c r="N782" s="24">
        <f>Таблица1[[#This Row],[цена за шт в рублях]]/Таблица1[[#This Row],[средняя стоимость в категории по поставщику.]]-1</f>
        <v>-0.95893182277968847</v>
      </c>
      <c r="O782" s="26">
        <f>VLOOKUP(Таблица1[[#This Row],[id клиента]],клиенты!$A$2:$E$435,5,0)</f>
        <v>44756</v>
      </c>
      <c r="P782">
        <f>Таблица1[[#This Row],[дата создания чека]]-Таблица1[[#This Row],[Дата регистрации клента]]</f>
        <v>478</v>
      </c>
      <c r="Q782" s="26">
        <f t="shared" ca="1" si="25"/>
        <v>46059</v>
      </c>
      <c r="R782" s="51">
        <f ca="1">(TODAY()-Таблица1[[#This Row],[Дата регистрации клента]])/30</f>
        <v>43.43333333333333</v>
      </c>
      <c r="S782" s="63" t="str">
        <f>VLOOKUP(Таблица1[[#This Row],[id клиента]],Таблица8[[id клиента]:[Страна]],7,0)</f>
        <v>Узбекистан</v>
      </c>
      <c r="T782" s="26"/>
    </row>
    <row r="783" spans="1:20" ht="19.5" x14ac:dyDescent="0.4">
      <c r="A783" s="37">
        <v>782</v>
      </c>
      <c r="B783" s="31">
        <v>460</v>
      </c>
      <c r="C783" s="31">
        <v>103</v>
      </c>
      <c r="D783" s="31">
        <v>5</v>
      </c>
      <c r="E783" s="31">
        <v>515</v>
      </c>
      <c r="F783" s="38">
        <v>45411</v>
      </c>
      <c r="G783" s="31" t="s">
        <v>20</v>
      </c>
      <c r="H783" s="31">
        <v>124</v>
      </c>
      <c r="I783" s="31" t="str">
        <f>VLOOKUP(продажи!$B783,товар!$A$1:$C$433,2)</f>
        <v>Кофе</v>
      </c>
      <c r="J783" s="31" t="str">
        <f>VLOOKUP(B783,товар!$A$1:$C$433,3)</f>
        <v>Tchibo</v>
      </c>
      <c r="K783" s="39">
        <f>AVERAGEIF(продажи!$I$2:$I$1001,продажи!$I$2:$I$1001,продажи!$C$2:$C$1001)</f>
        <v>249.02380952380952</v>
      </c>
      <c r="L783" s="40">
        <f>продажи!$C783/продажи!$K783-1</f>
        <v>-0.58638493163782379</v>
      </c>
      <c r="M783" s="33">
        <f t="shared" si="24"/>
        <v>420</v>
      </c>
      <c r="N783" s="24">
        <f>Таблица1[[#This Row],[цена за шт в рублях]]/Таблица1[[#This Row],[средняя стоимость в категории по поставщику.]]-1</f>
        <v>-0.75476190476190474</v>
      </c>
      <c r="O783" s="26">
        <f>VLOOKUP(Таблица1[[#This Row],[id клиента]],клиенты!$A$2:$E$435,5,0)</f>
        <v>44795</v>
      </c>
      <c r="P783">
        <f>Таблица1[[#This Row],[дата создания чека]]-Таблица1[[#This Row],[Дата регистрации клента]]</f>
        <v>616</v>
      </c>
      <c r="Q783" s="26">
        <f t="shared" ca="1" si="25"/>
        <v>46059</v>
      </c>
      <c r="R783" s="51">
        <f ca="1">(TODAY()-Таблица1[[#This Row],[Дата регистрации клента]])/30</f>
        <v>42.133333333333333</v>
      </c>
      <c r="S783" s="63" t="str">
        <f>VLOOKUP(Таблица1[[#This Row],[id клиента]],Таблица8[[id клиента]:[Страна]],7,0)</f>
        <v>Россия</v>
      </c>
      <c r="T783" s="26"/>
    </row>
    <row r="784" spans="1:20" ht="19.5" x14ac:dyDescent="0.4">
      <c r="A784" s="41">
        <v>783</v>
      </c>
      <c r="B784" s="42">
        <v>63</v>
      </c>
      <c r="C784" s="42">
        <v>344</v>
      </c>
      <c r="D784" s="42">
        <v>2</v>
      </c>
      <c r="E784" s="42">
        <v>688</v>
      </c>
      <c r="F784" s="43">
        <v>45194</v>
      </c>
      <c r="G784" s="42" t="s">
        <v>21</v>
      </c>
      <c r="H784" s="42">
        <v>208</v>
      </c>
      <c r="I784" s="42" t="str">
        <f>VLOOKUP(продажи!$B784,товар!$A$1:$C$433,2)</f>
        <v>Рыба</v>
      </c>
      <c r="J784" s="42" t="str">
        <f>VLOOKUP(B784,товар!$A$1:$C$433,3)</f>
        <v>Балтийский берег</v>
      </c>
      <c r="K784" s="44">
        <f>AVERAGEIF(продажи!$I$2:$I$1001,продажи!$I$2:$I$1001,продажи!$C$2:$C$1001)</f>
        <v>258.5128205128205</v>
      </c>
      <c r="L784" s="45">
        <f>продажи!$C784/продажи!$K784-1</f>
        <v>0.33068835548502284</v>
      </c>
      <c r="M784" s="33">
        <f t="shared" si="24"/>
        <v>2609</v>
      </c>
      <c r="N784" s="24">
        <f>Таблица1[[#This Row],[цена за шт в рублях]]/Таблица1[[#This Row],[средняя стоимость в категории по поставщику.]]-1</f>
        <v>-0.86814871598313537</v>
      </c>
      <c r="O784" s="26">
        <f>VLOOKUP(Таблица1[[#This Row],[id клиента]],клиенты!$A$2:$E$435,5,0)</f>
        <v>44736</v>
      </c>
      <c r="P784">
        <f>Таблица1[[#This Row],[дата создания чека]]-Таблица1[[#This Row],[Дата регистрации клента]]</f>
        <v>458</v>
      </c>
      <c r="Q784" s="26">
        <f t="shared" ca="1" si="25"/>
        <v>46059</v>
      </c>
      <c r="R784" s="51">
        <f ca="1">(TODAY()-Таблица1[[#This Row],[Дата регистрации клента]])/30</f>
        <v>44.1</v>
      </c>
      <c r="S784" s="63" t="str">
        <f>VLOOKUP(Таблица1[[#This Row],[id клиента]],Таблица8[[id клиента]:[Страна]],7,0)</f>
        <v>Украина</v>
      </c>
      <c r="T784" s="26"/>
    </row>
    <row r="785" spans="1:20" ht="19.5" x14ac:dyDescent="0.4">
      <c r="A785" s="37">
        <v>784</v>
      </c>
      <c r="B785" s="31">
        <v>467</v>
      </c>
      <c r="C785" s="31">
        <v>436</v>
      </c>
      <c r="D785" s="31">
        <v>3</v>
      </c>
      <c r="E785" s="31">
        <v>1308</v>
      </c>
      <c r="F785" s="38">
        <v>45289</v>
      </c>
      <c r="G785" s="31" t="s">
        <v>13</v>
      </c>
      <c r="H785" s="31">
        <v>343</v>
      </c>
      <c r="I785" s="31" t="str">
        <f>VLOOKUP(продажи!$B785,товар!$A$1:$C$433,2)</f>
        <v>Макароны</v>
      </c>
      <c r="J785" s="31" t="str">
        <f>VLOOKUP(B785,товар!$A$1:$C$433,3)</f>
        <v>Борилла</v>
      </c>
      <c r="K785" s="39">
        <f>AVERAGEIF(продажи!$I$2:$I$1001,продажи!$I$2:$I$1001,продажи!$C$2:$C$1001)</f>
        <v>265.47674418604652</v>
      </c>
      <c r="L785" s="40">
        <f>продажи!$C785/продажи!$K785-1</f>
        <v>0.64232841312250888</v>
      </c>
      <c r="M785" s="33">
        <f t="shared" si="24"/>
        <v>6852</v>
      </c>
      <c r="N785" s="24">
        <f>Таблица1[[#This Row],[цена за шт в рублях]]/Таблица1[[#This Row],[средняя стоимость в категории по поставщику.]]-1</f>
        <v>-0.93636894337419729</v>
      </c>
      <c r="O785" s="26">
        <f>VLOOKUP(Таблица1[[#This Row],[id клиента]],клиенты!$A$2:$E$435,5,0)</f>
        <v>44874</v>
      </c>
      <c r="P785">
        <f>Таблица1[[#This Row],[дата создания чека]]-Таблица1[[#This Row],[Дата регистрации клента]]</f>
        <v>415</v>
      </c>
      <c r="Q785" s="26">
        <f t="shared" ca="1" si="25"/>
        <v>46059</v>
      </c>
      <c r="R785" s="51">
        <f ca="1">(TODAY()-Таблица1[[#This Row],[Дата регистрации клента]])/30</f>
        <v>39.5</v>
      </c>
      <c r="S785" s="63" t="str">
        <f>VLOOKUP(Таблица1[[#This Row],[id клиента]],Таблица8[[id клиента]:[Страна]],7,0)</f>
        <v>Украина</v>
      </c>
      <c r="T785" s="26"/>
    </row>
    <row r="786" spans="1:20" ht="19.5" x14ac:dyDescent="0.4">
      <c r="A786" s="41">
        <v>785</v>
      </c>
      <c r="B786" s="42">
        <v>184</v>
      </c>
      <c r="C786" s="42">
        <v>79</v>
      </c>
      <c r="D786" s="42">
        <v>4</v>
      </c>
      <c r="E786" s="42">
        <v>316</v>
      </c>
      <c r="F786" s="43">
        <v>45407</v>
      </c>
      <c r="G786" s="42" t="s">
        <v>9</v>
      </c>
      <c r="H786" s="42">
        <v>394</v>
      </c>
      <c r="I786" s="42" t="str">
        <f>VLOOKUP(продажи!$B786,товар!$A$1:$C$433,2)</f>
        <v>Конфеты</v>
      </c>
      <c r="J786" s="42" t="str">
        <f>VLOOKUP(B786,товар!$A$1:$C$433,3)</f>
        <v>Славянка</v>
      </c>
      <c r="K786" s="44">
        <f>AVERAGEIF(продажи!$I$2:$I$1001,продажи!$I$2:$I$1001,продажи!$C$2:$C$1001)</f>
        <v>267.85483870967744</v>
      </c>
      <c r="L786" s="45">
        <f>продажи!$C786/продажи!$K786-1</f>
        <v>-0.7050641295839104</v>
      </c>
      <c r="M786" s="33">
        <f t="shared" si="24"/>
        <v>1608</v>
      </c>
      <c r="N786" s="24">
        <f>Таблица1[[#This Row],[цена за шт в рублях]]/Таблица1[[#This Row],[средняя стоимость в категории по поставщику.]]-1</f>
        <v>-0.95087064676616917</v>
      </c>
      <c r="O786" s="26">
        <f>VLOOKUP(Таблица1[[#This Row],[id клиента]],клиенты!$A$2:$E$435,5,0)</f>
        <v>44708</v>
      </c>
      <c r="P786">
        <f>Таблица1[[#This Row],[дата создания чека]]-Таблица1[[#This Row],[Дата регистрации клента]]</f>
        <v>699</v>
      </c>
      <c r="Q786" s="26">
        <f t="shared" ca="1" si="25"/>
        <v>46059</v>
      </c>
      <c r="R786" s="51">
        <f ca="1">(TODAY()-Таблица1[[#This Row],[Дата регистрации клента]])/30</f>
        <v>45.033333333333331</v>
      </c>
      <c r="S786" s="63" t="str">
        <f>VLOOKUP(Таблица1[[#This Row],[id клиента]],Таблица8[[id клиента]:[Страна]],7,0)</f>
        <v>Россия</v>
      </c>
      <c r="T786" s="26"/>
    </row>
    <row r="787" spans="1:20" ht="19.5" x14ac:dyDescent="0.4">
      <c r="A787" s="37">
        <v>786</v>
      </c>
      <c r="B787" s="31">
        <v>265</v>
      </c>
      <c r="C787" s="31">
        <v>339</v>
      </c>
      <c r="D787" s="31">
        <v>3</v>
      </c>
      <c r="E787" s="31">
        <v>1017</v>
      </c>
      <c r="F787" s="38">
        <v>44944</v>
      </c>
      <c r="G787" s="31" t="s">
        <v>9</v>
      </c>
      <c r="H787" s="31">
        <v>242</v>
      </c>
      <c r="I787" s="31" t="str">
        <f>VLOOKUP(продажи!$B787,товар!$A$1:$C$433,2)</f>
        <v>Мясо</v>
      </c>
      <c r="J787" s="31" t="str">
        <f>VLOOKUP(B787,товар!$A$1:$C$433,3)</f>
        <v>Мираторг</v>
      </c>
      <c r="K787" s="39">
        <f>AVERAGEIF(продажи!$I$2:$I$1001,продажи!$I$2:$I$1001,продажи!$C$2:$C$1001)</f>
        <v>271.74545454545455</v>
      </c>
      <c r="L787" s="40">
        <f>продажи!$C787/продажи!$K787-1</f>
        <v>0.24749096748293864</v>
      </c>
      <c r="M787" s="33">
        <f t="shared" si="24"/>
        <v>3799</v>
      </c>
      <c r="N787" s="24">
        <f>Таблица1[[#This Row],[цена за шт в рублях]]/Таблица1[[#This Row],[средняя стоимость в категории по поставщику.]]-1</f>
        <v>-0.91076599105027634</v>
      </c>
      <c r="O787" s="26">
        <f>VLOOKUP(Таблица1[[#This Row],[id клиента]],клиенты!$A$2:$E$435,5,0)</f>
        <v>44747</v>
      </c>
      <c r="P787">
        <f>Таблица1[[#This Row],[дата создания чека]]-Таблица1[[#This Row],[Дата регистрации клента]]</f>
        <v>197</v>
      </c>
      <c r="Q787" s="26">
        <f t="shared" ca="1" si="25"/>
        <v>46059</v>
      </c>
      <c r="R787" s="51">
        <f ca="1">(TODAY()-Таблица1[[#This Row],[Дата регистрации клента]])/30</f>
        <v>43.733333333333334</v>
      </c>
      <c r="S787" s="63" t="str">
        <f>VLOOKUP(Таблица1[[#This Row],[id клиента]],Таблица8[[id клиента]:[Страна]],7,0)</f>
        <v>Россия</v>
      </c>
      <c r="T787" s="26"/>
    </row>
    <row r="788" spans="1:20" ht="19.5" x14ac:dyDescent="0.4">
      <c r="A788" s="41">
        <v>787</v>
      </c>
      <c r="B788" s="42">
        <v>130</v>
      </c>
      <c r="C788" s="42">
        <v>319</v>
      </c>
      <c r="D788" s="42">
        <v>3</v>
      </c>
      <c r="E788" s="42">
        <v>957</v>
      </c>
      <c r="F788" s="43">
        <v>45145</v>
      </c>
      <c r="G788" s="42" t="s">
        <v>27</v>
      </c>
      <c r="H788" s="42">
        <v>56</v>
      </c>
      <c r="I788" s="42" t="str">
        <f>VLOOKUP(продажи!$B788,товар!$A$1:$C$433,2)</f>
        <v>Соль</v>
      </c>
      <c r="J788" s="42" t="str">
        <f>VLOOKUP(B788,товар!$A$1:$C$433,3)</f>
        <v>Илецкая</v>
      </c>
      <c r="K788" s="44">
        <f>AVERAGEIF(продажи!$I$2:$I$1001,продажи!$I$2:$I$1001,продажи!$C$2:$C$1001)</f>
        <v>264.8679245283019</v>
      </c>
      <c r="L788" s="45">
        <f>продажи!$C788/продажи!$K788-1</f>
        <v>0.20437384242769618</v>
      </c>
      <c r="M788" s="33">
        <f t="shared" si="24"/>
        <v>4287</v>
      </c>
      <c r="N788" s="24">
        <f>Таблица1[[#This Row],[цена за шт в рублях]]/Таблица1[[#This Row],[средняя стоимость в категории по поставщику.]]-1</f>
        <v>-0.92558898996967576</v>
      </c>
      <c r="O788" s="26">
        <f>VLOOKUP(Таблица1[[#This Row],[id клиента]],клиенты!$A$2:$E$435,5,0)</f>
        <v>44662</v>
      </c>
      <c r="P788">
        <f>Таблица1[[#This Row],[дата создания чека]]-Таблица1[[#This Row],[Дата регистрации клента]]</f>
        <v>483</v>
      </c>
      <c r="Q788" s="26">
        <f t="shared" ca="1" si="25"/>
        <v>46059</v>
      </c>
      <c r="R788" s="51">
        <f ca="1">(TODAY()-Таблица1[[#This Row],[Дата регистрации клента]])/30</f>
        <v>46.56666666666667</v>
      </c>
      <c r="S788" s="63" t="str">
        <f>VLOOKUP(Таблица1[[#This Row],[id клиента]],Таблица8[[id клиента]:[Страна]],7,0)</f>
        <v>Таджикистан</v>
      </c>
      <c r="T788" s="26"/>
    </row>
    <row r="789" spans="1:20" ht="19.5" x14ac:dyDescent="0.4">
      <c r="A789" s="37">
        <v>788</v>
      </c>
      <c r="B789" s="31">
        <v>443</v>
      </c>
      <c r="C789" s="31">
        <v>348</v>
      </c>
      <c r="D789" s="31">
        <v>3</v>
      </c>
      <c r="E789" s="31">
        <v>1044</v>
      </c>
      <c r="F789" s="38">
        <v>44930</v>
      </c>
      <c r="G789" s="31" t="s">
        <v>24</v>
      </c>
      <c r="H789" s="31">
        <v>324</v>
      </c>
      <c r="I789" s="31" t="str">
        <f>VLOOKUP(продажи!$B789,товар!$A$1:$C$433,2)</f>
        <v>Кофе</v>
      </c>
      <c r="J789" s="31" t="str">
        <f>VLOOKUP(B789,товар!$A$1:$C$433,3)</f>
        <v>Jacobs</v>
      </c>
      <c r="K789" s="39">
        <f>AVERAGEIF(продажи!$I$2:$I$1001,продажи!$I$2:$I$1001,продажи!$C$2:$C$1001)</f>
        <v>249.02380952380952</v>
      </c>
      <c r="L789" s="40">
        <f>продажи!$C789/продажи!$K789-1</f>
        <v>0.3974567358256047</v>
      </c>
      <c r="M789" s="33">
        <f t="shared" si="24"/>
        <v>5248</v>
      </c>
      <c r="N789" s="24">
        <f>Таблица1[[#This Row],[цена за шт в рублях]]/Таблица1[[#This Row],[средняя стоимость в категории по поставщику.]]-1</f>
        <v>-0.93368902439024393</v>
      </c>
      <c r="O789" s="26">
        <f>VLOOKUP(Таблица1[[#This Row],[id клиента]],клиенты!$A$2:$E$435,5,0)</f>
        <v>44761</v>
      </c>
      <c r="P789">
        <f>Таблица1[[#This Row],[дата создания чека]]-Таблица1[[#This Row],[Дата регистрации клента]]</f>
        <v>169</v>
      </c>
      <c r="Q789" s="26">
        <f t="shared" ca="1" si="25"/>
        <v>46059</v>
      </c>
      <c r="R789" s="51">
        <f ca="1">(TODAY()-Таблица1[[#This Row],[Дата регистрации клента]])/30</f>
        <v>43.266666666666666</v>
      </c>
      <c r="S789" s="63" t="str">
        <f>VLOOKUP(Таблица1[[#This Row],[id клиента]],Таблица8[[id клиента]:[Страна]],7,0)</f>
        <v>Узбекистан</v>
      </c>
      <c r="T789" s="26"/>
    </row>
    <row r="790" spans="1:20" ht="19.5" x14ac:dyDescent="0.4">
      <c r="A790" s="41">
        <v>789</v>
      </c>
      <c r="B790" s="42">
        <v>408</v>
      </c>
      <c r="C790" s="42">
        <v>60</v>
      </c>
      <c r="D790" s="42">
        <v>4</v>
      </c>
      <c r="E790" s="42">
        <v>240</v>
      </c>
      <c r="F790" s="43">
        <v>45299</v>
      </c>
      <c r="G790" s="42" t="s">
        <v>15</v>
      </c>
      <c r="H790" s="42">
        <v>486</v>
      </c>
      <c r="I790" s="42" t="str">
        <f>VLOOKUP(продажи!$B790,товар!$A$1:$C$433,2)</f>
        <v>Йогурт</v>
      </c>
      <c r="J790" s="42" t="str">
        <f>VLOOKUP(B790,товар!$A$1:$C$433,3)</f>
        <v>Эрманн</v>
      </c>
      <c r="K790" s="44">
        <f>AVERAGEIF(продажи!$I$2:$I$1001,продажи!$I$2:$I$1001,продажи!$C$2:$C$1001)</f>
        <v>263.25423728813558</v>
      </c>
      <c r="L790" s="45">
        <f>продажи!$C790/продажи!$K790-1</f>
        <v>-0.7720834406386814</v>
      </c>
      <c r="M790" s="33">
        <f t="shared" si="24"/>
        <v>4970</v>
      </c>
      <c r="N790" s="24">
        <f>Таблица1[[#This Row],[цена за шт в рублях]]/Таблица1[[#This Row],[средняя стоимость в категории по поставщику.]]-1</f>
        <v>-0.98792756539235416</v>
      </c>
      <c r="O790" s="26">
        <f>VLOOKUP(Таблица1[[#This Row],[id клиента]],клиенты!$A$2:$E$435,5,0)</f>
        <v>44723</v>
      </c>
      <c r="P790">
        <f>Таблица1[[#This Row],[дата создания чека]]-Таблица1[[#This Row],[Дата регистрации клента]]</f>
        <v>576</v>
      </c>
      <c r="Q790" s="26">
        <f t="shared" ca="1" si="25"/>
        <v>46059</v>
      </c>
      <c r="R790" s="51">
        <f ca="1">(TODAY()-Таблица1[[#This Row],[Дата регистрации клента]])/30</f>
        <v>44.533333333333331</v>
      </c>
      <c r="S790" s="63" t="str">
        <f>VLOOKUP(Таблица1[[#This Row],[id клиента]],Таблица8[[id клиента]:[Страна]],7,0)</f>
        <v>Россия</v>
      </c>
      <c r="T790" s="26"/>
    </row>
    <row r="791" spans="1:20" ht="19.5" x14ac:dyDescent="0.4">
      <c r="A791" s="37">
        <v>790</v>
      </c>
      <c r="B791" s="31">
        <v>249</v>
      </c>
      <c r="C791" s="31">
        <v>125</v>
      </c>
      <c r="D791" s="31">
        <v>5</v>
      </c>
      <c r="E791" s="31">
        <v>625</v>
      </c>
      <c r="F791" s="38">
        <v>45322</v>
      </c>
      <c r="G791" s="31" t="s">
        <v>11</v>
      </c>
      <c r="H791" s="31">
        <v>71</v>
      </c>
      <c r="I791" s="31" t="str">
        <f>VLOOKUP(продажи!$B791,товар!$A$1:$C$433,2)</f>
        <v>Чай</v>
      </c>
      <c r="J791" s="31" t="str">
        <f>VLOOKUP(B791,товар!$A$1:$C$433,3)</f>
        <v>Lipton</v>
      </c>
      <c r="K791" s="39">
        <f>AVERAGEIF(продажи!$I$2:$I$1001,продажи!$I$2:$I$1001,продажи!$C$2:$C$1001)</f>
        <v>271.18181818181819</v>
      </c>
      <c r="L791" s="40">
        <f>продажи!$C791/продажи!$K791-1</f>
        <v>-0.539054642976869</v>
      </c>
      <c r="M791" s="33">
        <f t="shared" si="24"/>
        <v>4943</v>
      </c>
      <c r="N791" s="24">
        <f>Таблица1[[#This Row],[цена за шт в рублях]]/Таблица1[[#This Row],[средняя стоимость в категории по поставщику.]]-1</f>
        <v>-0.97471171353429087</v>
      </c>
      <c r="O791" s="26">
        <f>VLOOKUP(Таблица1[[#This Row],[id клиента]],клиенты!$A$2:$E$435,5,0)</f>
        <v>44762</v>
      </c>
      <c r="P791">
        <f>Таблица1[[#This Row],[дата создания чека]]-Таблица1[[#This Row],[Дата регистрации клента]]</f>
        <v>560</v>
      </c>
      <c r="Q791" s="26">
        <f t="shared" ca="1" si="25"/>
        <v>46059</v>
      </c>
      <c r="R791" s="51">
        <f ca="1">(TODAY()-Таблица1[[#This Row],[Дата регистрации клента]])/30</f>
        <v>43.233333333333334</v>
      </c>
      <c r="S791" s="63" t="str">
        <f>VLOOKUP(Таблица1[[#This Row],[id клиента]],Таблица8[[id клиента]:[Страна]],7,0)</f>
        <v>Украина</v>
      </c>
      <c r="T791" s="26"/>
    </row>
    <row r="792" spans="1:20" ht="19.5" x14ac:dyDescent="0.4">
      <c r="A792" s="41">
        <v>791</v>
      </c>
      <c r="B792" s="42">
        <v>241</v>
      </c>
      <c r="C792" s="42">
        <v>490</v>
      </c>
      <c r="D792" s="42">
        <v>1</v>
      </c>
      <c r="E792" s="42">
        <v>490</v>
      </c>
      <c r="F792" s="43">
        <v>45271</v>
      </c>
      <c r="G792" s="42" t="s">
        <v>15</v>
      </c>
      <c r="H792" s="42">
        <v>299</v>
      </c>
      <c r="I792" s="42" t="str">
        <f>VLOOKUP(продажи!$B792,товар!$A$1:$C$433,2)</f>
        <v>Колбаса</v>
      </c>
      <c r="J792" s="42" t="str">
        <f>VLOOKUP(B792,товар!$A$1:$C$433,3)</f>
        <v>Окраина</v>
      </c>
      <c r="K792" s="44">
        <f>AVERAGEIF(продажи!$I$2:$I$1001,продажи!$I$2:$I$1001,продажи!$C$2:$C$1001)</f>
        <v>286.92307692307691</v>
      </c>
      <c r="L792" s="45">
        <f>продажи!$C792/продажи!$K792-1</f>
        <v>0.70777479892761397</v>
      </c>
      <c r="M792" s="33">
        <f t="shared" si="24"/>
        <v>3283</v>
      </c>
      <c r="N792" s="24">
        <f>Таблица1[[#This Row],[цена за шт в рублях]]/Таблица1[[#This Row],[средняя стоимость в категории по поставщику.]]-1</f>
        <v>-0.85074626865671643</v>
      </c>
      <c r="O792" s="26">
        <f>VLOOKUP(Таблица1[[#This Row],[id клиента]],клиенты!$A$2:$E$435,5,0)</f>
        <v>44666</v>
      </c>
      <c r="P792">
        <f>Таблица1[[#This Row],[дата создания чека]]-Таблица1[[#This Row],[Дата регистрации клента]]</f>
        <v>605</v>
      </c>
      <c r="Q792" s="26">
        <f t="shared" ca="1" si="25"/>
        <v>46059</v>
      </c>
      <c r="R792" s="51">
        <f ca="1">(TODAY()-Таблица1[[#This Row],[Дата регистрации клента]])/30</f>
        <v>46.43333333333333</v>
      </c>
      <c r="S792" s="63" t="str">
        <f>VLOOKUP(Таблица1[[#This Row],[id клиента]],Таблица8[[id клиента]:[Страна]],7,0)</f>
        <v>Украина</v>
      </c>
      <c r="T792" s="26"/>
    </row>
    <row r="793" spans="1:20" ht="19.5" x14ac:dyDescent="0.4">
      <c r="A793" s="37">
        <v>792</v>
      </c>
      <c r="B793" s="31">
        <v>202</v>
      </c>
      <c r="C793" s="31">
        <v>298</v>
      </c>
      <c r="D793" s="31">
        <v>4</v>
      </c>
      <c r="E793" s="31">
        <v>1192</v>
      </c>
      <c r="F793" s="38">
        <v>44979</v>
      </c>
      <c r="G793" s="31" t="s">
        <v>24</v>
      </c>
      <c r="H793" s="31">
        <v>265</v>
      </c>
      <c r="I793" s="31" t="str">
        <f>VLOOKUP(продажи!$B793,товар!$A$1:$C$433,2)</f>
        <v>Овощи</v>
      </c>
      <c r="J793" s="31" t="str">
        <f>VLOOKUP(B793,товар!$A$1:$C$433,3)</f>
        <v>Овощной ряд</v>
      </c>
      <c r="K793" s="39">
        <f>AVERAGEIF(продажи!$I$2:$I$1001,продажи!$I$2:$I$1001,продажи!$C$2:$C$1001)</f>
        <v>250.48780487804879</v>
      </c>
      <c r="L793" s="40">
        <f>продажи!$C793/продажи!$K793-1</f>
        <v>0.18967867575462516</v>
      </c>
      <c r="M793" s="33">
        <f t="shared" si="24"/>
        <v>5165</v>
      </c>
      <c r="N793" s="24">
        <f>Таблица1[[#This Row],[цена за шт в рублях]]/Таблица1[[#This Row],[средняя стоимость в категории по поставщику.]]-1</f>
        <v>-0.94230396902226521</v>
      </c>
      <c r="O793" s="26">
        <f>VLOOKUP(Таблица1[[#This Row],[id клиента]],клиенты!$A$2:$E$435,5,0)</f>
        <v>44756</v>
      </c>
      <c r="P793">
        <f>Таблица1[[#This Row],[дата создания чека]]-Таблица1[[#This Row],[Дата регистрации клента]]</f>
        <v>223</v>
      </c>
      <c r="Q793" s="26">
        <f t="shared" ca="1" si="25"/>
        <v>46059</v>
      </c>
      <c r="R793" s="51">
        <f ca="1">(TODAY()-Таблица1[[#This Row],[Дата регистрации клента]])/30</f>
        <v>43.43333333333333</v>
      </c>
      <c r="S793" s="63" t="str">
        <f>VLOOKUP(Таблица1[[#This Row],[id клиента]],Таблица8[[id клиента]:[Страна]],7,0)</f>
        <v>Узбекистан</v>
      </c>
      <c r="T793" s="26"/>
    </row>
    <row r="794" spans="1:20" ht="19.5" x14ac:dyDescent="0.4">
      <c r="A794" s="41">
        <v>793</v>
      </c>
      <c r="B794" s="42">
        <v>376</v>
      </c>
      <c r="C794" s="42">
        <v>441</v>
      </c>
      <c r="D794" s="42">
        <v>2</v>
      </c>
      <c r="E794" s="42">
        <v>882</v>
      </c>
      <c r="F794" s="43">
        <v>45364</v>
      </c>
      <c r="G794" s="42" t="s">
        <v>25</v>
      </c>
      <c r="H794" s="42">
        <v>272</v>
      </c>
      <c r="I794" s="42" t="str">
        <f>VLOOKUP(продажи!$B794,товар!$A$1:$C$433,2)</f>
        <v>Конфеты</v>
      </c>
      <c r="J794" s="42" t="str">
        <f>VLOOKUP(B794,товар!$A$1:$C$433,3)</f>
        <v>Красный Октябрь</v>
      </c>
      <c r="K794" s="44">
        <f>AVERAGEIF(продажи!$I$2:$I$1001,продажи!$I$2:$I$1001,продажи!$C$2:$C$1001)</f>
        <v>267.85483870967744</v>
      </c>
      <c r="L794" s="45">
        <f>продажи!$C794/продажи!$K794-1</f>
        <v>0.64641416270247465</v>
      </c>
      <c r="M794" s="33">
        <f t="shared" si="24"/>
        <v>2189</v>
      </c>
      <c r="N794" s="24">
        <f>Таблица1[[#This Row],[цена за шт в рублях]]/Таблица1[[#This Row],[средняя стоимость в категории по поставщику.]]-1</f>
        <v>-0.79853814527181366</v>
      </c>
      <c r="O794" s="26">
        <f>VLOOKUP(Таблица1[[#This Row],[id клиента]],клиенты!$A$2:$E$435,5,0)</f>
        <v>44668</v>
      </c>
      <c r="P794">
        <f>Таблица1[[#This Row],[дата создания чека]]-Таблица1[[#This Row],[Дата регистрации клента]]</f>
        <v>696</v>
      </c>
      <c r="Q794" s="26">
        <f t="shared" ca="1" si="25"/>
        <v>46059</v>
      </c>
      <c r="R794" s="51">
        <f ca="1">(TODAY()-Таблица1[[#This Row],[Дата регистрации клента]])/30</f>
        <v>46.366666666666667</v>
      </c>
      <c r="S794" s="63" t="str">
        <f>VLOOKUP(Таблица1[[#This Row],[id клиента]],Таблица8[[id клиента]:[Страна]],7,0)</f>
        <v>Таджикистан</v>
      </c>
      <c r="T794" s="26"/>
    </row>
    <row r="795" spans="1:20" ht="19.5" x14ac:dyDescent="0.4">
      <c r="A795" s="37">
        <v>794</v>
      </c>
      <c r="B795" s="31">
        <v>371</v>
      </c>
      <c r="C795" s="31">
        <v>126</v>
      </c>
      <c r="D795" s="31">
        <v>5</v>
      </c>
      <c r="E795" s="31">
        <v>630</v>
      </c>
      <c r="F795" s="38">
        <v>45230</v>
      </c>
      <c r="G795" s="31" t="s">
        <v>13</v>
      </c>
      <c r="H795" s="31">
        <v>371</v>
      </c>
      <c r="I795" s="31" t="str">
        <f>VLOOKUP(продажи!$B795,товар!$A$1:$C$433,2)</f>
        <v>Сахар</v>
      </c>
      <c r="J795" s="31" t="str">
        <f>VLOOKUP(B795,товар!$A$1:$C$433,3)</f>
        <v>Русский сахар</v>
      </c>
      <c r="K795" s="39">
        <f>AVERAGEIF(продажи!$I$2:$I$1001,продажи!$I$2:$I$1001,продажи!$C$2:$C$1001)</f>
        <v>254.58333333333334</v>
      </c>
      <c r="L795" s="40">
        <f>продажи!$C795/продажи!$K795-1</f>
        <v>-0.50507364975450086</v>
      </c>
      <c r="M795" s="33">
        <f t="shared" si="24"/>
        <v>4988</v>
      </c>
      <c r="N795" s="24">
        <f>Таблица1[[#This Row],[цена за шт в рублях]]/Таблица1[[#This Row],[средняя стоимость в категории по поставщику.]]-1</f>
        <v>-0.97473937449879711</v>
      </c>
      <c r="O795" s="26">
        <f>VLOOKUP(Таблица1[[#This Row],[id клиента]],клиенты!$A$2:$E$435,5,0)</f>
        <v>44844</v>
      </c>
      <c r="P795">
        <f>Таблица1[[#This Row],[дата создания чека]]-Таблица1[[#This Row],[Дата регистрации клента]]</f>
        <v>386</v>
      </c>
      <c r="Q795" s="26">
        <f t="shared" ca="1" si="25"/>
        <v>46059</v>
      </c>
      <c r="R795" s="51">
        <f ca="1">(TODAY()-Таблица1[[#This Row],[Дата регистрации клента]])/30</f>
        <v>40.5</v>
      </c>
      <c r="S795" s="63" t="str">
        <f>VLOOKUP(Таблица1[[#This Row],[id клиента]],Таблица8[[id клиента]:[Страна]],7,0)</f>
        <v>Украина</v>
      </c>
      <c r="T795" s="26"/>
    </row>
    <row r="796" spans="1:20" ht="19.5" x14ac:dyDescent="0.4">
      <c r="A796" s="41">
        <v>795</v>
      </c>
      <c r="B796" s="42">
        <v>308</v>
      </c>
      <c r="C796" s="42">
        <v>416</v>
      </c>
      <c r="D796" s="42">
        <v>4</v>
      </c>
      <c r="E796" s="42">
        <v>1664</v>
      </c>
      <c r="F796" s="43">
        <v>45217</v>
      </c>
      <c r="G796" s="42" t="s">
        <v>14</v>
      </c>
      <c r="H796" s="42">
        <v>360</v>
      </c>
      <c r="I796" s="42" t="str">
        <f>VLOOKUP(продажи!$B796,товар!$A$1:$C$433,2)</f>
        <v>Конфеты</v>
      </c>
      <c r="J796" s="42" t="str">
        <f>VLOOKUP(B796,товар!$A$1:$C$433,3)</f>
        <v>Бабаевский</v>
      </c>
      <c r="K796" s="44">
        <f>AVERAGEIF(продажи!$I$2:$I$1001,продажи!$I$2:$I$1001,продажи!$C$2:$C$1001)</f>
        <v>267.85483870967744</v>
      </c>
      <c r="L796" s="45">
        <f>продажи!$C796/продажи!$K796-1</f>
        <v>0.55308002649485144</v>
      </c>
      <c r="M796" s="33">
        <f t="shared" si="24"/>
        <v>6757</v>
      </c>
      <c r="N796" s="24">
        <f>Таблица1[[#This Row],[цена за шт в рублях]]/Таблица1[[#This Row],[средняя стоимость в категории по поставщику.]]-1</f>
        <v>-0.93843421636821078</v>
      </c>
      <c r="O796" s="26">
        <f>VLOOKUP(Таблица1[[#This Row],[id клиента]],клиенты!$A$2:$E$435,5,0)</f>
        <v>44728</v>
      </c>
      <c r="P796">
        <f>Таблица1[[#This Row],[дата создания чека]]-Таблица1[[#This Row],[Дата регистрации клента]]</f>
        <v>489</v>
      </c>
      <c r="Q796" s="26">
        <f t="shared" ca="1" si="25"/>
        <v>46059</v>
      </c>
      <c r="R796" s="51">
        <f ca="1">(TODAY()-Таблица1[[#This Row],[Дата регистрации клента]])/30</f>
        <v>44.366666666666667</v>
      </c>
      <c r="S796" s="63" t="str">
        <f>VLOOKUP(Таблица1[[#This Row],[id клиента]],Таблица8[[id клиента]:[Страна]],7,0)</f>
        <v>Беларусь</v>
      </c>
      <c r="T796" s="26"/>
    </row>
    <row r="797" spans="1:20" ht="19.5" x14ac:dyDescent="0.4">
      <c r="A797" s="37">
        <v>796</v>
      </c>
      <c r="B797" s="31">
        <v>146</v>
      </c>
      <c r="C797" s="31">
        <v>387</v>
      </c>
      <c r="D797" s="31">
        <v>4</v>
      </c>
      <c r="E797" s="31">
        <v>1548</v>
      </c>
      <c r="F797" s="38">
        <v>45027</v>
      </c>
      <c r="G797" s="31" t="s">
        <v>10</v>
      </c>
      <c r="H797" s="31">
        <v>368</v>
      </c>
      <c r="I797" s="31" t="str">
        <f>VLOOKUP(продажи!$B797,товар!$A$1:$C$433,2)</f>
        <v>Сок</v>
      </c>
      <c r="J797" s="31" t="str">
        <f>VLOOKUP(B797,товар!$A$1:$C$433,3)</f>
        <v>Добрый</v>
      </c>
      <c r="K797" s="39">
        <f>AVERAGEIF(продажи!$I$2:$I$1001,продажи!$I$2:$I$1001,продажи!$C$2:$C$1001)</f>
        <v>268.60344827586209</v>
      </c>
      <c r="L797" s="40">
        <f>продажи!$C797/продажи!$K797-1</f>
        <v>0.44078567302137484</v>
      </c>
      <c r="M797" s="33">
        <f t="shared" si="24"/>
        <v>2671</v>
      </c>
      <c r="N797" s="24">
        <f>Таблица1[[#This Row],[цена за шт в рублях]]/Таблица1[[#This Row],[средняя стоимость в категории по поставщику.]]-1</f>
        <v>-0.85511044552602022</v>
      </c>
      <c r="O797" s="26">
        <f>VLOOKUP(Таблица1[[#This Row],[id клиента]],клиенты!$A$2:$E$435,5,0)</f>
        <v>44872</v>
      </c>
      <c r="P797">
        <f>Таблица1[[#This Row],[дата создания чека]]-Таблица1[[#This Row],[Дата регистрации клента]]</f>
        <v>155</v>
      </c>
      <c r="Q797" s="26">
        <f t="shared" ca="1" si="25"/>
        <v>46059</v>
      </c>
      <c r="R797" s="51">
        <f ca="1">(TODAY()-Таблица1[[#This Row],[Дата регистрации клента]])/30</f>
        <v>39.56666666666667</v>
      </c>
      <c r="S797" s="63" t="str">
        <f>VLOOKUP(Таблица1[[#This Row],[id клиента]],Таблица8[[id клиента]:[Страна]],7,0)</f>
        <v>Узбекистан</v>
      </c>
      <c r="T797" s="26"/>
    </row>
    <row r="798" spans="1:20" ht="19.5" x14ac:dyDescent="0.4">
      <c r="A798" s="41">
        <v>797</v>
      </c>
      <c r="B798" s="42">
        <v>77</v>
      </c>
      <c r="C798" s="42">
        <v>151</v>
      </c>
      <c r="D798" s="42">
        <v>2</v>
      </c>
      <c r="E798" s="42">
        <v>302</v>
      </c>
      <c r="F798" s="43">
        <v>45067</v>
      </c>
      <c r="G798" s="42" t="s">
        <v>27</v>
      </c>
      <c r="H798" s="42">
        <v>481</v>
      </c>
      <c r="I798" s="42" t="str">
        <f>VLOOKUP(продажи!$B798,товар!$A$1:$C$433,2)</f>
        <v>Макароны</v>
      </c>
      <c r="J798" s="42" t="str">
        <f>VLOOKUP(B798,товар!$A$1:$C$433,3)</f>
        <v>Паста Зара</v>
      </c>
      <c r="K798" s="44">
        <f>AVERAGEIF(продажи!$I$2:$I$1001,продажи!$I$2:$I$1001,продажи!$C$2:$C$1001)</f>
        <v>265.47674418604652</v>
      </c>
      <c r="L798" s="45">
        <f>продажи!$C798/продажи!$K798-1</f>
        <v>-0.43121194866628709</v>
      </c>
      <c r="M798" s="33">
        <f t="shared" si="24"/>
        <v>10237</v>
      </c>
      <c r="N798" s="24">
        <f>Таблица1[[#This Row],[цена за шт в рублях]]/Таблица1[[#This Row],[средняя стоимость в категории по поставщику.]]-1</f>
        <v>-0.98524958483930836</v>
      </c>
      <c r="O798" s="26">
        <f>VLOOKUP(Таблица1[[#This Row],[id клиента]],клиенты!$A$2:$E$435,5,0)</f>
        <v>44756</v>
      </c>
      <c r="P798">
        <f>Таблица1[[#This Row],[дата создания чека]]-Таблица1[[#This Row],[Дата регистрации клента]]</f>
        <v>311</v>
      </c>
      <c r="Q798" s="26">
        <f t="shared" ca="1" si="25"/>
        <v>46059</v>
      </c>
      <c r="R798" s="51">
        <f ca="1">(TODAY()-Таблица1[[#This Row],[Дата регистрации клента]])/30</f>
        <v>43.43333333333333</v>
      </c>
      <c r="S798" s="63" t="str">
        <f>VLOOKUP(Таблица1[[#This Row],[id клиента]],Таблица8[[id клиента]:[Страна]],7,0)</f>
        <v>Беларусь</v>
      </c>
      <c r="T798" s="26"/>
    </row>
    <row r="799" spans="1:20" ht="19.5" x14ac:dyDescent="0.4">
      <c r="A799" s="37">
        <v>798</v>
      </c>
      <c r="B799" s="31">
        <v>407</v>
      </c>
      <c r="C799" s="31">
        <v>157</v>
      </c>
      <c r="D799" s="31">
        <v>3</v>
      </c>
      <c r="E799" s="31">
        <v>471</v>
      </c>
      <c r="F799" s="38">
        <v>45275</v>
      </c>
      <c r="G799" s="31" t="s">
        <v>9</v>
      </c>
      <c r="H799" s="31">
        <v>354</v>
      </c>
      <c r="I799" s="31" t="str">
        <f>VLOOKUP(продажи!$B799,товар!$A$1:$C$433,2)</f>
        <v>Конфеты</v>
      </c>
      <c r="J799" s="31" t="str">
        <f>VLOOKUP(B799,товар!$A$1:$C$433,3)</f>
        <v>Славянка</v>
      </c>
      <c r="K799" s="39">
        <f>AVERAGEIF(продажи!$I$2:$I$1001,продажи!$I$2:$I$1001,продажи!$C$2:$C$1001)</f>
        <v>267.85483870967744</v>
      </c>
      <c r="L799" s="40">
        <f>продажи!$C799/продажи!$K799-1</f>
        <v>-0.41386162461612575</v>
      </c>
      <c r="M799" s="33">
        <f t="shared" si="24"/>
        <v>1608</v>
      </c>
      <c r="N799" s="24">
        <f>Таблица1[[#This Row],[цена за шт в рублях]]/Таблица1[[#This Row],[средняя стоимость в категории по поставщику.]]-1</f>
        <v>-0.90236318407960203</v>
      </c>
      <c r="O799" s="26">
        <f>VLOOKUP(Таблица1[[#This Row],[id клиента]],клиенты!$A$2:$E$435,5,0)</f>
        <v>44811</v>
      </c>
      <c r="P799">
        <f>Таблица1[[#This Row],[дата создания чека]]-Таблица1[[#This Row],[Дата регистрации клента]]</f>
        <v>464</v>
      </c>
      <c r="Q799" s="26">
        <f t="shared" ca="1" si="25"/>
        <v>46059</v>
      </c>
      <c r="R799" s="51">
        <f ca="1">(TODAY()-Таблица1[[#This Row],[Дата регистрации клента]])/30</f>
        <v>41.6</v>
      </c>
      <c r="S799" s="63" t="str">
        <f>VLOOKUP(Таблица1[[#This Row],[id клиента]],Таблица8[[id клиента]:[Страна]],7,0)</f>
        <v>Узбекистан</v>
      </c>
      <c r="T799" s="26"/>
    </row>
    <row r="800" spans="1:20" ht="19.5" x14ac:dyDescent="0.4">
      <c r="A800" s="41">
        <v>799</v>
      </c>
      <c r="B800" s="42">
        <v>357</v>
      </c>
      <c r="C800" s="42">
        <v>55</v>
      </c>
      <c r="D800" s="42">
        <v>5</v>
      </c>
      <c r="E800" s="42">
        <v>275</v>
      </c>
      <c r="F800" s="43">
        <v>45302</v>
      </c>
      <c r="G800" s="42" t="s">
        <v>24</v>
      </c>
      <c r="H800" s="42">
        <v>8</v>
      </c>
      <c r="I800" s="42" t="str">
        <f>VLOOKUP(продажи!$B800,товар!$A$1:$C$433,2)</f>
        <v>Мясо</v>
      </c>
      <c r="J800" s="42" t="str">
        <f>VLOOKUP(B800,товар!$A$1:$C$433,3)</f>
        <v>Снежана</v>
      </c>
      <c r="K800" s="44">
        <f>AVERAGEIF(продажи!$I$2:$I$1001,продажи!$I$2:$I$1001,продажи!$C$2:$C$1001)</f>
        <v>271.74545454545455</v>
      </c>
      <c r="L800" s="45">
        <f>продажи!$C800/продажи!$K800-1</f>
        <v>-0.79760471029037872</v>
      </c>
      <c r="M800" s="33">
        <f t="shared" si="24"/>
        <v>4630</v>
      </c>
      <c r="N800" s="24">
        <f>Таблица1[[#This Row],[цена за шт в рублях]]/Таблица1[[#This Row],[средняя стоимость в категории по поставщику.]]-1</f>
        <v>-0.98812095032397407</v>
      </c>
      <c r="O800" s="26">
        <f>VLOOKUP(Таблица1[[#This Row],[id клиента]],клиенты!$A$2:$E$435,5,0)</f>
        <v>44883</v>
      </c>
      <c r="P800">
        <f>Таблица1[[#This Row],[дата создания чека]]-Таблица1[[#This Row],[Дата регистрации клента]]</f>
        <v>419</v>
      </c>
      <c r="Q800" s="26">
        <f t="shared" ca="1" si="25"/>
        <v>46059</v>
      </c>
      <c r="R800" s="51">
        <f ca="1">(TODAY()-Таблица1[[#This Row],[Дата регистрации клента]])/30</f>
        <v>39.200000000000003</v>
      </c>
      <c r="S800" s="63" t="str">
        <f>VLOOKUP(Таблица1[[#This Row],[id клиента]],Таблица8[[id клиента]:[Страна]],7,0)</f>
        <v>Беларусь</v>
      </c>
      <c r="T800" s="26"/>
    </row>
    <row r="801" spans="1:20" ht="19.5" x14ac:dyDescent="0.4">
      <c r="A801" s="37">
        <v>800</v>
      </c>
      <c r="B801" s="31">
        <v>409</v>
      </c>
      <c r="C801" s="31">
        <v>235</v>
      </c>
      <c r="D801" s="31">
        <v>5</v>
      </c>
      <c r="E801" s="31">
        <v>1175</v>
      </c>
      <c r="F801" s="38">
        <v>44960</v>
      </c>
      <c r="G801" s="31" t="s">
        <v>16</v>
      </c>
      <c r="H801" s="31">
        <v>1</v>
      </c>
      <c r="I801" s="31" t="str">
        <f>VLOOKUP(продажи!$B801,товар!$A$1:$C$433,2)</f>
        <v>Фрукты</v>
      </c>
      <c r="J801" s="31" t="str">
        <f>VLOOKUP(B801,товар!$A$1:$C$433,3)</f>
        <v>Фруктовый Рай</v>
      </c>
      <c r="K801" s="39">
        <f>AVERAGEIF(продажи!$I$2:$I$1001,продажи!$I$2:$I$1001,продажи!$C$2:$C$1001)</f>
        <v>274.16279069767444</v>
      </c>
      <c r="L801" s="40">
        <f>продажи!$C801/продажи!$K801-1</f>
        <v>-0.14284502502332685</v>
      </c>
      <c r="M801" s="33">
        <f t="shared" si="24"/>
        <v>3358</v>
      </c>
      <c r="N801" s="24">
        <f>Таблица1[[#This Row],[цена за шт в рублях]]/Таблица1[[#This Row],[средняя стоимость в категории по поставщику.]]-1</f>
        <v>-0.93001786777843953</v>
      </c>
      <c r="O801" s="26">
        <f>VLOOKUP(Таблица1[[#This Row],[id клиента]],клиенты!$A$2:$E$435,5,0)</f>
        <v>44585</v>
      </c>
      <c r="P801">
        <f>Таблица1[[#This Row],[дата создания чека]]-Таблица1[[#This Row],[Дата регистрации клента]]</f>
        <v>375</v>
      </c>
      <c r="Q801" s="26">
        <f t="shared" ca="1" si="25"/>
        <v>46059</v>
      </c>
      <c r="R801" s="51">
        <f ca="1">(TODAY()-Таблица1[[#This Row],[Дата регистрации клента]])/30</f>
        <v>49.133333333333333</v>
      </c>
      <c r="S801" s="63" t="str">
        <f>VLOOKUP(Таблица1[[#This Row],[id клиента]],Таблица8[[id клиента]:[Страна]],7,0)</f>
        <v>Россия</v>
      </c>
      <c r="T801" s="26"/>
    </row>
    <row r="802" spans="1:20" ht="19.5" x14ac:dyDescent="0.4">
      <c r="A802" s="41">
        <v>801</v>
      </c>
      <c r="B802" s="42">
        <v>148</v>
      </c>
      <c r="C802" s="42">
        <v>474</v>
      </c>
      <c r="D802" s="42">
        <v>4</v>
      </c>
      <c r="E802" s="42">
        <v>1896</v>
      </c>
      <c r="F802" s="43">
        <v>45074</v>
      </c>
      <c r="G802" s="42" t="s">
        <v>19</v>
      </c>
      <c r="H802" s="42">
        <v>333</v>
      </c>
      <c r="I802" s="42" t="str">
        <f>VLOOKUP(продажи!$B802,товар!$A$1:$C$433,2)</f>
        <v>Сок</v>
      </c>
      <c r="J802" s="42" t="str">
        <f>VLOOKUP(B802,товар!$A$1:$C$433,3)</f>
        <v>Фруктовый сад</v>
      </c>
      <c r="K802" s="44">
        <f>AVERAGEIF(продажи!$I$2:$I$1001,продажи!$I$2:$I$1001,продажи!$C$2:$C$1001)</f>
        <v>268.60344827586209</v>
      </c>
      <c r="L802" s="45">
        <f>продажи!$C802/продажи!$K802-1</f>
        <v>0.76468322742152872</v>
      </c>
      <c r="M802" s="33">
        <f t="shared" si="24"/>
        <v>9023</v>
      </c>
      <c r="N802" s="24">
        <f>Таблица1[[#This Row],[цена за шт в рублях]]/Таблица1[[#This Row],[средняя стоимость в категории по поставщику.]]-1</f>
        <v>-0.94746758284384347</v>
      </c>
      <c r="O802" s="26">
        <f>VLOOKUP(Таблица1[[#This Row],[id клиента]],клиенты!$A$2:$E$435,5,0)</f>
        <v>44857</v>
      </c>
      <c r="P802">
        <f>Таблица1[[#This Row],[дата создания чека]]-Таблица1[[#This Row],[Дата регистрации клента]]</f>
        <v>217</v>
      </c>
      <c r="Q802" s="26">
        <f t="shared" ca="1" si="25"/>
        <v>46059</v>
      </c>
      <c r="R802" s="51">
        <f ca="1">(TODAY()-Таблица1[[#This Row],[Дата регистрации клента]])/30</f>
        <v>40.06666666666667</v>
      </c>
      <c r="S802" s="63" t="str">
        <f>VLOOKUP(Таблица1[[#This Row],[id клиента]],Таблица8[[id клиента]:[Страна]],7,0)</f>
        <v>Россия</v>
      </c>
      <c r="T802" s="26"/>
    </row>
    <row r="803" spans="1:20" ht="19.5" x14ac:dyDescent="0.4">
      <c r="A803" s="37">
        <v>802</v>
      </c>
      <c r="B803" s="31">
        <v>63</v>
      </c>
      <c r="C803" s="31">
        <v>479</v>
      </c>
      <c r="D803" s="31">
        <v>4</v>
      </c>
      <c r="E803" s="31">
        <v>1916</v>
      </c>
      <c r="F803" s="38">
        <v>45235</v>
      </c>
      <c r="G803" s="31" t="s">
        <v>11</v>
      </c>
      <c r="H803" s="31">
        <v>396</v>
      </c>
      <c r="I803" s="31" t="str">
        <f>VLOOKUP(продажи!$B803,товар!$A$1:$C$433,2)</f>
        <v>Рыба</v>
      </c>
      <c r="J803" s="31" t="str">
        <f>VLOOKUP(B803,товар!$A$1:$C$433,3)</f>
        <v>Балтийский берег</v>
      </c>
      <c r="K803" s="39">
        <f>AVERAGEIF(продажи!$I$2:$I$1001,продажи!$I$2:$I$1001,продажи!$C$2:$C$1001)</f>
        <v>258.5128205128205</v>
      </c>
      <c r="L803" s="40">
        <f>продажи!$C803/продажи!$K803-1</f>
        <v>0.85290616941083131</v>
      </c>
      <c r="M803" s="33">
        <f t="shared" si="24"/>
        <v>2609</v>
      </c>
      <c r="N803" s="24">
        <f>Таблица1[[#This Row],[цена за шт в рублях]]/Таблица1[[#This Row],[средняя стоимость в категории по поставщику.]]-1</f>
        <v>-0.8164047527788425</v>
      </c>
      <c r="O803" s="26">
        <f>VLOOKUP(Таблица1[[#This Row],[id клиента]],клиенты!$A$2:$E$435,5,0)</f>
        <v>44871</v>
      </c>
      <c r="P803">
        <f>Таблица1[[#This Row],[дата создания чека]]-Таблица1[[#This Row],[Дата регистрации клента]]</f>
        <v>364</v>
      </c>
      <c r="Q803" s="26">
        <f t="shared" ca="1" si="25"/>
        <v>46059</v>
      </c>
      <c r="R803" s="51">
        <f ca="1">(TODAY()-Таблица1[[#This Row],[Дата регистрации клента]])/30</f>
        <v>39.6</v>
      </c>
      <c r="S803" s="63" t="str">
        <f>VLOOKUP(Таблица1[[#This Row],[id клиента]],Таблица8[[id клиента]:[Страна]],7,0)</f>
        <v>Украина</v>
      </c>
      <c r="T803" s="26"/>
    </row>
    <row r="804" spans="1:20" ht="19.5" x14ac:dyDescent="0.4">
      <c r="A804" s="41">
        <v>803</v>
      </c>
      <c r="B804" s="42">
        <v>410</v>
      </c>
      <c r="C804" s="42">
        <v>320</v>
      </c>
      <c r="D804" s="42">
        <v>4</v>
      </c>
      <c r="E804" s="42">
        <v>1280</v>
      </c>
      <c r="F804" s="43">
        <v>45045</v>
      </c>
      <c r="G804" s="42" t="s">
        <v>16</v>
      </c>
      <c r="H804" s="42">
        <v>401</v>
      </c>
      <c r="I804" s="42" t="str">
        <f>VLOOKUP(продажи!$B804,товар!$A$1:$C$433,2)</f>
        <v>Чипсы</v>
      </c>
      <c r="J804" s="42" t="str">
        <f>VLOOKUP(B804,товар!$A$1:$C$433,3)</f>
        <v>Lay's</v>
      </c>
      <c r="K804" s="44">
        <f>AVERAGEIF(продажи!$I$2:$I$1001,продажи!$I$2:$I$1001,продажи!$C$2:$C$1001)</f>
        <v>273.72549019607845</v>
      </c>
      <c r="L804" s="45">
        <f>продажи!$C804/продажи!$K804-1</f>
        <v>0.16905444126074487</v>
      </c>
      <c r="M804" s="33">
        <f t="shared" si="24"/>
        <v>2244</v>
      </c>
      <c r="N804" s="24">
        <f>Таблица1[[#This Row],[цена за шт в рублях]]/Таблица1[[#This Row],[средняя стоимость в категории по поставщику.]]-1</f>
        <v>-0.85739750445632801</v>
      </c>
      <c r="O804" s="26">
        <f>VLOOKUP(Таблица1[[#This Row],[id клиента]],клиенты!$A$2:$E$435,5,0)</f>
        <v>44856</v>
      </c>
      <c r="P804">
        <f>Таблица1[[#This Row],[дата создания чека]]-Таблица1[[#This Row],[Дата регистрации клента]]</f>
        <v>189</v>
      </c>
      <c r="Q804" s="26">
        <f t="shared" ca="1" si="25"/>
        <v>46059</v>
      </c>
      <c r="R804" s="51">
        <f ca="1">(TODAY()-Таблица1[[#This Row],[Дата регистрации клента]])/30</f>
        <v>40.1</v>
      </c>
      <c r="S804" s="63" t="str">
        <f>VLOOKUP(Таблица1[[#This Row],[id клиента]],Таблица8[[id клиента]:[Страна]],7,0)</f>
        <v>Россия</v>
      </c>
      <c r="T804" s="26"/>
    </row>
    <row r="805" spans="1:20" ht="19.5" x14ac:dyDescent="0.4">
      <c r="A805" s="37">
        <v>804</v>
      </c>
      <c r="B805" s="31">
        <v>223</v>
      </c>
      <c r="C805" s="31">
        <v>477</v>
      </c>
      <c r="D805" s="31">
        <v>4</v>
      </c>
      <c r="E805" s="31">
        <v>1908</v>
      </c>
      <c r="F805" s="38">
        <v>45064</v>
      </c>
      <c r="G805" s="31" t="s">
        <v>15</v>
      </c>
      <c r="H805" s="31">
        <v>121</v>
      </c>
      <c r="I805" s="31" t="str">
        <f>VLOOKUP(продажи!$B805,товар!$A$1:$C$433,2)</f>
        <v>Чай</v>
      </c>
      <c r="J805" s="31" t="str">
        <f>VLOOKUP(B805,товар!$A$1:$C$433,3)</f>
        <v>Greenfield</v>
      </c>
      <c r="K805" s="39">
        <f>AVERAGEIF(продажи!$I$2:$I$1001,продажи!$I$2:$I$1001,продажи!$C$2:$C$1001)</f>
        <v>271.18181818181819</v>
      </c>
      <c r="L805" s="40">
        <f>продажи!$C805/продажи!$K805-1</f>
        <v>0.75896748240026812</v>
      </c>
      <c r="M805" s="33">
        <f t="shared" si="24"/>
        <v>6412</v>
      </c>
      <c r="N805" s="24">
        <f>Таблица1[[#This Row],[цена за шт в рублях]]/Таблица1[[#This Row],[средняя стоимость в категории по поставщику.]]-1</f>
        <v>-0.92560823456019958</v>
      </c>
      <c r="O805" s="26">
        <f>VLOOKUP(Таблица1[[#This Row],[id клиента]],клиенты!$A$2:$E$435,5,0)</f>
        <v>44763</v>
      </c>
      <c r="P805">
        <f>Таблица1[[#This Row],[дата создания чека]]-Таблица1[[#This Row],[Дата регистрации клента]]</f>
        <v>301</v>
      </c>
      <c r="Q805" s="26">
        <f t="shared" ca="1" si="25"/>
        <v>46059</v>
      </c>
      <c r="R805" s="51">
        <f ca="1">(TODAY()-Таблица1[[#This Row],[Дата регистрации клента]])/30</f>
        <v>43.2</v>
      </c>
      <c r="S805" s="63" t="str">
        <f>VLOOKUP(Таблица1[[#This Row],[id клиента]],Таблица8[[id клиента]:[Страна]],7,0)</f>
        <v>Россия</v>
      </c>
      <c r="T805" s="26"/>
    </row>
    <row r="806" spans="1:20" ht="19.5" x14ac:dyDescent="0.4">
      <c r="A806" s="41">
        <v>805</v>
      </c>
      <c r="B806" s="42">
        <v>35</v>
      </c>
      <c r="C806" s="42">
        <v>277</v>
      </c>
      <c r="D806" s="42">
        <v>4</v>
      </c>
      <c r="E806" s="42">
        <v>1108</v>
      </c>
      <c r="F806" s="43">
        <v>45422</v>
      </c>
      <c r="G806" s="42" t="s">
        <v>10</v>
      </c>
      <c r="H806" s="42">
        <v>108</v>
      </c>
      <c r="I806" s="42" t="str">
        <f>VLOOKUP(продажи!$B806,товар!$A$1:$C$433,2)</f>
        <v>Крупа</v>
      </c>
      <c r="J806" s="42" t="str">
        <f>VLOOKUP(B806,товар!$A$1:$C$433,3)</f>
        <v>Мистраль</v>
      </c>
      <c r="K806" s="44">
        <f>AVERAGEIF(продажи!$I$2:$I$1001,продажи!$I$2:$I$1001,продажи!$C$2:$C$1001)</f>
        <v>255.11627906976744</v>
      </c>
      <c r="L806" s="45">
        <f>продажи!$C806/продажи!$K806-1</f>
        <v>8.5779398359161263E-2</v>
      </c>
      <c r="M806" s="33">
        <f t="shared" si="24"/>
        <v>3254</v>
      </c>
      <c r="N806" s="24">
        <f>Таблица1[[#This Row],[цена за шт в рублях]]/Таблица1[[#This Row],[средняя стоимость в категории по поставщику.]]-1</f>
        <v>-0.91487400122925633</v>
      </c>
      <c r="O806" s="26">
        <f>VLOOKUP(Таблица1[[#This Row],[id клиента]],клиенты!$A$2:$E$435,5,0)</f>
        <v>44835</v>
      </c>
      <c r="P806">
        <f>Таблица1[[#This Row],[дата создания чека]]-Таблица1[[#This Row],[Дата регистрации клента]]</f>
        <v>587</v>
      </c>
      <c r="Q806" s="26">
        <f t="shared" ca="1" si="25"/>
        <v>46059</v>
      </c>
      <c r="R806" s="51">
        <f ca="1">(TODAY()-Таблица1[[#This Row],[Дата регистрации клента]])/30</f>
        <v>40.799999999999997</v>
      </c>
      <c r="S806" s="63" t="str">
        <f>VLOOKUP(Таблица1[[#This Row],[id клиента]],Таблица8[[id клиента]:[Страна]],7,0)</f>
        <v>Узбекистан</v>
      </c>
      <c r="T806" s="26"/>
    </row>
    <row r="807" spans="1:20" ht="19.5" x14ac:dyDescent="0.4">
      <c r="A807" s="37">
        <v>806</v>
      </c>
      <c r="B807" s="31">
        <v>398</v>
      </c>
      <c r="C807" s="31">
        <v>127</v>
      </c>
      <c r="D807" s="31">
        <v>5</v>
      </c>
      <c r="E807" s="31">
        <v>635</v>
      </c>
      <c r="F807" s="38">
        <v>45253</v>
      </c>
      <c r="G807" s="31" t="s">
        <v>15</v>
      </c>
      <c r="H807" s="31">
        <v>191</v>
      </c>
      <c r="I807" s="31" t="str">
        <f>VLOOKUP(продажи!$B807,товар!$A$1:$C$433,2)</f>
        <v>Сок</v>
      </c>
      <c r="J807" s="31" t="str">
        <f>VLOOKUP(B807,товар!$A$1:$C$433,3)</f>
        <v>Фруктовый сад</v>
      </c>
      <c r="K807" s="39">
        <f>AVERAGEIF(продажи!$I$2:$I$1001,продажи!$I$2:$I$1001,продажи!$C$2:$C$1001)</f>
        <v>268.60344827586209</v>
      </c>
      <c r="L807" s="40">
        <f>продажи!$C807/продажи!$K807-1</f>
        <v>-0.52718402978368317</v>
      </c>
      <c r="M807" s="33">
        <f t="shared" si="24"/>
        <v>9023</v>
      </c>
      <c r="N807" s="24">
        <f>Таблица1[[#This Row],[цена за шт в рублях]]/Таблица1[[#This Row],[средняя стоимость в категории по поставщику.]]-1</f>
        <v>-0.98592485869444757</v>
      </c>
      <c r="O807" s="26">
        <f>VLOOKUP(Таблица1[[#This Row],[id клиента]],клиенты!$A$2:$E$435,5,0)</f>
        <v>44866</v>
      </c>
      <c r="P807">
        <f>Таблица1[[#This Row],[дата создания чека]]-Таблица1[[#This Row],[Дата регистрации клента]]</f>
        <v>387</v>
      </c>
      <c r="Q807" s="26">
        <f t="shared" ca="1" si="25"/>
        <v>46059</v>
      </c>
      <c r="R807" s="51">
        <f ca="1">(TODAY()-Таблица1[[#This Row],[Дата регистрации клента]])/30</f>
        <v>39.766666666666666</v>
      </c>
      <c r="S807" s="63" t="str">
        <f>VLOOKUP(Таблица1[[#This Row],[id клиента]],Таблица8[[id клиента]:[Страна]],7,0)</f>
        <v>Украина</v>
      </c>
      <c r="T807" s="26"/>
    </row>
    <row r="808" spans="1:20" ht="19.5" x14ac:dyDescent="0.4">
      <c r="A808" s="41">
        <v>807</v>
      </c>
      <c r="B808" s="42">
        <v>132</v>
      </c>
      <c r="C808" s="42">
        <v>154</v>
      </c>
      <c r="D808" s="42">
        <v>3</v>
      </c>
      <c r="E808" s="42">
        <v>462</v>
      </c>
      <c r="F808" s="43">
        <v>45294</v>
      </c>
      <c r="G808" s="42" t="s">
        <v>19</v>
      </c>
      <c r="H808" s="42">
        <v>443</v>
      </c>
      <c r="I808" s="42" t="str">
        <f>VLOOKUP(продажи!$B808,товар!$A$1:$C$433,2)</f>
        <v>Рыба</v>
      </c>
      <c r="J808" s="42" t="str">
        <f>VLOOKUP(B808,товар!$A$1:$C$433,3)</f>
        <v>Меридиан</v>
      </c>
      <c r="K808" s="44">
        <f>AVERAGEIF(продажи!$I$2:$I$1001,продажи!$I$2:$I$1001,продажи!$C$2:$C$1001)</f>
        <v>258.5128205128205</v>
      </c>
      <c r="L808" s="45">
        <f>продажи!$C808/продажи!$K808-1</f>
        <v>-0.40428486411426301</v>
      </c>
      <c r="M808" s="33">
        <f t="shared" si="24"/>
        <v>4431</v>
      </c>
      <c r="N808" s="24">
        <f>Таблица1[[#This Row],[цена за шт в рублях]]/Таблица1[[#This Row],[средняя стоимость в категории по поставщику.]]-1</f>
        <v>-0.96524486571879942</v>
      </c>
      <c r="O808" s="26">
        <f>VLOOKUP(Таблица1[[#This Row],[id клиента]],клиенты!$A$2:$E$435,5,0)</f>
        <v>44649</v>
      </c>
      <c r="P808">
        <f>Таблица1[[#This Row],[дата создания чека]]-Таблица1[[#This Row],[Дата регистрации клента]]</f>
        <v>645</v>
      </c>
      <c r="Q808" s="26">
        <f t="shared" ca="1" si="25"/>
        <v>46059</v>
      </c>
      <c r="R808" s="51">
        <f ca="1">(TODAY()-Таблица1[[#This Row],[Дата регистрации клента]])/30</f>
        <v>47</v>
      </c>
      <c r="S808" s="63" t="str">
        <f>VLOOKUP(Таблица1[[#This Row],[id клиента]],Таблица8[[id клиента]:[Страна]],7,0)</f>
        <v>Россия</v>
      </c>
      <c r="T808" s="26"/>
    </row>
    <row r="809" spans="1:20" ht="19.5" x14ac:dyDescent="0.4">
      <c r="A809" s="37">
        <v>808</v>
      </c>
      <c r="B809" s="31">
        <v>415</v>
      </c>
      <c r="C809" s="31">
        <v>84</v>
      </c>
      <c r="D809" s="31">
        <v>5</v>
      </c>
      <c r="E809" s="31">
        <v>420</v>
      </c>
      <c r="F809" s="38">
        <v>45156</v>
      </c>
      <c r="G809" s="31" t="s">
        <v>26</v>
      </c>
      <c r="H809" s="31">
        <v>191</v>
      </c>
      <c r="I809" s="31" t="str">
        <f>VLOOKUP(продажи!$B809,товар!$A$1:$C$433,2)</f>
        <v>Чипсы</v>
      </c>
      <c r="J809" s="31" t="str">
        <f>VLOOKUP(B809,товар!$A$1:$C$433,3)</f>
        <v>Pringles</v>
      </c>
      <c r="K809" s="39">
        <f>AVERAGEIF(продажи!$I$2:$I$1001,продажи!$I$2:$I$1001,продажи!$C$2:$C$1001)</f>
        <v>273.72549019607845</v>
      </c>
      <c r="L809" s="40">
        <f>продажи!$C809/продажи!$K809-1</f>
        <v>-0.69312320916905446</v>
      </c>
      <c r="M809" s="33">
        <f t="shared" si="24"/>
        <v>5885</v>
      </c>
      <c r="N809" s="24">
        <f>Таблица1[[#This Row],[цена за шт в рублях]]/Таблица1[[#This Row],[средняя стоимость в категории по поставщику.]]-1</f>
        <v>-0.98572642310960068</v>
      </c>
      <c r="O809" s="26">
        <f>VLOOKUP(Таблица1[[#This Row],[id клиента]],клиенты!$A$2:$E$435,5,0)</f>
        <v>44866</v>
      </c>
      <c r="P809">
        <f>Таблица1[[#This Row],[дата создания чека]]-Таблица1[[#This Row],[Дата регистрации клента]]</f>
        <v>290</v>
      </c>
      <c r="Q809" s="26">
        <f t="shared" ca="1" si="25"/>
        <v>46059</v>
      </c>
      <c r="R809" s="51">
        <f ca="1">(TODAY()-Таблица1[[#This Row],[Дата регистрации клента]])/30</f>
        <v>39.766666666666666</v>
      </c>
      <c r="S809" s="63" t="str">
        <f>VLOOKUP(Таблица1[[#This Row],[id клиента]],Таблица8[[id клиента]:[Страна]],7,0)</f>
        <v>Украина</v>
      </c>
      <c r="T809" s="26"/>
    </row>
    <row r="810" spans="1:20" ht="19.5" x14ac:dyDescent="0.4">
      <c r="A810" s="41">
        <v>809</v>
      </c>
      <c r="B810" s="42">
        <v>384</v>
      </c>
      <c r="C810" s="42">
        <v>423</v>
      </c>
      <c r="D810" s="42">
        <v>5</v>
      </c>
      <c r="E810" s="42">
        <v>2115</v>
      </c>
      <c r="F810" s="43">
        <v>45346</v>
      </c>
      <c r="G810" s="42" t="s">
        <v>25</v>
      </c>
      <c r="H810" s="42">
        <v>249</v>
      </c>
      <c r="I810" s="42" t="str">
        <f>VLOOKUP(продажи!$B810,товар!$A$1:$C$433,2)</f>
        <v>Сахар</v>
      </c>
      <c r="J810" s="42" t="str">
        <f>VLOOKUP(B810,товар!$A$1:$C$433,3)</f>
        <v>Сладов</v>
      </c>
      <c r="K810" s="44">
        <f>AVERAGEIF(продажи!$I$2:$I$1001,продажи!$I$2:$I$1001,продажи!$C$2:$C$1001)</f>
        <v>254.58333333333334</v>
      </c>
      <c r="L810" s="45">
        <f>продажи!$C810/продажи!$K810-1</f>
        <v>0.66153846153846141</v>
      </c>
      <c r="M810" s="33">
        <f t="shared" si="24"/>
        <v>3604</v>
      </c>
      <c r="N810" s="24">
        <f>Таблица1[[#This Row],[цена за шт в рублях]]/Таблица1[[#This Row],[средняя стоимость в категории по поставщику.]]-1</f>
        <v>-0.88263041065482795</v>
      </c>
      <c r="O810" s="26">
        <f>VLOOKUP(Таблица1[[#This Row],[id клиента]],клиенты!$A$2:$E$435,5,0)</f>
        <v>44781</v>
      </c>
      <c r="P810">
        <f>Таблица1[[#This Row],[дата создания чека]]-Таблица1[[#This Row],[Дата регистрации клента]]</f>
        <v>565</v>
      </c>
      <c r="Q810" s="26">
        <f t="shared" ca="1" si="25"/>
        <v>46059</v>
      </c>
      <c r="R810" s="51">
        <f ca="1">(TODAY()-Таблица1[[#This Row],[Дата регистрации клента]])/30</f>
        <v>42.6</v>
      </c>
      <c r="S810" s="63" t="str">
        <f>VLOOKUP(Таблица1[[#This Row],[id клиента]],Таблица8[[id клиента]:[Страна]],7,0)</f>
        <v>Россия</v>
      </c>
      <c r="T810" s="26"/>
    </row>
    <row r="811" spans="1:20" ht="19.5" x14ac:dyDescent="0.4">
      <c r="A811" s="37">
        <v>810</v>
      </c>
      <c r="B811" s="31">
        <v>311</v>
      </c>
      <c r="C811" s="31">
        <v>470</v>
      </c>
      <c r="D811" s="31">
        <v>2</v>
      </c>
      <c r="E811" s="31">
        <v>940</v>
      </c>
      <c r="F811" s="38">
        <v>45304</v>
      </c>
      <c r="G811" s="31" t="s">
        <v>19</v>
      </c>
      <c r="H811" s="31">
        <v>418</v>
      </c>
      <c r="I811" s="31" t="str">
        <f>VLOOKUP(продажи!$B811,товар!$A$1:$C$433,2)</f>
        <v>Макароны</v>
      </c>
      <c r="J811" s="31" t="str">
        <f>VLOOKUP(B811,товар!$A$1:$C$433,3)</f>
        <v>Паста Зара</v>
      </c>
      <c r="K811" s="39">
        <f>AVERAGEIF(продажи!$I$2:$I$1001,продажи!$I$2:$I$1001,продажи!$C$2:$C$1001)</f>
        <v>265.47674418604652</v>
      </c>
      <c r="L811" s="40">
        <f>продажи!$C811/продажи!$K811-1</f>
        <v>0.77039989487976879</v>
      </c>
      <c r="M811" s="33">
        <f t="shared" si="24"/>
        <v>10237</v>
      </c>
      <c r="N811" s="24">
        <f>Таблица1[[#This Row],[цена за шт в рублях]]/Таблица1[[#This Row],[средняя стоимость в категории по поставщику.]]-1</f>
        <v>-0.95408811175148966</v>
      </c>
      <c r="O811" s="26">
        <f>VLOOKUP(Таблица1[[#This Row],[id клиента]],клиенты!$A$2:$E$435,5,0)</f>
        <v>44700</v>
      </c>
      <c r="P811">
        <f>Таблица1[[#This Row],[дата создания чека]]-Таблица1[[#This Row],[Дата регистрации клента]]</f>
        <v>604</v>
      </c>
      <c r="Q811" s="26">
        <f t="shared" ca="1" si="25"/>
        <v>46059</v>
      </c>
      <c r="R811" s="51">
        <f ca="1">(TODAY()-Таблица1[[#This Row],[Дата регистрации клента]])/30</f>
        <v>45.3</v>
      </c>
      <c r="S811" s="63" t="str">
        <f>VLOOKUP(Таблица1[[#This Row],[id клиента]],Таблица8[[id клиента]:[Страна]],7,0)</f>
        <v>Беларусь</v>
      </c>
      <c r="T811" s="26"/>
    </row>
    <row r="812" spans="1:20" ht="19.5" x14ac:dyDescent="0.4">
      <c r="A812" s="41">
        <v>811</v>
      </c>
      <c r="B812" s="42">
        <v>328</v>
      </c>
      <c r="C812" s="42">
        <v>59</v>
      </c>
      <c r="D812" s="42">
        <v>1</v>
      </c>
      <c r="E812" s="42">
        <v>59</v>
      </c>
      <c r="F812" s="43">
        <v>44991</v>
      </c>
      <c r="G812" s="42" t="s">
        <v>22</v>
      </c>
      <c r="H812" s="42">
        <v>126</v>
      </c>
      <c r="I812" s="42" t="str">
        <f>VLOOKUP(продажи!$B812,товар!$A$1:$C$433,2)</f>
        <v>Чипсы</v>
      </c>
      <c r="J812" s="42" t="str">
        <f>VLOOKUP(B812,товар!$A$1:$C$433,3)</f>
        <v>Русская картошка</v>
      </c>
      <c r="K812" s="44">
        <f>AVERAGEIF(продажи!$I$2:$I$1001,продажи!$I$2:$I$1001,продажи!$C$2:$C$1001)</f>
        <v>273.72549019607845</v>
      </c>
      <c r="L812" s="45">
        <f>продажи!$C812/продажи!$K812-1</f>
        <v>-0.78445558739255017</v>
      </c>
      <c r="M812" s="33">
        <f t="shared" si="24"/>
        <v>2902</v>
      </c>
      <c r="N812" s="24">
        <f>Таблица1[[#This Row],[цена за шт в рублях]]/Таблица1[[#This Row],[средняя стоимость в категории по поставщику.]]-1</f>
        <v>-0.97966919365954519</v>
      </c>
      <c r="O812" s="26">
        <f>VLOOKUP(Таблица1[[#This Row],[id клиента]],клиенты!$A$2:$E$435,5,0)</f>
        <v>44822</v>
      </c>
      <c r="P812">
        <f>Таблица1[[#This Row],[дата создания чека]]-Таблица1[[#This Row],[Дата регистрации клента]]</f>
        <v>169</v>
      </c>
      <c r="Q812" s="26">
        <f t="shared" ca="1" si="25"/>
        <v>46059</v>
      </c>
      <c r="R812" s="51">
        <f ca="1">(TODAY()-Таблица1[[#This Row],[Дата регистрации клента]])/30</f>
        <v>41.233333333333334</v>
      </c>
      <c r="S812" s="63" t="str">
        <f>VLOOKUP(Таблица1[[#This Row],[id клиента]],Таблица8[[id клиента]:[Страна]],7,0)</f>
        <v>Узбекистан</v>
      </c>
      <c r="T812" s="26"/>
    </row>
    <row r="813" spans="1:20" ht="19.5" x14ac:dyDescent="0.4">
      <c r="A813" s="37">
        <v>812</v>
      </c>
      <c r="B813" s="31">
        <v>74</v>
      </c>
      <c r="C813" s="31">
        <v>332</v>
      </c>
      <c r="D813" s="31">
        <v>3</v>
      </c>
      <c r="E813" s="31">
        <v>996</v>
      </c>
      <c r="F813" s="38">
        <v>45000</v>
      </c>
      <c r="G813" s="31" t="s">
        <v>24</v>
      </c>
      <c r="H813" s="31">
        <v>497</v>
      </c>
      <c r="I813" s="31" t="str">
        <f>VLOOKUP(продажи!$B813,товар!$A$1:$C$433,2)</f>
        <v>Колбаса</v>
      </c>
      <c r="J813" s="31" t="str">
        <f>VLOOKUP(B813,товар!$A$1:$C$433,3)</f>
        <v>Черкизово</v>
      </c>
      <c r="K813" s="39">
        <f>AVERAGEIF(продажи!$I$2:$I$1001,продажи!$I$2:$I$1001,продажи!$C$2:$C$1001)</f>
        <v>286.92307692307691</v>
      </c>
      <c r="L813" s="40">
        <f>продажи!$C813/продажи!$K813-1</f>
        <v>0.15710455764075082</v>
      </c>
      <c r="M813" s="33">
        <f t="shared" si="24"/>
        <v>1281</v>
      </c>
      <c r="N813" s="24">
        <f>Таблица1[[#This Row],[цена за шт в рублях]]/Таблица1[[#This Row],[средняя стоимость в категории по поставщику.]]-1</f>
        <v>-0.7408274785323965</v>
      </c>
      <c r="O813" s="26">
        <f>VLOOKUP(Таблица1[[#This Row],[id клиента]],клиенты!$A$2:$E$435,5,0)</f>
        <v>44826</v>
      </c>
      <c r="P813">
        <f>Таблица1[[#This Row],[дата создания чека]]-Таблица1[[#This Row],[Дата регистрации клента]]</f>
        <v>174</v>
      </c>
      <c r="Q813" s="26">
        <f t="shared" ca="1" si="25"/>
        <v>46059</v>
      </c>
      <c r="R813" s="51">
        <f ca="1">(TODAY()-Таблица1[[#This Row],[Дата регистрации клента]])/30</f>
        <v>41.1</v>
      </c>
      <c r="S813" s="63" t="str">
        <f>VLOOKUP(Таблица1[[#This Row],[id клиента]],Таблица8[[id клиента]:[Страна]],7,0)</f>
        <v>Узбекистан</v>
      </c>
      <c r="T813" s="26"/>
    </row>
    <row r="814" spans="1:20" ht="19.5" x14ac:dyDescent="0.4">
      <c r="A814" s="41">
        <v>813</v>
      </c>
      <c r="B814" s="42">
        <v>152</v>
      </c>
      <c r="C814" s="42">
        <v>94</v>
      </c>
      <c r="D814" s="42">
        <v>5</v>
      </c>
      <c r="E814" s="42">
        <v>470</v>
      </c>
      <c r="F814" s="43">
        <v>44942</v>
      </c>
      <c r="G814" s="42" t="s">
        <v>24</v>
      </c>
      <c r="H814" s="42">
        <v>332</v>
      </c>
      <c r="I814" s="42" t="str">
        <f>VLOOKUP(продажи!$B814,товар!$A$1:$C$433,2)</f>
        <v>Печенье</v>
      </c>
      <c r="J814" s="42" t="str">
        <f>VLOOKUP(B814,товар!$A$1:$C$433,3)</f>
        <v>Белогорье</v>
      </c>
      <c r="K814" s="44">
        <f>AVERAGEIF(продажи!$I$2:$I$1001,продажи!$I$2:$I$1001,продажи!$C$2:$C$1001)</f>
        <v>283.468085106383</v>
      </c>
      <c r="L814" s="45">
        <f>продажи!$C814/продажи!$K814-1</f>
        <v>-0.66839300457854844</v>
      </c>
      <c r="M814" s="33">
        <f t="shared" si="24"/>
        <v>3493</v>
      </c>
      <c r="N814" s="24">
        <f>Таблица1[[#This Row],[цена за шт в рублях]]/Таблица1[[#This Row],[средняя стоимость в категории по поставщику.]]-1</f>
        <v>-0.97308903521328372</v>
      </c>
      <c r="O814" s="26">
        <f>VLOOKUP(Таблица1[[#This Row],[id клиента]],клиенты!$A$2:$E$435,5,0)</f>
        <v>44858</v>
      </c>
      <c r="P814">
        <f>Таблица1[[#This Row],[дата создания чека]]-Таблица1[[#This Row],[Дата регистрации клента]]</f>
        <v>84</v>
      </c>
      <c r="Q814" s="26">
        <f t="shared" ca="1" si="25"/>
        <v>46059</v>
      </c>
      <c r="R814" s="51">
        <f ca="1">(TODAY()-Таблица1[[#This Row],[Дата регистрации клента]])/30</f>
        <v>40.033333333333331</v>
      </c>
      <c r="S814" s="63" t="str">
        <f>VLOOKUP(Таблица1[[#This Row],[id клиента]],Таблица8[[id клиента]:[Страна]],7,0)</f>
        <v>Узбекистан</v>
      </c>
      <c r="T814" s="26"/>
    </row>
    <row r="815" spans="1:20" ht="19.5" x14ac:dyDescent="0.4">
      <c r="A815" s="37">
        <v>814</v>
      </c>
      <c r="B815" s="31">
        <v>319</v>
      </c>
      <c r="C815" s="31">
        <v>148</v>
      </c>
      <c r="D815" s="31">
        <v>1</v>
      </c>
      <c r="E815" s="31">
        <v>148</v>
      </c>
      <c r="F815" s="38">
        <v>45143</v>
      </c>
      <c r="G815" s="31" t="s">
        <v>14</v>
      </c>
      <c r="H815" s="31">
        <v>445</v>
      </c>
      <c r="I815" s="31" t="str">
        <f>VLOOKUP(продажи!$B815,товар!$A$1:$C$433,2)</f>
        <v>Йогурт</v>
      </c>
      <c r="J815" s="31" t="str">
        <f>VLOOKUP(B815,товар!$A$1:$C$433,3)</f>
        <v>Эрманн</v>
      </c>
      <c r="K815" s="39">
        <f>AVERAGEIF(продажи!$I$2:$I$1001,продажи!$I$2:$I$1001,продажи!$C$2:$C$1001)</f>
        <v>263.25423728813558</v>
      </c>
      <c r="L815" s="40">
        <f>продажи!$C815/продажи!$K815-1</f>
        <v>-0.43780582024208081</v>
      </c>
      <c r="M815" s="33">
        <f t="shared" si="24"/>
        <v>4970</v>
      </c>
      <c r="N815" s="24">
        <f>Таблица1[[#This Row],[цена за шт в рублях]]/Таблица1[[#This Row],[средняя стоимость в категории по поставщику.]]-1</f>
        <v>-0.9702213279678068</v>
      </c>
      <c r="O815" s="26">
        <f>VLOOKUP(Таблица1[[#This Row],[id клиента]],клиенты!$A$2:$E$435,5,0)</f>
        <v>44676</v>
      </c>
      <c r="P815">
        <f>Таблица1[[#This Row],[дата создания чека]]-Таблица1[[#This Row],[Дата регистрации клента]]</f>
        <v>467</v>
      </c>
      <c r="Q815" s="26">
        <f t="shared" ca="1" si="25"/>
        <v>46059</v>
      </c>
      <c r="R815" s="51">
        <f ca="1">(TODAY()-Таблица1[[#This Row],[Дата регистрации клента]])/30</f>
        <v>46.1</v>
      </c>
      <c r="S815" s="63" t="str">
        <f>VLOOKUP(Таблица1[[#This Row],[id клиента]],Таблица8[[id клиента]:[Страна]],7,0)</f>
        <v>Россия</v>
      </c>
      <c r="T815" s="26"/>
    </row>
    <row r="816" spans="1:20" ht="19.5" x14ac:dyDescent="0.4">
      <c r="A816" s="41">
        <v>815</v>
      </c>
      <c r="B816" s="42">
        <v>19</v>
      </c>
      <c r="C816" s="42">
        <v>378</v>
      </c>
      <c r="D816" s="42">
        <v>2</v>
      </c>
      <c r="E816" s="42">
        <v>756</v>
      </c>
      <c r="F816" s="43">
        <v>45358</v>
      </c>
      <c r="G816" s="42" t="s">
        <v>23</v>
      </c>
      <c r="H816" s="42">
        <v>167</v>
      </c>
      <c r="I816" s="42" t="str">
        <f>VLOOKUP(продажи!$B816,товар!$A$1:$C$433,2)</f>
        <v>Мясо</v>
      </c>
      <c r="J816" s="42" t="str">
        <f>VLOOKUP(B816,товар!$A$1:$C$433,3)</f>
        <v>Снежана</v>
      </c>
      <c r="K816" s="44">
        <f>AVERAGEIF(продажи!$I$2:$I$1001,продажи!$I$2:$I$1001,продажи!$C$2:$C$1001)</f>
        <v>271.74545454545455</v>
      </c>
      <c r="L816" s="45">
        <f>продажи!$C816/продажи!$K816-1</f>
        <v>0.39100762745885187</v>
      </c>
      <c r="M816" s="33">
        <f t="shared" si="24"/>
        <v>4630</v>
      </c>
      <c r="N816" s="24">
        <f>Таблица1[[#This Row],[цена за шт в рублях]]/Таблица1[[#This Row],[средняя стоимость в категории по поставщику.]]-1</f>
        <v>-0.91835853131749456</v>
      </c>
      <c r="O816" s="26">
        <f>VLOOKUP(Таблица1[[#This Row],[id клиента]],клиенты!$A$2:$E$435,5,0)</f>
        <v>44563</v>
      </c>
      <c r="P816">
        <f>Таблица1[[#This Row],[дата создания чека]]-Таблица1[[#This Row],[Дата регистрации клента]]</f>
        <v>795</v>
      </c>
      <c r="Q816" s="26">
        <f t="shared" ca="1" si="25"/>
        <v>46059</v>
      </c>
      <c r="R816" s="51">
        <f ca="1">(TODAY()-Таблица1[[#This Row],[Дата регистрации клента]])/30</f>
        <v>49.866666666666667</v>
      </c>
      <c r="S816" s="63" t="str">
        <f>VLOOKUP(Таблица1[[#This Row],[id клиента]],Таблица8[[id клиента]:[Страна]],7,0)</f>
        <v>Узбекистан</v>
      </c>
      <c r="T816" s="26"/>
    </row>
    <row r="817" spans="1:20" ht="19.5" x14ac:dyDescent="0.4">
      <c r="A817" s="37">
        <v>816</v>
      </c>
      <c r="B817" s="31">
        <v>242</v>
      </c>
      <c r="C817" s="31">
        <v>265</v>
      </c>
      <c r="D817" s="31">
        <v>4</v>
      </c>
      <c r="E817" s="31">
        <v>1060</v>
      </c>
      <c r="F817" s="38">
        <v>44931</v>
      </c>
      <c r="G817" s="31" t="s">
        <v>27</v>
      </c>
      <c r="H817" s="31">
        <v>415</v>
      </c>
      <c r="I817" s="31" t="str">
        <f>VLOOKUP(продажи!$B817,товар!$A$1:$C$433,2)</f>
        <v>Овощи</v>
      </c>
      <c r="J817" s="31" t="str">
        <f>VLOOKUP(B817,товар!$A$1:$C$433,3)</f>
        <v>Овощной ряд</v>
      </c>
      <c r="K817" s="39">
        <f>AVERAGEIF(продажи!$I$2:$I$1001,продажи!$I$2:$I$1001,продажи!$C$2:$C$1001)</f>
        <v>250.48780487804879</v>
      </c>
      <c r="L817" s="40">
        <f>продажи!$C817/продажи!$K817-1</f>
        <v>5.7935735150924872E-2</v>
      </c>
      <c r="M817" s="33">
        <f t="shared" si="24"/>
        <v>5165</v>
      </c>
      <c r="N817" s="24">
        <f>Таблица1[[#This Row],[цена за шт в рублях]]/Таблица1[[#This Row],[средняя стоимость в категории по поставщику.]]-1</f>
        <v>-0.94869312681510165</v>
      </c>
      <c r="O817" s="26">
        <f>VLOOKUP(Таблица1[[#This Row],[id клиента]],клиенты!$A$2:$E$435,5,0)</f>
        <v>44661</v>
      </c>
      <c r="P817">
        <f>Таблица1[[#This Row],[дата создания чека]]-Таблица1[[#This Row],[Дата регистрации клента]]</f>
        <v>270</v>
      </c>
      <c r="Q817" s="26">
        <f t="shared" ca="1" si="25"/>
        <v>46059</v>
      </c>
      <c r="R817" s="51">
        <f ca="1">(TODAY()-Таблица1[[#This Row],[Дата регистрации клента]])/30</f>
        <v>46.6</v>
      </c>
      <c r="S817" s="63" t="str">
        <f>VLOOKUP(Таблица1[[#This Row],[id клиента]],Таблица8[[id клиента]:[Страна]],7,0)</f>
        <v>Украина</v>
      </c>
      <c r="T817" s="26"/>
    </row>
    <row r="818" spans="1:20" ht="19.5" x14ac:dyDescent="0.4">
      <c r="A818" s="41">
        <v>817</v>
      </c>
      <c r="B818" s="42">
        <v>354</v>
      </c>
      <c r="C818" s="42">
        <v>431</v>
      </c>
      <c r="D818" s="42">
        <v>1</v>
      </c>
      <c r="E818" s="42">
        <v>431</v>
      </c>
      <c r="F818" s="43">
        <v>45419</v>
      </c>
      <c r="G818" s="42" t="s">
        <v>20</v>
      </c>
      <c r="H818" s="42">
        <v>229</v>
      </c>
      <c r="I818" s="42" t="str">
        <f>VLOOKUP(продажи!$B818,товар!$A$1:$C$433,2)</f>
        <v>Чай</v>
      </c>
      <c r="J818" s="42" t="str">
        <f>VLOOKUP(B818,товар!$A$1:$C$433,3)</f>
        <v>Lipton</v>
      </c>
      <c r="K818" s="44">
        <f>AVERAGEIF(продажи!$I$2:$I$1001,продажи!$I$2:$I$1001,продажи!$C$2:$C$1001)</f>
        <v>271.18181818181819</v>
      </c>
      <c r="L818" s="45">
        <f>продажи!$C818/продажи!$K818-1</f>
        <v>0.58933959101575595</v>
      </c>
      <c r="M818" s="33">
        <f t="shared" si="24"/>
        <v>4943</v>
      </c>
      <c r="N818" s="24">
        <f>Таблица1[[#This Row],[цена за шт в рублях]]/Таблица1[[#This Row],[средняя стоимость в категории по поставщику.]]-1</f>
        <v>-0.91280598826623505</v>
      </c>
      <c r="O818" s="26">
        <f>VLOOKUP(Таблица1[[#This Row],[id клиента]],клиенты!$A$2:$E$435,5,0)</f>
        <v>44766</v>
      </c>
      <c r="P818">
        <f>Таблица1[[#This Row],[дата создания чека]]-Таблица1[[#This Row],[Дата регистрации клента]]</f>
        <v>653</v>
      </c>
      <c r="Q818" s="26">
        <f t="shared" ca="1" si="25"/>
        <v>46059</v>
      </c>
      <c r="R818" s="51">
        <f ca="1">(TODAY()-Таблица1[[#This Row],[Дата регистрации клента]])/30</f>
        <v>43.1</v>
      </c>
      <c r="S818" s="63" t="str">
        <f>VLOOKUP(Таблица1[[#This Row],[id клиента]],Таблица8[[id клиента]:[Страна]],7,0)</f>
        <v>Беларусь</v>
      </c>
      <c r="T818" s="26"/>
    </row>
    <row r="819" spans="1:20" ht="19.5" x14ac:dyDescent="0.4">
      <c r="A819" s="37">
        <v>818</v>
      </c>
      <c r="B819" s="31">
        <v>354</v>
      </c>
      <c r="C819" s="31">
        <v>382</v>
      </c>
      <c r="D819" s="31">
        <v>4</v>
      </c>
      <c r="E819" s="31">
        <v>1528</v>
      </c>
      <c r="F819" s="38">
        <v>44939</v>
      </c>
      <c r="G819" s="31" t="s">
        <v>16</v>
      </c>
      <c r="H819" s="31">
        <v>119</v>
      </c>
      <c r="I819" s="31" t="str">
        <f>VLOOKUP(продажи!$B819,товар!$A$1:$C$433,2)</f>
        <v>Чай</v>
      </c>
      <c r="J819" s="31" t="str">
        <f>VLOOKUP(B819,товар!$A$1:$C$433,3)</f>
        <v>Lipton</v>
      </c>
      <c r="K819" s="39">
        <f>AVERAGEIF(продажи!$I$2:$I$1001,продажи!$I$2:$I$1001,продажи!$C$2:$C$1001)</f>
        <v>271.18181818181819</v>
      </c>
      <c r="L819" s="40">
        <f>продажи!$C819/продажи!$K819-1</f>
        <v>0.40864901106268858</v>
      </c>
      <c r="M819" s="33">
        <f t="shared" si="24"/>
        <v>4943</v>
      </c>
      <c r="N819" s="24">
        <f>Таблица1[[#This Row],[цена за шт в рублях]]/Таблица1[[#This Row],[средняя стоимость в категории по поставщику.]]-1</f>
        <v>-0.92271899656079304</v>
      </c>
      <c r="O819" s="26">
        <f>VLOOKUP(Таблица1[[#This Row],[id клиента]],клиенты!$A$2:$E$435,5,0)</f>
        <v>44690</v>
      </c>
      <c r="P819">
        <f>Таблица1[[#This Row],[дата создания чека]]-Таблица1[[#This Row],[Дата регистрации клента]]</f>
        <v>249</v>
      </c>
      <c r="Q819" s="26">
        <f t="shared" ca="1" si="25"/>
        <v>46059</v>
      </c>
      <c r="R819" s="51">
        <f ca="1">(TODAY()-Таблица1[[#This Row],[Дата регистрации клента]])/30</f>
        <v>45.633333333333333</v>
      </c>
      <c r="S819" s="63" t="str">
        <f>VLOOKUP(Таблица1[[#This Row],[id клиента]],Таблица8[[id клиента]:[Страна]],7,0)</f>
        <v>Россия</v>
      </c>
      <c r="T819" s="26"/>
    </row>
    <row r="820" spans="1:20" ht="19.5" x14ac:dyDescent="0.4">
      <c r="A820" s="41">
        <v>819</v>
      </c>
      <c r="B820" s="42">
        <v>245</v>
      </c>
      <c r="C820" s="42">
        <v>281</v>
      </c>
      <c r="D820" s="42">
        <v>1</v>
      </c>
      <c r="E820" s="42">
        <v>281</v>
      </c>
      <c r="F820" s="43">
        <v>45036</v>
      </c>
      <c r="G820" s="42" t="s">
        <v>11</v>
      </c>
      <c r="H820" s="42">
        <v>341</v>
      </c>
      <c r="I820" s="42" t="str">
        <f>VLOOKUP(продажи!$B820,товар!$A$1:$C$433,2)</f>
        <v>Сахар</v>
      </c>
      <c r="J820" s="42" t="str">
        <f>VLOOKUP(B820,товар!$A$1:$C$433,3)</f>
        <v>Продимекс</v>
      </c>
      <c r="K820" s="44">
        <f>AVERAGEIF(продажи!$I$2:$I$1001,продажи!$I$2:$I$1001,продажи!$C$2:$C$1001)</f>
        <v>254.58333333333334</v>
      </c>
      <c r="L820" s="45">
        <f>продажи!$C820/продажи!$K820-1</f>
        <v>0.10376432078559739</v>
      </c>
      <c r="M820" s="33">
        <f t="shared" si="24"/>
        <v>5172</v>
      </c>
      <c r="N820" s="24">
        <f>Таблица1[[#This Row],[цена за шт в рублях]]/Таблица1[[#This Row],[средняя стоимость в категории по поставщику.]]-1</f>
        <v>-0.94566898685228151</v>
      </c>
      <c r="O820" s="26">
        <f>VLOOKUP(Таблица1[[#This Row],[id клиента]],клиенты!$A$2:$E$435,5,0)</f>
        <v>44724</v>
      </c>
      <c r="P820">
        <f>Таблица1[[#This Row],[дата создания чека]]-Таблица1[[#This Row],[Дата регистрации клента]]</f>
        <v>312</v>
      </c>
      <c r="Q820" s="26">
        <f t="shared" ca="1" si="25"/>
        <v>46059</v>
      </c>
      <c r="R820" s="51">
        <f ca="1">(TODAY()-Таблица1[[#This Row],[Дата регистрации клента]])/30</f>
        <v>44.5</v>
      </c>
      <c r="S820" s="63" t="str">
        <f>VLOOKUP(Таблица1[[#This Row],[id клиента]],Таблица8[[id клиента]:[Страна]],7,0)</f>
        <v>Россия</v>
      </c>
      <c r="T820" s="26"/>
    </row>
    <row r="821" spans="1:20" ht="19.5" x14ac:dyDescent="0.4">
      <c r="A821" s="37">
        <v>820</v>
      </c>
      <c r="B821" s="31">
        <v>386</v>
      </c>
      <c r="C821" s="31">
        <v>149</v>
      </c>
      <c r="D821" s="31">
        <v>5</v>
      </c>
      <c r="E821" s="31">
        <v>745</v>
      </c>
      <c r="F821" s="38">
        <v>45103</v>
      </c>
      <c r="G821" s="31" t="s">
        <v>8</v>
      </c>
      <c r="H821" s="31">
        <v>407</v>
      </c>
      <c r="I821" s="31" t="str">
        <f>VLOOKUP(продажи!$B821,товар!$A$1:$C$433,2)</f>
        <v>Крупа</v>
      </c>
      <c r="J821" s="31" t="str">
        <f>VLOOKUP(B821,товар!$A$1:$C$433,3)</f>
        <v>Увелка</v>
      </c>
      <c r="K821" s="39">
        <f>AVERAGEIF(продажи!$I$2:$I$1001,продажи!$I$2:$I$1001,продажи!$C$2:$C$1001)</f>
        <v>255.11627906976744</v>
      </c>
      <c r="L821" s="40">
        <f>продажи!$C821/продажи!$K821-1</f>
        <v>-0.41595259799453055</v>
      </c>
      <c r="M821" s="33">
        <f t="shared" si="24"/>
        <v>3023</v>
      </c>
      <c r="N821" s="24">
        <f>Таблица1[[#This Row],[цена за шт в рублях]]/Таблица1[[#This Row],[средняя стоимость в категории по поставщику.]]-1</f>
        <v>-0.95071121402580216</v>
      </c>
      <c r="O821" s="26">
        <f>VLOOKUP(Таблица1[[#This Row],[id клиента]],клиенты!$A$2:$E$435,5,0)</f>
        <v>44621</v>
      </c>
      <c r="P821">
        <f>Таблица1[[#This Row],[дата создания чека]]-Таблица1[[#This Row],[Дата регистрации клента]]</f>
        <v>482</v>
      </c>
      <c r="Q821" s="26">
        <f t="shared" ca="1" si="25"/>
        <v>46059</v>
      </c>
      <c r="R821" s="51">
        <f ca="1">(TODAY()-Таблица1[[#This Row],[Дата регистрации клента]])/30</f>
        <v>47.93333333333333</v>
      </c>
      <c r="S821" s="63" t="str">
        <f>VLOOKUP(Таблица1[[#This Row],[id клиента]],Таблица8[[id клиента]:[Страна]],7,0)</f>
        <v>Беларусь</v>
      </c>
      <c r="T821" s="26"/>
    </row>
    <row r="822" spans="1:20" ht="19.5" x14ac:dyDescent="0.4">
      <c r="A822" s="41">
        <v>821</v>
      </c>
      <c r="B822" s="42">
        <v>434</v>
      </c>
      <c r="C822" s="42">
        <v>257</v>
      </c>
      <c r="D822" s="42">
        <v>2</v>
      </c>
      <c r="E822" s="42">
        <v>514</v>
      </c>
      <c r="F822" s="43">
        <v>45128</v>
      </c>
      <c r="G822" s="42" t="s">
        <v>10</v>
      </c>
      <c r="H822" s="42">
        <v>264</v>
      </c>
      <c r="I822" s="42" t="str">
        <f>VLOOKUP(продажи!$B822,товар!$A$1:$C$433,2)</f>
        <v>Сыр</v>
      </c>
      <c r="J822" s="42" t="str">
        <f>VLOOKUP(B822,товар!$A$1:$C$433,3)</f>
        <v>Сырная долина</v>
      </c>
      <c r="K822" s="44">
        <f>AVERAGEIF(продажи!$I$2:$I$1001,продажи!$I$2:$I$1001,продажи!$C$2:$C$1001)</f>
        <v>261.03225806451616</v>
      </c>
      <c r="L822" s="45">
        <f>продажи!$C822/продажи!$K822-1</f>
        <v>-1.5447355412753438E-2</v>
      </c>
      <c r="M822" s="33">
        <f t="shared" si="24"/>
        <v>8943</v>
      </c>
      <c r="N822" s="24">
        <f>Таблица1[[#This Row],[цена за шт в рублях]]/Таблица1[[#This Row],[средняя стоимость в категории по поставщику.]]-1</f>
        <v>-0.97126243989712624</v>
      </c>
      <c r="O822" s="26">
        <f>VLOOKUP(Таблица1[[#This Row],[id клиента]],клиенты!$A$2:$E$435,5,0)</f>
        <v>44907</v>
      </c>
      <c r="P822">
        <f>Таблица1[[#This Row],[дата создания чека]]-Таблица1[[#This Row],[Дата регистрации клента]]</f>
        <v>221</v>
      </c>
      <c r="Q822" s="26">
        <f t="shared" ca="1" si="25"/>
        <v>46059</v>
      </c>
      <c r="R822" s="51">
        <f ca="1">(TODAY()-Таблица1[[#This Row],[Дата регистрации клента]])/30</f>
        <v>38.4</v>
      </c>
      <c r="S822" s="63" t="str">
        <f>VLOOKUP(Таблица1[[#This Row],[id клиента]],Таблица8[[id клиента]:[Страна]],7,0)</f>
        <v>Беларусь</v>
      </c>
      <c r="T822" s="26"/>
    </row>
    <row r="823" spans="1:20" ht="19.5" x14ac:dyDescent="0.4">
      <c r="A823" s="37">
        <v>822</v>
      </c>
      <c r="B823" s="31">
        <v>402</v>
      </c>
      <c r="C823" s="31">
        <v>218</v>
      </c>
      <c r="D823" s="31">
        <v>1</v>
      </c>
      <c r="E823" s="31">
        <v>218</v>
      </c>
      <c r="F823" s="38">
        <v>45322</v>
      </c>
      <c r="G823" s="31" t="s">
        <v>14</v>
      </c>
      <c r="H823" s="31">
        <v>91</v>
      </c>
      <c r="I823" s="31" t="str">
        <f>VLOOKUP(продажи!$B823,товар!$A$1:$C$433,2)</f>
        <v>Хлеб</v>
      </c>
      <c r="J823" s="31" t="str">
        <f>VLOOKUP(B823,товар!$A$1:$C$433,3)</f>
        <v>Каравай</v>
      </c>
      <c r="K823" s="39">
        <f>AVERAGEIF(продажи!$I$2:$I$1001,продажи!$I$2:$I$1001,продажи!$C$2:$C$1001)</f>
        <v>300.31818181818181</v>
      </c>
      <c r="L823" s="40">
        <f>продажи!$C823/продажи!$K823-1</f>
        <v>-0.27410322385348873</v>
      </c>
      <c r="M823" s="33">
        <f t="shared" si="24"/>
        <v>3974</v>
      </c>
      <c r="N823" s="24">
        <f>Таблица1[[#This Row],[цена за шт в рублях]]/Таблица1[[#This Row],[средняя стоимость в категории по поставщику.]]-1</f>
        <v>-0.94514343231001507</v>
      </c>
      <c r="O823" s="26">
        <f>VLOOKUP(Таблица1[[#This Row],[id клиента]],клиенты!$A$2:$E$435,5,0)</f>
        <v>44687</v>
      </c>
      <c r="P823">
        <f>Таблица1[[#This Row],[дата создания чека]]-Таблица1[[#This Row],[Дата регистрации клента]]</f>
        <v>635</v>
      </c>
      <c r="Q823" s="26">
        <f t="shared" ca="1" si="25"/>
        <v>46059</v>
      </c>
      <c r="R823" s="51">
        <f ca="1">(TODAY()-Таблица1[[#This Row],[Дата регистрации клента]])/30</f>
        <v>45.733333333333334</v>
      </c>
      <c r="S823" s="63" t="str">
        <f>VLOOKUP(Таблица1[[#This Row],[id клиента]],Таблица8[[id клиента]:[Страна]],7,0)</f>
        <v>Россия</v>
      </c>
      <c r="T823" s="26"/>
    </row>
    <row r="824" spans="1:20" ht="19.5" x14ac:dyDescent="0.4">
      <c r="A824" s="41">
        <v>823</v>
      </c>
      <c r="B824" s="42">
        <v>326</v>
      </c>
      <c r="C824" s="42">
        <v>198</v>
      </c>
      <c r="D824" s="42">
        <v>2</v>
      </c>
      <c r="E824" s="42">
        <v>396</v>
      </c>
      <c r="F824" s="43">
        <v>45396</v>
      </c>
      <c r="G824" s="42" t="s">
        <v>10</v>
      </c>
      <c r="H824" s="42">
        <v>362</v>
      </c>
      <c r="I824" s="42" t="str">
        <f>VLOOKUP(продажи!$B824,товар!$A$1:$C$433,2)</f>
        <v>Крупа</v>
      </c>
      <c r="J824" s="42" t="str">
        <f>VLOOKUP(B824,товар!$A$1:$C$433,3)</f>
        <v>Увелка</v>
      </c>
      <c r="K824" s="44">
        <f>AVERAGEIF(продажи!$I$2:$I$1001,продажи!$I$2:$I$1001,продажи!$C$2:$C$1001)</f>
        <v>255.11627906976744</v>
      </c>
      <c r="L824" s="45">
        <f>продажи!$C824/продажи!$K824-1</f>
        <v>-0.22388331814038287</v>
      </c>
      <c r="M824" s="33">
        <f t="shared" si="24"/>
        <v>3023</v>
      </c>
      <c r="N824" s="24">
        <f>Таблица1[[#This Row],[цена за шт в рублях]]/Таблица1[[#This Row],[средняя стоимость в категории по поставщику.]]-1</f>
        <v>-0.9345021501819385</v>
      </c>
      <c r="O824" s="26">
        <f>VLOOKUP(Таблица1[[#This Row],[id клиента]],клиенты!$A$2:$E$435,5,0)</f>
        <v>44916</v>
      </c>
      <c r="P824">
        <f>Таблица1[[#This Row],[дата создания чека]]-Таблица1[[#This Row],[Дата регистрации клента]]</f>
        <v>480</v>
      </c>
      <c r="Q824" s="26">
        <f t="shared" ca="1" si="25"/>
        <v>46059</v>
      </c>
      <c r="R824" s="51">
        <f ca="1">(TODAY()-Таблица1[[#This Row],[Дата регистрации клента]])/30</f>
        <v>38.1</v>
      </c>
      <c r="S824" s="63" t="str">
        <f>VLOOKUP(Таблица1[[#This Row],[id клиента]],Таблица8[[id клиента]:[Страна]],7,0)</f>
        <v>Россия</v>
      </c>
      <c r="T824" s="26"/>
    </row>
    <row r="825" spans="1:20" ht="19.5" x14ac:dyDescent="0.4">
      <c r="A825" s="37">
        <v>824</v>
      </c>
      <c r="B825" s="31">
        <v>491</v>
      </c>
      <c r="C825" s="31">
        <v>111</v>
      </c>
      <c r="D825" s="31">
        <v>4</v>
      </c>
      <c r="E825" s="31">
        <v>444</v>
      </c>
      <c r="F825" s="38">
        <v>45145</v>
      </c>
      <c r="G825" s="31" t="s">
        <v>9</v>
      </c>
      <c r="H825" s="31">
        <v>473</v>
      </c>
      <c r="I825" s="31" t="str">
        <f>VLOOKUP(продажи!$B825,товар!$A$1:$C$433,2)</f>
        <v>Овощи</v>
      </c>
      <c r="J825" s="31" t="str">
        <f>VLOOKUP(B825,товар!$A$1:$C$433,3)</f>
        <v>Зеленая грядка</v>
      </c>
      <c r="K825" s="39">
        <f>AVERAGEIF(продажи!$I$2:$I$1001,продажи!$I$2:$I$1001,продажи!$C$2:$C$1001)</f>
        <v>250.48780487804879</v>
      </c>
      <c r="L825" s="40">
        <f>продажи!$C825/продажи!$K825-1</f>
        <v>-0.5568646543330088</v>
      </c>
      <c r="M825" s="33">
        <f t="shared" si="24"/>
        <v>796</v>
      </c>
      <c r="N825" s="24">
        <f>Таблица1[[#This Row],[цена за шт в рублях]]/Таблица1[[#This Row],[средняя стоимость в категории по поставщику.]]-1</f>
        <v>-0.86055276381909551</v>
      </c>
      <c r="O825" s="26">
        <f>VLOOKUP(Таблица1[[#This Row],[id клиента]],клиенты!$A$2:$E$435,5,0)</f>
        <v>44799</v>
      </c>
      <c r="P825">
        <f>Таблица1[[#This Row],[дата создания чека]]-Таблица1[[#This Row],[Дата регистрации клента]]</f>
        <v>346</v>
      </c>
      <c r="Q825" s="26">
        <f t="shared" ca="1" si="25"/>
        <v>46059</v>
      </c>
      <c r="R825" s="51">
        <f ca="1">(TODAY()-Таблица1[[#This Row],[Дата регистрации клента]])/30</f>
        <v>42</v>
      </c>
      <c r="S825" s="63" t="str">
        <f>VLOOKUP(Таблица1[[#This Row],[id клиента]],Таблица8[[id клиента]:[Страна]],7,0)</f>
        <v>Россия</v>
      </c>
      <c r="T825" s="26"/>
    </row>
    <row r="826" spans="1:20" ht="19.5" x14ac:dyDescent="0.4">
      <c r="A826" s="41">
        <v>825</v>
      </c>
      <c r="B826" s="42">
        <v>240</v>
      </c>
      <c r="C826" s="42">
        <v>306</v>
      </c>
      <c r="D826" s="42">
        <v>5</v>
      </c>
      <c r="E826" s="42">
        <v>1530</v>
      </c>
      <c r="F826" s="43">
        <v>45319</v>
      </c>
      <c r="G826" s="42" t="s">
        <v>27</v>
      </c>
      <c r="H826" s="42">
        <v>482</v>
      </c>
      <c r="I826" s="42" t="str">
        <f>VLOOKUP(продажи!$B826,товар!$A$1:$C$433,2)</f>
        <v>Макароны</v>
      </c>
      <c r="J826" s="42" t="str">
        <f>VLOOKUP(B826,товар!$A$1:$C$433,3)</f>
        <v>Борилла</v>
      </c>
      <c r="K826" s="44">
        <f>AVERAGEIF(продажи!$I$2:$I$1001,продажи!$I$2:$I$1001,продажи!$C$2:$C$1001)</f>
        <v>265.47674418604652</v>
      </c>
      <c r="L826" s="45">
        <f>продажи!$C826/продажи!$K826-1</f>
        <v>0.15264333581533873</v>
      </c>
      <c r="M826" s="33">
        <f t="shared" si="24"/>
        <v>6852</v>
      </c>
      <c r="N826" s="24">
        <f>Таблица1[[#This Row],[цена за шт в рублях]]/Таблица1[[#This Row],[средняя стоимость в категории по поставщику.]]-1</f>
        <v>-0.95534150612959723</v>
      </c>
      <c r="O826" s="26">
        <f>VLOOKUP(Таблица1[[#This Row],[id клиента]],клиенты!$A$2:$E$435,5,0)</f>
        <v>44679</v>
      </c>
      <c r="P826">
        <f>Таблица1[[#This Row],[дата создания чека]]-Таблица1[[#This Row],[Дата регистрации клента]]</f>
        <v>640</v>
      </c>
      <c r="Q826" s="26">
        <f t="shared" ca="1" si="25"/>
        <v>46059</v>
      </c>
      <c r="R826" s="51">
        <f ca="1">(TODAY()-Таблица1[[#This Row],[Дата регистрации клента]])/30</f>
        <v>46</v>
      </c>
      <c r="S826" s="63" t="str">
        <f>VLOOKUP(Таблица1[[#This Row],[id клиента]],Таблица8[[id клиента]:[Страна]],7,0)</f>
        <v>Украина</v>
      </c>
      <c r="T826" s="26"/>
    </row>
    <row r="827" spans="1:20" ht="19.5" x14ac:dyDescent="0.4">
      <c r="A827" s="37">
        <v>826</v>
      </c>
      <c r="B827" s="31">
        <v>352</v>
      </c>
      <c r="C827" s="31">
        <v>391</v>
      </c>
      <c r="D827" s="31">
        <v>1</v>
      </c>
      <c r="E827" s="31">
        <v>391</v>
      </c>
      <c r="F827" s="38">
        <v>45099</v>
      </c>
      <c r="G827" s="31" t="s">
        <v>20</v>
      </c>
      <c r="H827" s="31">
        <v>367</v>
      </c>
      <c r="I827" s="31" t="str">
        <f>VLOOKUP(продажи!$B827,товар!$A$1:$C$433,2)</f>
        <v>Йогурт</v>
      </c>
      <c r="J827" s="31" t="str">
        <f>VLOOKUP(B827,товар!$A$1:$C$433,3)</f>
        <v>Эрманн</v>
      </c>
      <c r="K827" s="39">
        <f>AVERAGEIF(продажи!$I$2:$I$1001,продажи!$I$2:$I$1001,продажи!$C$2:$C$1001)</f>
        <v>263.25423728813558</v>
      </c>
      <c r="L827" s="40">
        <f>продажи!$C827/продажи!$K827-1</f>
        <v>0.48525624517125943</v>
      </c>
      <c r="M827" s="33">
        <f t="shared" si="24"/>
        <v>4970</v>
      </c>
      <c r="N827" s="24">
        <f>Таблица1[[#This Row],[цена за шт в рублях]]/Таблица1[[#This Row],[средняя стоимость в категории по поставщику.]]-1</f>
        <v>-0.92132796780684101</v>
      </c>
      <c r="O827" s="26">
        <f>VLOOKUP(Таблица1[[#This Row],[id клиента]],клиенты!$A$2:$E$435,5,0)</f>
        <v>44867</v>
      </c>
      <c r="P827">
        <f>Таблица1[[#This Row],[дата создания чека]]-Таблица1[[#This Row],[Дата регистрации клента]]</f>
        <v>232</v>
      </c>
      <c r="Q827" s="26">
        <f t="shared" ca="1" si="25"/>
        <v>46059</v>
      </c>
      <c r="R827" s="51">
        <f ca="1">(TODAY()-Таблица1[[#This Row],[Дата регистрации клента]])/30</f>
        <v>39.733333333333334</v>
      </c>
      <c r="S827" s="63" t="str">
        <f>VLOOKUP(Таблица1[[#This Row],[id клиента]],Таблица8[[id клиента]:[Страна]],7,0)</f>
        <v>Таджикистан</v>
      </c>
      <c r="T827" s="26"/>
    </row>
    <row r="828" spans="1:20" ht="19.5" x14ac:dyDescent="0.4">
      <c r="A828" s="41">
        <v>827</v>
      </c>
      <c r="B828" s="42">
        <v>305</v>
      </c>
      <c r="C828" s="42">
        <v>252</v>
      </c>
      <c r="D828" s="42">
        <v>1</v>
      </c>
      <c r="E828" s="42">
        <v>252</v>
      </c>
      <c r="F828" s="43">
        <v>45413</v>
      </c>
      <c r="G828" s="42" t="s">
        <v>18</v>
      </c>
      <c r="H828" s="42">
        <v>172</v>
      </c>
      <c r="I828" s="42" t="str">
        <f>VLOOKUP(продажи!$B828,товар!$A$1:$C$433,2)</f>
        <v>Печенье</v>
      </c>
      <c r="J828" s="42" t="str">
        <f>VLOOKUP(B828,товар!$A$1:$C$433,3)</f>
        <v>Посиделкино</v>
      </c>
      <c r="K828" s="44">
        <f>AVERAGEIF(продажи!$I$2:$I$1001,продажи!$I$2:$I$1001,продажи!$C$2:$C$1001)</f>
        <v>283.468085106383</v>
      </c>
      <c r="L828" s="45">
        <f>продажи!$C828/продажи!$K828-1</f>
        <v>-0.11101103355100206</v>
      </c>
      <c r="M828" s="33">
        <f t="shared" si="24"/>
        <v>3538</v>
      </c>
      <c r="N828" s="24">
        <f>Таблица1[[#This Row],[цена за шт в рублях]]/Таблица1[[#This Row],[средняя стоимость в категории по поставщику.]]-1</f>
        <v>-0.9287733182589033</v>
      </c>
      <c r="O828" s="26">
        <f>VLOOKUP(Таблица1[[#This Row],[id клиента]],клиенты!$A$2:$E$435,5,0)</f>
        <v>44737</v>
      </c>
      <c r="P828">
        <f>Таблица1[[#This Row],[дата создания чека]]-Таблица1[[#This Row],[Дата регистрации клента]]</f>
        <v>676</v>
      </c>
      <c r="Q828" s="26">
        <f t="shared" ca="1" si="25"/>
        <v>46059</v>
      </c>
      <c r="R828" s="51">
        <f ca="1">(TODAY()-Таблица1[[#This Row],[Дата регистрации клента]])/30</f>
        <v>44.06666666666667</v>
      </c>
      <c r="S828" s="63" t="str">
        <f>VLOOKUP(Таблица1[[#This Row],[id клиента]],Таблица8[[id клиента]:[Страна]],7,0)</f>
        <v>Россия</v>
      </c>
      <c r="T828" s="26"/>
    </row>
    <row r="829" spans="1:20" ht="19.5" x14ac:dyDescent="0.4">
      <c r="A829" s="37">
        <v>828</v>
      </c>
      <c r="B829" s="31">
        <v>269</v>
      </c>
      <c r="C829" s="31">
        <v>398</v>
      </c>
      <c r="D829" s="31">
        <v>4</v>
      </c>
      <c r="E829" s="31">
        <v>1592</v>
      </c>
      <c r="F829" s="38">
        <v>45051</v>
      </c>
      <c r="G829" s="31" t="s">
        <v>23</v>
      </c>
      <c r="H829" s="31">
        <v>466</v>
      </c>
      <c r="I829" s="31" t="str">
        <f>VLOOKUP(продажи!$B829,товар!$A$1:$C$433,2)</f>
        <v>Сахар</v>
      </c>
      <c r="J829" s="31" t="str">
        <f>VLOOKUP(B829,товар!$A$1:$C$433,3)</f>
        <v>Русский сахар</v>
      </c>
      <c r="K829" s="39">
        <f>AVERAGEIF(продажи!$I$2:$I$1001,продажи!$I$2:$I$1001,продажи!$C$2:$C$1001)</f>
        <v>254.58333333333334</v>
      </c>
      <c r="L829" s="40">
        <f>продажи!$C829/продажи!$K829-1</f>
        <v>0.56333878887070377</v>
      </c>
      <c r="M829" s="33">
        <f t="shared" si="24"/>
        <v>4988</v>
      </c>
      <c r="N829" s="24">
        <f>Таблица1[[#This Row],[цена за шт в рублях]]/Таблица1[[#This Row],[средняя стоимость в категории по поставщику.]]-1</f>
        <v>-0.92020850040096236</v>
      </c>
      <c r="O829" s="26">
        <f>VLOOKUP(Таблица1[[#This Row],[id клиента]],клиенты!$A$2:$E$435,5,0)</f>
        <v>44772</v>
      </c>
      <c r="P829">
        <f>Таблица1[[#This Row],[дата создания чека]]-Таблица1[[#This Row],[Дата регистрации клента]]</f>
        <v>279</v>
      </c>
      <c r="Q829" s="26">
        <f t="shared" ca="1" si="25"/>
        <v>46059</v>
      </c>
      <c r="R829" s="51">
        <f ca="1">(TODAY()-Таблица1[[#This Row],[Дата регистрации клента]])/30</f>
        <v>42.9</v>
      </c>
      <c r="S829" s="63" t="str">
        <f>VLOOKUP(Таблица1[[#This Row],[id клиента]],Таблица8[[id клиента]:[Страна]],7,0)</f>
        <v>Беларусь</v>
      </c>
      <c r="T829" s="26"/>
    </row>
    <row r="830" spans="1:20" ht="19.5" x14ac:dyDescent="0.4">
      <c r="A830" s="41">
        <v>829</v>
      </c>
      <c r="B830" s="42">
        <v>380</v>
      </c>
      <c r="C830" s="42">
        <v>100</v>
      </c>
      <c r="D830" s="42">
        <v>2</v>
      </c>
      <c r="E830" s="42">
        <v>200</v>
      </c>
      <c r="F830" s="43">
        <v>45082</v>
      </c>
      <c r="G830" s="42" t="s">
        <v>17</v>
      </c>
      <c r="H830" s="42">
        <v>57</v>
      </c>
      <c r="I830" s="42" t="str">
        <f>VLOOKUP(продажи!$B830,товар!$A$1:$C$433,2)</f>
        <v>Конфеты</v>
      </c>
      <c r="J830" s="42" t="str">
        <f>VLOOKUP(B830,товар!$A$1:$C$433,3)</f>
        <v>Бабаевский</v>
      </c>
      <c r="K830" s="44">
        <f>AVERAGEIF(продажи!$I$2:$I$1001,продажи!$I$2:$I$1001,продажи!$C$2:$C$1001)</f>
        <v>267.85483870967744</v>
      </c>
      <c r="L830" s="45">
        <f>продажи!$C830/продажи!$K830-1</f>
        <v>-0.62666345516950683</v>
      </c>
      <c r="M830" s="33">
        <f t="shared" si="24"/>
        <v>6757</v>
      </c>
      <c r="N830" s="24">
        <f>Таблица1[[#This Row],[цена за шт в рублях]]/Таблица1[[#This Row],[средняя стоимость в категории по поставщику.]]-1</f>
        <v>-0.98520053278081987</v>
      </c>
      <c r="O830" s="26">
        <f>VLOOKUP(Таблица1[[#This Row],[id клиента]],клиенты!$A$2:$E$435,5,0)</f>
        <v>44669</v>
      </c>
      <c r="P830">
        <f>Таблица1[[#This Row],[дата создания чека]]-Таблица1[[#This Row],[Дата регистрации клента]]</f>
        <v>413</v>
      </c>
      <c r="Q830" s="26">
        <f t="shared" ca="1" si="25"/>
        <v>46059</v>
      </c>
      <c r="R830" s="51">
        <f ca="1">(TODAY()-Таблица1[[#This Row],[Дата регистрации клента]])/30</f>
        <v>46.333333333333336</v>
      </c>
      <c r="S830" s="63" t="str">
        <f>VLOOKUP(Таблица1[[#This Row],[id клиента]],Таблица8[[id клиента]:[Страна]],7,0)</f>
        <v>Россия</v>
      </c>
      <c r="T830" s="26"/>
    </row>
    <row r="831" spans="1:20" ht="19.5" x14ac:dyDescent="0.4">
      <c r="A831" s="37">
        <v>394</v>
      </c>
      <c r="B831" s="31">
        <v>206</v>
      </c>
      <c r="C831" s="31">
        <v>226</v>
      </c>
      <c r="D831" s="31">
        <v>2</v>
      </c>
      <c r="E831" s="31">
        <v>452</v>
      </c>
      <c r="F831" s="57">
        <v>45264</v>
      </c>
      <c r="G831" s="31" t="s">
        <v>15</v>
      </c>
      <c r="H831" s="55">
        <v>357</v>
      </c>
      <c r="I831" s="31" t="str">
        <f>VLOOKUP(продажи!$B395,товар!$A$1:$C$433,2)</f>
        <v>Молоко</v>
      </c>
      <c r="J831" s="31" t="str">
        <f>VLOOKUP(B831,товар!$A$1:$C$433,3)</f>
        <v>Домик в деревне</v>
      </c>
      <c r="K831" s="39">
        <f>AVERAGEIF(продажи!$I$2:$I$1001,продажи!$I$2:$I$1001,продажи!$C$2:$C$1001)</f>
        <v>294.95238095238096</v>
      </c>
      <c r="L831" s="40">
        <f>продажи!$C395/продажи!$K395-1</f>
        <v>0.16968033580884723</v>
      </c>
      <c r="M831" s="53">
        <f t="shared" si="24"/>
        <v>4946</v>
      </c>
      <c r="N831" s="24">
        <f>Таблица1[[#This Row],[цена за шт в рублях]]/Таблица1[[#This Row],[средняя стоимость в категории по поставщику.]]-1</f>
        <v>-0.95430651031136271</v>
      </c>
      <c r="O831" s="26">
        <f>VLOOKUP(Таблица1[[#This Row],[id клиента]],клиенты!$A$2:$E$435,5,0)</f>
        <v>44913</v>
      </c>
      <c r="P831">
        <f>Таблица1[[#This Row],[дата создания чека]]-Таблица1[[#This Row],[Дата регистрации клента]]</f>
        <v>351</v>
      </c>
      <c r="Q831" s="26">
        <f t="shared" ca="1" si="25"/>
        <v>46059</v>
      </c>
      <c r="R831" s="51">
        <f ca="1">(TODAY()-Таблица1[[#This Row],[Дата регистрации клента]])/30</f>
        <v>38.200000000000003</v>
      </c>
      <c r="S831" s="63" t="str">
        <f>VLOOKUP(Таблица1[[#This Row],[id клиента]],Таблица8[[id клиента]:[Страна]],7,0)</f>
        <v>Узбекистан</v>
      </c>
      <c r="T831" s="26"/>
    </row>
    <row r="832" spans="1:20" ht="19.5" x14ac:dyDescent="0.4">
      <c r="A832" s="41">
        <v>831</v>
      </c>
      <c r="B832" s="42">
        <v>183</v>
      </c>
      <c r="C832" s="42">
        <v>286</v>
      </c>
      <c r="D832" s="42">
        <v>2</v>
      </c>
      <c r="E832" s="42">
        <v>572</v>
      </c>
      <c r="F832" s="43">
        <v>44983</v>
      </c>
      <c r="G832" s="42" t="s">
        <v>22</v>
      </c>
      <c r="H832" s="42">
        <v>11</v>
      </c>
      <c r="I832" s="42" t="str">
        <f>VLOOKUP(продажи!$B832,товар!$A$1:$C$433,2)</f>
        <v>Конфеты</v>
      </c>
      <c r="J832" s="42" t="str">
        <f>VLOOKUP(B832,товар!$A$1:$C$433,3)</f>
        <v>Бабаевский</v>
      </c>
      <c r="K832" s="44">
        <f>AVERAGEIF(продажи!$I$2:$I$1001,продажи!$I$2:$I$1001,продажи!$C$2:$C$1001)</f>
        <v>267.85483870967744</v>
      </c>
      <c r="L832" s="45">
        <f>продажи!$C832/продажи!$K832-1</f>
        <v>6.774251821521049E-2</v>
      </c>
      <c r="M832" s="33">
        <f t="shared" si="24"/>
        <v>6757</v>
      </c>
      <c r="N832" s="24">
        <f>Таблица1[[#This Row],[цена за шт в рублях]]/Таблица1[[#This Row],[средняя стоимость в категории по поставщику.]]-1</f>
        <v>-0.95767352375314485</v>
      </c>
      <c r="O832" s="26">
        <f>VLOOKUP(Таблица1[[#This Row],[id клиента]],клиенты!$A$2:$E$435,5,0)</f>
        <v>44690</v>
      </c>
      <c r="P832">
        <f>Таблица1[[#This Row],[дата создания чека]]-Таблица1[[#This Row],[Дата регистрации клента]]</f>
        <v>293</v>
      </c>
      <c r="Q832" s="26">
        <f t="shared" ca="1" si="25"/>
        <v>46059</v>
      </c>
      <c r="R832" s="51">
        <f ca="1">(TODAY()-Таблица1[[#This Row],[Дата регистрации клента]])/30</f>
        <v>45.633333333333333</v>
      </c>
      <c r="S832" s="63" t="str">
        <f>VLOOKUP(Таблица1[[#This Row],[id клиента]],Таблица8[[id клиента]:[Страна]],7,0)</f>
        <v>Таджикистан</v>
      </c>
      <c r="T832" s="26"/>
    </row>
    <row r="833" spans="1:20" ht="19.5" x14ac:dyDescent="0.4">
      <c r="A833" s="37">
        <v>832</v>
      </c>
      <c r="B833" s="31">
        <v>65</v>
      </c>
      <c r="C833" s="31">
        <v>201</v>
      </c>
      <c r="D833" s="31">
        <v>2</v>
      </c>
      <c r="E833" s="31">
        <v>402</v>
      </c>
      <c r="F833" s="38">
        <v>45296</v>
      </c>
      <c r="G833" s="31" t="s">
        <v>9</v>
      </c>
      <c r="H833" s="31">
        <v>125</v>
      </c>
      <c r="I833" s="31" t="str">
        <f>VLOOKUP(продажи!$B833,товар!$A$1:$C$433,2)</f>
        <v>Хлеб</v>
      </c>
      <c r="J833" s="31" t="str">
        <f>VLOOKUP(B833,товар!$A$1:$C$433,3)</f>
        <v>Хлебный Дом</v>
      </c>
      <c r="K833" s="39">
        <f>AVERAGEIF(продажи!$I$2:$I$1001,продажи!$I$2:$I$1001,продажи!$C$2:$C$1001)</f>
        <v>300.31818181818181</v>
      </c>
      <c r="L833" s="40">
        <f>продажи!$C833/продажи!$K833-1</f>
        <v>-0.33070985318601487</v>
      </c>
      <c r="M833" s="33">
        <f t="shared" si="24"/>
        <v>4226</v>
      </c>
      <c r="N833" s="24">
        <f>Таблица1[[#This Row],[цена за шт в рублях]]/Таблица1[[#This Row],[средняя стоимость в категории по поставщику.]]-1</f>
        <v>-0.95243729294841462</v>
      </c>
      <c r="O833" s="26">
        <f>VLOOKUP(Таблица1[[#This Row],[id клиента]],клиенты!$A$2:$E$435,5,0)</f>
        <v>44701</v>
      </c>
      <c r="P833">
        <f>Таблица1[[#This Row],[дата создания чека]]-Таблица1[[#This Row],[Дата регистрации клента]]</f>
        <v>595</v>
      </c>
      <c r="Q833" s="26">
        <f t="shared" ca="1" si="25"/>
        <v>46059</v>
      </c>
      <c r="R833" s="51">
        <f ca="1">(TODAY()-Таблица1[[#This Row],[Дата регистрации клента]])/30</f>
        <v>45.266666666666666</v>
      </c>
      <c r="S833" s="63" t="str">
        <f>VLOOKUP(Таблица1[[#This Row],[id клиента]],Таблица8[[id клиента]:[Страна]],7,0)</f>
        <v>Россия</v>
      </c>
      <c r="T833" s="26"/>
    </row>
    <row r="834" spans="1:20" ht="19.5" x14ac:dyDescent="0.4">
      <c r="A834" s="41">
        <v>833</v>
      </c>
      <c r="B834" s="42">
        <v>425</v>
      </c>
      <c r="C834" s="42">
        <v>258</v>
      </c>
      <c r="D834" s="42">
        <v>4</v>
      </c>
      <c r="E834" s="42">
        <v>1032</v>
      </c>
      <c r="F834" s="43">
        <v>45128</v>
      </c>
      <c r="G834" s="42" t="s">
        <v>23</v>
      </c>
      <c r="H834" s="42">
        <v>72</v>
      </c>
      <c r="I834" s="42" t="str">
        <f>VLOOKUP(продажи!$B834,товар!$A$1:$C$433,2)</f>
        <v>Соль</v>
      </c>
      <c r="J834" s="42" t="str">
        <f>VLOOKUP(B834,товар!$A$1:$C$433,3)</f>
        <v>Экстра</v>
      </c>
      <c r="K834" s="44">
        <f>AVERAGEIF(продажи!$I$2:$I$1001,продажи!$I$2:$I$1001,продажи!$C$2:$C$1001)</f>
        <v>264.8679245283019</v>
      </c>
      <c r="L834" s="45">
        <f>продажи!$C834/продажи!$K834-1</f>
        <v>-2.5929619603932252E-2</v>
      </c>
      <c r="M834" s="33">
        <f t="shared" ref="M834:M897" si="26">SUMIFS($C$2:$C$1001,$I$2:$I$1001,I834,$J$2:$J$1001,J834)</f>
        <v>4171</v>
      </c>
      <c r="N834" s="24">
        <f>Таблица1[[#This Row],[цена за шт в рублях]]/Таблица1[[#This Row],[средняя стоимость в категории по поставщику.]]-1</f>
        <v>-0.93814432989690721</v>
      </c>
      <c r="O834" s="26">
        <f>VLOOKUP(Таблица1[[#This Row],[id клиента]],клиенты!$A$2:$E$435,5,0)</f>
        <v>44906</v>
      </c>
      <c r="P834">
        <f>Таблица1[[#This Row],[дата создания чека]]-Таблица1[[#This Row],[Дата регистрации клента]]</f>
        <v>222</v>
      </c>
      <c r="Q834" s="26">
        <f t="shared" ref="Q834:Q897" ca="1" si="27">TODAY()</f>
        <v>46059</v>
      </c>
      <c r="R834" s="51">
        <f ca="1">(TODAY()-Таблица1[[#This Row],[Дата регистрации клента]])/30</f>
        <v>38.43333333333333</v>
      </c>
      <c r="S834" s="63" t="str">
        <f>VLOOKUP(Таблица1[[#This Row],[id клиента]],Таблица8[[id клиента]:[Страна]],7,0)</f>
        <v>Таджикистан</v>
      </c>
      <c r="T834" s="26"/>
    </row>
    <row r="835" spans="1:20" ht="19.5" x14ac:dyDescent="0.4">
      <c r="A835" s="37">
        <v>834</v>
      </c>
      <c r="B835" s="31">
        <v>230</v>
      </c>
      <c r="C835" s="31">
        <v>179</v>
      </c>
      <c r="D835" s="31">
        <v>4</v>
      </c>
      <c r="E835" s="31">
        <v>716</v>
      </c>
      <c r="F835" s="38">
        <v>45395</v>
      </c>
      <c r="G835" s="31" t="s">
        <v>27</v>
      </c>
      <c r="H835" s="31">
        <v>68</v>
      </c>
      <c r="I835" s="31" t="str">
        <f>VLOOKUP(продажи!$B835,товар!$A$1:$C$433,2)</f>
        <v>Сок</v>
      </c>
      <c r="J835" s="31" t="str">
        <f>VLOOKUP(B835,товар!$A$1:$C$433,3)</f>
        <v>Фруктовый сад</v>
      </c>
      <c r="K835" s="39">
        <f>AVERAGEIF(продажи!$I$2:$I$1001,продажи!$I$2:$I$1001,продажи!$C$2:$C$1001)</f>
        <v>268.60344827586209</v>
      </c>
      <c r="L835" s="40">
        <f>продажи!$C835/продажи!$K835-1</f>
        <v>-0.33359008922267164</v>
      </c>
      <c r="M835" s="33">
        <f t="shared" si="26"/>
        <v>9023</v>
      </c>
      <c r="N835" s="24">
        <f>Таблица1[[#This Row],[цена за шт в рублях]]/Таблица1[[#This Row],[средняя стоимость в категории по поставщику.]]-1</f>
        <v>-0.98016180871107172</v>
      </c>
      <c r="O835" s="26">
        <f>VLOOKUP(Таблица1[[#This Row],[id клиента]],клиенты!$A$2:$E$435,5,0)</f>
        <v>44882</v>
      </c>
      <c r="P835">
        <f>Таблица1[[#This Row],[дата создания чека]]-Таблица1[[#This Row],[Дата регистрации клента]]</f>
        <v>513</v>
      </c>
      <c r="Q835" s="26">
        <f t="shared" ca="1" si="27"/>
        <v>46059</v>
      </c>
      <c r="R835" s="51">
        <f ca="1">(TODAY()-Таблица1[[#This Row],[Дата регистрации клента]])/30</f>
        <v>39.233333333333334</v>
      </c>
      <c r="S835" s="63" t="str">
        <f>VLOOKUP(Таблица1[[#This Row],[id клиента]],Таблица8[[id клиента]:[Страна]],7,0)</f>
        <v>Узбекистан</v>
      </c>
      <c r="T835" s="26"/>
    </row>
    <row r="836" spans="1:20" ht="19.5" x14ac:dyDescent="0.4">
      <c r="A836" s="41">
        <v>835</v>
      </c>
      <c r="B836" s="42">
        <v>497</v>
      </c>
      <c r="C836" s="42">
        <v>113</v>
      </c>
      <c r="D836" s="42">
        <v>2</v>
      </c>
      <c r="E836" s="42">
        <v>226</v>
      </c>
      <c r="F836" s="43">
        <v>45243</v>
      </c>
      <c r="G836" s="42" t="s">
        <v>25</v>
      </c>
      <c r="H836" s="42">
        <v>219</v>
      </c>
      <c r="I836" s="42" t="str">
        <f>VLOOKUP(продажи!$B836,товар!$A$1:$C$433,2)</f>
        <v>Конфеты</v>
      </c>
      <c r="J836" s="42" t="str">
        <f>VLOOKUP(B836,товар!$A$1:$C$433,3)</f>
        <v>Бабаевский</v>
      </c>
      <c r="K836" s="44">
        <f>AVERAGEIF(продажи!$I$2:$I$1001,продажи!$I$2:$I$1001,продажи!$C$2:$C$1001)</f>
        <v>267.85483870967744</v>
      </c>
      <c r="L836" s="45">
        <f>продажи!$C836/продажи!$K836-1</f>
        <v>-0.57812970434154276</v>
      </c>
      <c r="M836" s="33">
        <f t="shared" si="26"/>
        <v>6757</v>
      </c>
      <c r="N836" s="24">
        <f>Таблица1[[#This Row],[цена за шт в рублях]]/Таблица1[[#This Row],[средняя стоимость в категории по поставщику.]]-1</f>
        <v>-0.98327660204232648</v>
      </c>
      <c r="O836" s="26">
        <f>VLOOKUP(Таблица1[[#This Row],[id клиента]],клиенты!$A$2:$E$435,5,0)</f>
        <v>44585</v>
      </c>
      <c r="P836">
        <f>Таблица1[[#This Row],[дата создания чека]]-Таблица1[[#This Row],[Дата регистрации клента]]</f>
        <v>658</v>
      </c>
      <c r="Q836" s="26">
        <f t="shared" ca="1" si="27"/>
        <v>46059</v>
      </c>
      <c r="R836" s="51">
        <f ca="1">(TODAY()-Таблица1[[#This Row],[Дата регистрации клента]])/30</f>
        <v>49.133333333333333</v>
      </c>
      <c r="S836" s="63" t="str">
        <f>VLOOKUP(Таблица1[[#This Row],[id клиента]],Таблица8[[id клиента]:[Страна]],7,0)</f>
        <v>Таджикистан</v>
      </c>
      <c r="T836" s="26"/>
    </row>
    <row r="837" spans="1:20" ht="19.5" x14ac:dyDescent="0.4">
      <c r="A837" s="37">
        <v>836</v>
      </c>
      <c r="B837" s="31">
        <v>82</v>
      </c>
      <c r="C837" s="31">
        <v>73</v>
      </c>
      <c r="D837" s="31">
        <v>1</v>
      </c>
      <c r="E837" s="31">
        <v>73</v>
      </c>
      <c r="F837" s="38">
        <v>45159</v>
      </c>
      <c r="G837" s="31" t="s">
        <v>16</v>
      </c>
      <c r="H837" s="31">
        <v>218</v>
      </c>
      <c r="I837" s="31" t="str">
        <f>VLOOKUP(продажи!$B837,товар!$A$1:$C$433,2)</f>
        <v>Сыр</v>
      </c>
      <c r="J837" s="31" t="str">
        <f>VLOOKUP(B837,товар!$A$1:$C$433,3)</f>
        <v>Hochland</v>
      </c>
      <c r="K837" s="39">
        <f>AVERAGEIF(продажи!$I$2:$I$1001,продажи!$I$2:$I$1001,продажи!$C$2:$C$1001)</f>
        <v>261.03225806451616</v>
      </c>
      <c r="L837" s="40">
        <f>продажи!$C837/продажи!$K837-1</f>
        <v>-0.72034107760751365</v>
      </c>
      <c r="M837" s="33">
        <f t="shared" si="26"/>
        <v>504</v>
      </c>
      <c r="N837" s="24">
        <f>Таблица1[[#This Row],[цена за шт в рублях]]/Таблица1[[#This Row],[средняя стоимость в категории по поставщику.]]-1</f>
        <v>-0.85515873015873012</v>
      </c>
      <c r="O837" s="26">
        <f>VLOOKUP(Таблица1[[#This Row],[id клиента]],клиенты!$A$2:$E$435,5,0)</f>
        <v>44721</v>
      </c>
      <c r="P837">
        <f>Таблица1[[#This Row],[дата создания чека]]-Таблица1[[#This Row],[Дата регистрации клента]]</f>
        <v>438</v>
      </c>
      <c r="Q837" s="26">
        <f t="shared" ca="1" si="27"/>
        <v>46059</v>
      </c>
      <c r="R837" s="51">
        <f ca="1">(TODAY()-Таблица1[[#This Row],[Дата регистрации клента]])/30</f>
        <v>44.6</v>
      </c>
      <c r="S837" s="63" t="str">
        <f>VLOOKUP(Таблица1[[#This Row],[id клиента]],Таблица8[[id клиента]:[Страна]],7,0)</f>
        <v>Узбекистан</v>
      </c>
      <c r="T837" s="26"/>
    </row>
    <row r="838" spans="1:20" ht="19.5" x14ac:dyDescent="0.4">
      <c r="A838" s="41">
        <v>837</v>
      </c>
      <c r="B838" s="42">
        <v>104</v>
      </c>
      <c r="C838" s="42">
        <v>420</v>
      </c>
      <c r="D838" s="42">
        <v>2</v>
      </c>
      <c r="E838" s="42">
        <v>840</v>
      </c>
      <c r="F838" s="43">
        <v>45427</v>
      </c>
      <c r="G838" s="42" t="s">
        <v>10</v>
      </c>
      <c r="H838" s="42">
        <v>26</v>
      </c>
      <c r="I838" s="42" t="str">
        <f>VLOOKUP(продажи!$B838,товар!$A$1:$C$433,2)</f>
        <v>Йогурт</v>
      </c>
      <c r="J838" s="42" t="str">
        <f>VLOOKUP(B838,товар!$A$1:$C$433,3)</f>
        <v>Ростагроэкспорт</v>
      </c>
      <c r="K838" s="44">
        <f>AVERAGEIF(продажи!$I$2:$I$1001,продажи!$I$2:$I$1001,продажи!$C$2:$C$1001)</f>
        <v>263.25423728813558</v>
      </c>
      <c r="L838" s="45">
        <f>продажи!$C838/продажи!$K838-1</f>
        <v>0.59541591552923001</v>
      </c>
      <c r="M838" s="33">
        <f t="shared" si="26"/>
        <v>5929</v>
      </c>
      <c r="N838" s="24">
        <f>Таблица1[[#This Row],[цена за шт в рублях]]/Таблица1[[#This Row],[средняя стоимость в категории по поставщику.]]-1</f>
        <v>-0.92916174734356549</v>
      </c>
      <c r="O838" s="26">
        <f>VLOOKUP(Таблица1[[#This Row],[id клиента]],клиенты!$A$2:$E$435,5,0)</f>
        <v>44819</v>
      </c>
      <c r="P838">
        <f>Таблица1[[#This Row],[дата создания чека]]-Таблица1[[#This Row],[Дата регистрации клента]]</f>
        <v>608</v>
      </c>
      <c r="Q838" s="26">
        <f t="shared" ca="1" si="27"/>
        <v>46059</v>
      </c>
      <c r="R838" s="51">
        <f ca="1">(TODAY()-Таблица1[[#This Row],[Дата регистрации клента]])/30</f>
        <v>41.333333333333336</v>
      </c>
      <c r="S838" s="63" t="str">
        <f>VLOOKUP(Таблица1[[#This Row],[id клиента]],Таблица8[[id клиента]:[Страна]],7,0)</f>
        <v>Таджикистан</v>
      </c>
      <c r="T838" s="26"/>
    </row>
    <row r="839" spans="1:20" ht="19.5" x14ac:dyDescent="0.4">
      <c r="A839" s="37">
        <v>838</v>
      </c>
      <c r="B839" s="31">
        <v>364</v>
      </c>
      <c r="C839" s="31">
        <v>496</v>
      </c>
      <c r="D839" s="31">
        <v>1</v>
      </c>
      <c r="E839" s="31">
        <v>496</v>
      </c>
      <c r="F839" s="38">
        <v>45060</v>
      </c>
      <c r="G839" s="31" t="s">
        <v>10</v>
      </c>
      <c r="H839" s="31">
        <v>417</v>
      </c>
      <c r="I839" s="31" t="str">
        <f>VLOOKUP(продажи!$B839,товар!$A$1:$C$433,2)</f>
        <v>Сахар</v>
      </c>
      <c r="J839" s="31" t="str">
        <f>VLOOKUP(B839,товар!$A$1:$C$433,3)</f>
        <v>Русский сахар</v>
      </c>
      <c r="K839" s="39">
        <f>AVERAGEIF(продажи!$I$2:$I$1001,продажи!$I$2:$I$1001,продажи!$C$2:$C$1001)</f>
        <v>254.58333333333334</v>
      </c>
      <c r="L839" s="40">
        <f>продажи!$C839/продажи!$K839-1</f>
        <v>0.94828150572831427</v>
      </c>
      <c r="M839" s="33">
        <f t="shared" si="26"/>
        <v>4988</v>
      </c>
      <c r="N839" s="24">
        <f>Таблица1[[#This Row],[цена за шт в рублях]]/Таблица1[[#This Row],[средняя стоимость в категории по поставщику.]]-1</f>
        <v>-0.90056134723336001</v>
      </c>
      <c r="O839" s="26">
        <f>VLOOKUP(Таблица1[[#This Row],[id клиента]],клиенты!$A$2:$E$435,5,0)</f>
        <v>44608</v>
      </c>
      <c r="P839">
        <f>Таблица1[[#This Row],[дата создания чека]]-Таблица1[[#This Row],[Дата регистрации клента]]</f>
        <v>452</v>
      </c>
      <c r="Q839" s="26">
        <f t="shared" ca="1" si="27"/>
        <v>46059</v>
      </c>
      <c r="R839" s="51">
        <f ca="1">(TODAY()-Таблица1[[#This Row],[Дата регистрации клента]])/30</f>
        <v>48.366666666666667</v>
      </c>
      <c r="S839" s="63" t="str">
        <f>VLOOKUP(Таблица1[[#This Row],[id клиента]],Таблица8[[id клиента]:[Страна]],7,0)</f>
        <v>Таджикистан</v>
      </c>
      <c r="T839" s="26"/>
    </row>
    <row r="840" spans="1:20" ht="19.5" x14ac:dyDescent="0.4">
      <c r="A840" s="41">
        <v>483</v>
      </c>
      <c r="B840" s="42">
        <v>334</v>
      </c>
      <c r="C840" s="42">
        <v>309</v>
      </c>
      <c r="D840" s="42">
        <v>5</v>
      </c>
      <c r="E840" s="42">
        <v>1545</v>
      </c>
      <c r="F840" s="58">
        <v>45003</v>
      </c>
      <c r="G840" s="42" t="s">
        <v>15</v>
      </c>
      <c r="H840" s="56">
        <v>39</v>
      </c>
      <c r="I840" s="42" t="str">
        <f>VLOOKUP(продажи!$B484,товар!$A$1:$C$433,2)</f>
        <v>Молоко</v>
      </c>
      <c r="J840" s="42" t="str">
        <f>VLOOKUP(B840,товар!$A$1:$C$433,3)</f>
        <v>Домик в деревне</v>
      </c>
      <c r="K840" s="44">
        <f>AVERAGEIF(продажи!$I$2:$I$1001,продажи!$I$2:$I$1001,продажи!$C$2:$C$1001)</f>
        <v>294.95238095238096</v>
      </c>
      <c r="L840" s="45">
        <f>продажи!$C484/продажи!$K484-1</f>
        <v>-0.30836293186955122</v>
      </c>
      <c r="M840" s="53">
        <f t="shared" si="26"/>
        <v>4946</v>
      </c>
      <c r="N840" s="24">
        <f>Таблица1[[#This Row],[цена за шт в рублях]]/Таблица1[[#This Row],[средняя стоимость в категории по поставщику.]]-1</f>
        <v>-0.93752527294783661</v>
      </c>
      <c r="O840" s="26">
        <f>VLOOKUP(Таблица1[[#This Row],[id клиента]],клиенты!$A$2:$E$435,5,0)</f>
        <v>44653</v>
      </c>
      <c r="P840">
        <f>Таблица1[[#This Row],[дата создания чека]]-Таблица1[[#This Row],[Дата регистрации клента]]</f>
        <v>350</v>
      </c>
      <c r="Q840" s="26">
        <f t="shared" ca="1" si="27"/>
        <v>46059</v>
      </c>
      <c r="R840" s="51">
        <f ca="1">(TODAY()-Таблица1[[#This Row],[Дата регистрации клента]])/30</f>
        <v>46.866666666666667</v>
      </c>
      <c r="S840" s="63" t="str">
        <f>VLOOKUP(Таблица1[[#This Row],[id клиента]],Таблица8[[id клиента]:[Страна]],7,0)</f>
        <v>Беларусь</v>
      </c>
      <c r="T840" s="26"/>
    </row>
    <row r="841" spans="1:20" ht="19.5" x14ac:dyDescent="0.4">
      <c r="A841" s="37">
        <v>840</v>
      </c>
      <c r="B841" s="31">
        <v>356</v>
      </c>
      <c r="C841" s="31">
        <v>97</v>
      </c>
      <c r="D841" s="31">
        <v>2</v>
      </c>
      <c r="E841" s="31">
        <v>194</v>
      </c>
      <c r="F841" s="38">
        <v>45032</v>
      </c>
      <c r="G841" s="31" t="s">
        <v>11</v>
      </c>
      <c r="H841" s="31">
        <v>491</v>
      </c>
      <c r="I841" s="31" t="str">
        <f>VLOOKUP(продажи!$B841,товар!$A$1:$C$433,2)</f>
        <v>Печенье</v>
      </c>
      <c r="J841" s="31" t="str">
        <f>VLOOKUP(B841,товар!$A$1:$C$433,3)</f>
        <v>Посиделкино</v>
      </c>
      <c r="K841" s="39">
        <f>AVERAGEIF(продажи!$I$2:$I$1001,продажи!$I$2:$I$1001,продажи!$C$2:$C$1001)</f>
        <v>283.468085106383</v>
      </c>
      <c r="L841" s="40">
        <f>продажи!$C841/продажи!$K841-1</f>
        <v>-0.65780980259701272</v>
      </c>
      <c r="M841" s="33">
        <f t="shared" si="26"/>
        <v>3538</v>
      </c>
      <c r="N841" s="24">
        <f>Таблица1[[#This Row],[цена за шт в рублях]]/Таблица1[[#This Row],[средняя стоимость в категории по поставщику.]]-1</f>
        <v>-0.97258338044092707</v>
      </c>
      <c r="O841" s="26">
        <f>VLOOKUP(Таблица1[[#This Row],[id клиента]],клиенты!$A$2:$E$435,5,0)</f>
        <v>44752</v>
      </c>
      <c r="P841">
        <f>Таблица1[[#This Row],[дата создания чека]]-Таблица1[[#This Row],[Дата регистрации клента]]</f>
        <v>280</v>
      </c>
      <c r="Q841" s="26">
        <f t="shared" ca="1" si="27"/>
        <v>46059</v>
      </c>
      <c r="R841" s="51">
        <f ca="1">(TODAY()-Таблица1[[#This Row],[Дата регистрации клента]])/30</f>
        <v>43.56666666666667</v>
      </c>
      <c r="S841" s="63" t="str">
        <f>VLOOKUP(Таблица1[[#This Row],[id клиента]],Таблица8[[id клиента]:[Страна]],7,0)</f>
        <v>Россия</v>
      </c>
      <c r="T841" s="26"/>
    </row>
    <row r="842" spans="1:20" ht="19.5" x14ac:dyDescent="0.4">
      <c r="A842" s="41">
        <v>841</v>
      </c>
      <c r="B842" s="42">
        <v>446</v>
      </c>
      <c r="C842" s="42">
        <v>445</v>
      </c>
      <c r="D842" s="42">
        <v>5</v>
      </c>
      <c r="E842" s="42">
        <v>2225</v>
      </c>
      <c r="F842" s="43">
        <v>44993</v>
      </c>
      <c r="G842" s="42" t="s">
        <v>23</v>
      </c>
      <c r="H842" s="42">
        <v>307</v>
      </c>
      <c r="I842" s="42" t="str">
        <f>VLOOKUP(продажи!$B842,товар!$A$1:$C$433,2)</f>
        <v>Чипсы</v>
      </c>
      <c r="J842" s="42" t="str">
        <f>VLOOKUP(B842,товар!$A$1:$C$433,3)</f>
        <v>Lay's</v>
      </c>
      <c r="K842" s="44">
        <f>AVERAGEIF(продажи!$I$2:$I$1001,продажи!$I$2:$I$1001,продажи!$C$2:$C$1001)</f>
        <v>273.72549019607845</v>
      </c>
      <c r="L842" s="45">
        <f>продажи!$C842/продажи!$K842-1</f>
        <v>0.62571633237822333</v>
      </c>
      <c r="M842" s="33">
        <f t="shared" si="26"/>
        <v>2244</v>
      </c>
      <c r="N842" s="24">
        <f>Таблица1[[#This Row],[цена за шт в рублях]]/Таблица1[[#This Row],[средняя стоимость в категории по поставщику.]]-1</f>
        <v>-0.80169340463458116</v>
      </c>
      <c r="O842" s="26">
        <f>VLOOKUP(Таблица1[[#This Row],[id клиента]],клиенты!$A$2:$E$435,5,0)</f>
        <v>44764</v>
      </c>
      <c r="P842">
        <f>Таблица1[[#This Row],[дата создания чека]]-Таблица1[[#This Row],[Дата регистрации клента]]</f>
        <v>229</v>
      </c>
      <c r="Q842" s="26">
        <f t="shared" ca="1" si="27"/>
        <v>46059</v>
      </c>
      <c r="R842" s="51">
        <f ca="1">(TODAY()-Таблица1[[#This Row],[Дата регистрации клента]])/30</f>
        <v>43.166666666666664</v>
      </c>
      <c r="S842" s="63" t="str">
        <f>VLOOKUP(Таблица1[[#This Row],[id клиента]],Таблица8[[id клиента]:[Страна]],7,0)</f>
        <v>Беларусь</v>
      </c>
      <c r="T842" s="26"/>
    </row>
    <row r="843" spans="1:20" ht="19.5" x14ac:dyDescent="0.4">
      <c r="A843" s="37">
        <v>842</v>
      </c>
      <c r="B843" s="31">
        <v>88</v>
      </c>
      <c r="C843" s="31">
        <v>206</v>
      </c>
      <c r="D843" s="31">
        <v>4</v>
      </c>
      <c r="E843" s="31">
        <v>824</v>
      </c>
      <c r="F843" s="38">
        <v>45237</v>
      </c>
      <c r="G843" s="31" t="s">
        <v>23</v>
      </c>
      <c r="H843" s="31">
        <v>492</v>
      </c>
      <c r="I843" s="31" t="str">
        <f>VLOOKUP(продажи!$B843,товар!$A$1:$C$433,2)</f>
        <v>Крупа</v>
      </c>
      <c r="J843" s="31" t="str">
        <f>VLOOKUP(B843,товар!$A$1:$C$433,3)</f>
        <v>Мистраль</v>
      </c>
      <c r="K843" s="39">
        <f>AVERAGEIF(продажи!$I$2:$I$1001,продажи!$I$2:$I$1001,продажи!$C$2:$C$1001)</f>
        <v>255.11627906976744</v>
      </c>
      <c r="L843" s="40">
        <f>продажи!$C843/продажи!$K843-1</f>
        <v>-0.1925250683682771</v>
      </c>
      <c r="M843" s="33">
        <f t="shared" si="26"/>
        <v>3254</v>
      </c>
      <c r="N843" s="24">
        <f>Таблица1[[#This Row],[цена за шт в рублях]]/Таблица1[[#This Row],[средняя стоимость в категории по поставщику.]]-1</f>
        <v>-0.93669330055316535</v>
      </c>
      <c r="O843" s="26">
        <f>VLOOKUP(Таблица1[[#This Row],[id клиента]],клиенты!$A$2:$E$435,5,0)</f>
        <v>44688</v>
      </c>
      <c r="P843">
        <f>Таблица1[[#This Row],[дата создания чека]]-Таблица1[[#This Row],[Дата регистрации клента]]</f>
        <v>549</v>
      </c>
      <c r="Q843" s="26">
        <f t="shared" ca="1" si="27"/>
        <v>46059</v>
      </c>
      <c r="R843" s="51">
        <f ca="1">(TODAY()-Таблица1[[#This Row],[Дата регистрации клента]])/30</f>
        <v>45.7</v>
      </c>
      <c r="S843" s="63" t="str">
        <f>VLOOKUP(Таблица1[[#This Row],[id клиента]],Таблица8[[id клиента]:[Страна]],7,0)</f>
        <v>Украина</v>
      </c>
      <c r="T843" s="26"/>
    </row>
    <row r="844" spans="1:20" ht="19.5" x14ac:dyDescent="0.4">
      <c r="A844" s="41">
        <v>843</v>
      </c>
      <c r="B844" s="42">
        <v>347</v>
      </c>
      <c r="C844" s="42">
        <v>265</v>
      </c>
      <c r="D844" s="42">
        <v>1</v>
      </c>
      <c r="E844" s="42">
        <v>265</v>
      </c>
      <c r="F844" s="43">
        <v>45390</v>
      </c>
      <c r="G844" s="42" t="s">
        <v>19</v>
      </c>
      <c r="H844" s="42">
        <v>264</v>
      </c>
      <c r="I844" s="42" t="str">
        <f>VLOOKUP(продажи!$B844,товар!$A$1:$C$433,2)</f>
        <v>Макароны</v>
      </c>
      <c r="J844" s="42" t="str">
        <f>VLOOKUP(B844,товар!$A$1:$C$433,3)</f>
        <v>Паста Зара</v>
      </c>
      <c r="K844" s="44">
        <f>AVERAGEIF(продажи!$I$2:$I$1001,продажи!$I$2:$I$1001,продажи!$C$2:$C$1001)</f>
        <v>265.47674418604652</v>
      </c>
      <c r="L844" s="45">
        <f>продажи!$C844/продажи!$K844-1</f>
        <v>-1.7958039507687262E-3</v>
      </c>
      <c r="M844" s="33">
        <f t="shared" si="26"/>
        <v>10237</v>
      </c>
      <c r="N844" s="24">
        <f>Таблица1[[#This Row],[цена за шт в рублях]]/Таблица1[[#This Row],[средняя стоимость в категории по поставщику.]]-1</f>
        <v>-0.97411350981732925</v>
      </c>
      <c r="O844" s="26">
        <f>VLOOKUP(Таблица1[[#This Row],[id клиента]],клиенты!$A$2:$E$435,5,0)</f>
        <v>44907</v>
      </c>
      <c r="P844">
        <f>Таблица1[[#This Row],[дата создания чека]]-Таблица1[[#This Row],[Дата регистрации клента]]</f>
        <v>483</v>
      </c>
      <c r="Q844" s="26">
        <f t="shared" ca="1" si="27"/>
        <v>46059</v>
      </c>
      <c r="R844" s="51">
        <f ca="1">(TODAY()-Таблица1[[#This Row],[Дата регистрации клента]])/30</f>
        <v>38.4</v>
      </c>
      <c r="S844" s="63" t="str">
        <f>VLOOKUP(Таблица1[[#This Row],[id клиента]],Таблица8[[id клиента]:[Страна]],7,0)</f>
        <v>Беларусь</v>
      </c>
      <c r="T844" s="26"/>
    </row>
    <row r="845" spans="1:20" ht="19.5" x14ac:dyDescent="0.4">
      <c r="A845" s="37">
        <v>844</v>
      </c>
      <c r="B845" s="31">
        <v>342</v>
      </c>
      <c r="C845" s="31">
        <v>269</v>
      </c>
      <c r="D845" s="31">
        <v>4</v>
      </c>
      <c r="E845" s="31">
        <v>1076</v>
      </c>
      <c r="F845" s="38">
        <v>45093</v>
      </c>
      <c r="G845" s="31" t="s">
        <v>21</v>
      </c>
      <c r="H845" s="31">
        <v>190</v>
      </c>
      <c r="I845" s="31" t="str">
        <f>VLOOKUP(продажи!$B845,товар!$A$1:$C$433,2)</f>
        <v>Овощи</v>
      </c>
      <c r="J845" s="31" t="str">
        <f>VLOOKUP(B845,товар!$A$1:$C$433,3)</f>
        <v>Овощной ряд</v>
      </c>
      <c r="K845" s="39">
        <f>AVERAGEIF(продажи!$I$2:$I$1001,продажи!$I$2:$I$1001,продажи!$C$2:$C$1001)</f>
        <v>250.48780487804879</v>
      </c>
      <c r="L845" s="40">
        <f>продажи!$C845/продажи!$K845-1</f>
        <v>7.3904576436222058E-2</v>
      </c>
      <c r="M845" s="33">
        <f t="shared" si="26"/>
        <v>5165</v>
      </c>
      <c r="N845" s="24">
        <f>Таблица1[[#This Row],[цена за шт в рублях]]/Таблица1[[#This Row],[средняя стоимость в категории по поставщику.]]-1</f>
        <v>-0.94791868344627295</v>
      </c>
      <c r="O845" s="26">
        <f>VLOOKUP(Таблица1[[#This Row],[id клиента]],клиенты!$A$2:$E$435,5,0)</f>
        <v>44689</v>
      </c>
      <c r="P845">
        <f>Таблица1[[#This Row],[дата создания чека]]-Таблица1[[#This Row],[Дата регистрации клента]]</f>
        <v>404</v>
      </c>
      <c r="Q845" s="26">
        <f t="shared" ca="1" si="27"/>
        <v>46059</v>
      </c>
      <c r="R845" s="51">
        <f ca="1">(TODAY()-Таблица1[[#This Row],[Дата регистрации клента]])/30</f>
        <v>45.666666666666664</v>
      </c>
      <c r="S845" s="63" t="str">
        <f>VLOOKUP(Таблица1[[#This Row],[id клиента]],Таблица8[[id клиента]:[Страна]],7,0)</f>
        <v>Беларусь</v>
      </c>
      <c r="T845" s="26"/>
    </row>
    <row r="846" spans="1:20" ht="19.5" x14ac:dyDescent="0.4">
      <c r="A846" s="41">
        <v>941</v>
      </c>
      <c r="B846" s="42">
        <v>44</v>
      </c>
      <c r="C846" s="42">
        <v>439</v>
      </c>
      <c r="D846" s="42">
        <v>5</v>
      </c>
      <c r="E846" s="42">
        <v>2195</v>
      </c>
      <c r="F846" s="58">
        <v>45008</v>
      </c>
      <c r="G846" s="42" t="s">
        <v>14</v>
      </c>
      <c r="H846" s="56">
        <v>469</v>
      </c>
      <c r="I846" s="42" t="str">
        <f>VLOOKUP(продажи!$B942,товар!$A$1:$C$433,2)</f>
        <v>Молоко</v>
      </c>
      <c r="J846" s="42" t="str">
        <f>VLOOKUP(B846,товар!$A$1:$C$433,3)</f>
        <v>Беллакт</v>
      </c>
      <c r="K846" s="44">
        <f>AVERAGEIF(продажи!$I$2:$I$1001,продажи!$I$2:$I$1001,продажи!$C$2:$C$1001)</f>
        <v>294.95238095238096</v>
      </c>
      <c r="L846" s="45">
        <f>продажи!$C942/продажи!$K942-1</f>
        <v>5.1017113335485975E-2</v>
      </c>
      <c r="M846" s="53">
        <f t="shared" si="26"/>
        <v>3548</v>
      </c>
      <c r="N846" s="24">
        <f>Таблица1[[#This Row],[цена за шт в рублях]]/Таблица1[[#This Row],[средняя стоимость в категории по поставщику.]]-1</f>
        <v>-0.87626832018038336</v>
      </c>
      <c r="O846" s="26">
        <f>VLOOKUP(Таблица1[[#This Row],[id клиента]],клиенты!$A$2:$E$435,5,0)</f>
        <v>44659</v>
      </c>
      <c r="P846">
        <f>Таблица1[[#This Row],[дата создания чека]]-Таблица1[[#This Row],[Дата регистрации клента]]</f>
        <v>349</v>
      </c>
      <c r="Q846" s="26">
        <f t="shared" ca="1" si="27"/>
        <v>46059</v>
      </c>
      <c r="R846" s="51">
        <f ca="1">(TODAY()-Таблица1[[#This Row],[Дата регистрации клента]])/30</f>
        <v>46.666666666666664</v>
      </c>
      <c r="S846" s="63" t="str">
        <f>VLOOKUP(Таблица1[[#This Row],[id клиента]],Таблица8[[id клиента]:[Страна]],7,0)</f>
        <v>Россия</v>
      </c>
      <c r="T846" s="26"/>
    </row>
    <row r="847" spans="1:20" ht="19.5" x14ac:dyDescent="0.4">
      <c r="A847" s="37">
        <v>846</v>
      </c>
      <c r="B847" s="31">
        <v>69</v>
      </c>
      <c r="C847" s="31">
        <v>197</v>
      </c>
      <c r="D847" s="31">
        <v>2</v>
      </c>
      <c r="E847" s="31">
        <v>394</v>
      </c>
      <c r="F847" s="38">
        <v>45195</v>
      </c>
      <c r="G847" s="31" t="s">
        <v>21</v>
      </c>
      <c r="H847" s="31">
        <v>125</v>
      </c>
      <c r="I847" s="31" t="str">
        <f>VLOOKUP(продажи!$B847,товар!$A$1:$C$433,2)</f>
        <v>Чипсы</v>
      </c>
      <c r="J847" s="31" t="str">
        <f>VLOOKUP(B847,товар!$A$1:$C$433,3)</f>
        <v>Estrella</v>
      </c>
      <c r="K847" s="39">
        <f>AVERAGEIF(продажи!$I$2:$I$1001,продажи!$I$2:$I$1001,продажи!$C$2:$C$1001)</f>
        <v>273.72549019607845</v>
      </c>
      <c r="L847" s="40">
        <f>продажи!$C847/продажи!$K847-1</f>
        <v>-0.28030085959885398</v>
      </c>
      <c r="M847" s="33">
        <f t="shared" si="26"/>
        <v>2929</v>
      </c>
      <c r="N847" s="24">
        <f>Таблица1[[#This Row],[цена за шт в рублях]]/Таблица1[[#This Row],[средняя стоимость в категории по поставщику.]]-1</f>
        <v>-0.93274155001707071</v>
      </c>
      <c r="O847" s="26">
        <f>VLOOKUP(Таблица1[[#This Row],[id клиента]],клиенты!$A$2:$E$435,5,0)</f>
        <v>44701</v>
      </c>
      <c r="P847">
        <f>Таблица1[[#This Row],[дата создания чека]]-Таблица1[[#This Row],[Дата регистрации клента]]</f>
        <v>494</v>
      </c>
      <c r="Q847" s="26">
        <f t="shared" ca="1" si="27"/>
        <v>46059</v>
      </c>
      <c r="R847" s="51">
        <f ca="1">(TODAY()-Таблица1[[#This Row],[Дата регистрации клента]])/30</f>
        <v>45.266666666666666</v>
      </c>
      <c r="S847" s="63" t="str">
        <f>VLOOKUP(Таблица1[[#This Row],[id клиента]],Таблица8[[id клиента]:[Страна]],7,0)</f>
        <v>Россия</v>
      </c>
      <c r="T847" s="26"/>
    </row>
    <row r="848" spans="1:20" ht="19.5" x14ac:dyDescent="0.4">
      <c r="A848" s="41">
        <v>715</v>
      </c>
      <c r="B848" s="42">
        <v>369</v>
      </c>
      <c r="C848" s="42">
        <v>202</v>
      </c>
      <c r="D848" s="42">
        <v>5</v>
      </c>
      <c r="E848" s="42">
        <v>1010</v>
      </c>
      <c r="F848" s="58">
        <v>45100</v>
      </c>
      <c r="G848" s="42" t="s">
        <v>21</v>
      </c>
      <c r="H848" s="56">
        <v>321</v>
      </c>
      <c r="I848" s="42" t="str">
        <f>VLOOKUP(продажи!$B716,товар!$A$1:$C$433,2)</f>
        <v>Молоко</v>
      </c>
      <c r="J848" s="42" t="str">
        <f>VLOOKUP(B848,товар!$A$1:$C$433,3)</f>
        <v>Домик в деревне</v>
      </c>
      <c r="K848" s="44">
        <f>AVERAGEIF(продажи!$I$2:$I$1001,продажи!$I$2:$I$1001,продажи!$C$2:$C$1001)</f>
        <v>294.95238095238096</v>
      </c>
      <c r="L848" s="45">
        <f>продажи!$C716/продажи!$K716-1</f>
        <v>0.34258960284145945</v>
      </c>
      <c r="M848" s="53">
        <f t="shared" si="26"/>
        <v>4946</v>
      </c>
      <c r="N848" s="24">
        <f>Таблица1[[#This Row],[цена за шт в рублях]]/Таблица1[[#This Row],[средняя стоимость в категории по поставщику.]]-1</f>
        <v>-0.95915891629599681</v>
      </c>
      <c r="O848" s="26">
        <f>VLOOKUP(Таблица1[[#This Row],[id клиента]],клиенты!$A$2:$E$435,5,0)</f>
        <v>44756</v>
      </c>
      <c r="P848">
        <f>Таблица1[[#This Row],[дата создания чека]]-Таблица1[[#This Row],[Дата регистрации клента]]</f>
        <v>344</v>
      </c>
      <c r="Q848" s="26">
        <f t="shared" ca="1" si="27"/>
        <v>46059</v>
      </c>
      <c r="R848" s="51">
        <f ca="1">(TODAY()-Таблица1[[#This Row],[Дата регистрации клента]])/30</f>
        <v>43.43333333333333</v>
      </c>
      <c r="S848" s="63" t="str">
        <f>VLOOKUP(Таблица1[[#This Row],[id клиента]],Таблица8[[id клиента]:[Страна]],7,0)</f>
        <v>Таджикистан</v>
      </c>
      <c r="T848" s="26"/>
    </row>
    <row r="849" spans="1:20" ht="19.5" x14ac:dyDescent="0.4">
      <c r="A849" s="37">
        <v>848</v>
      </c>
      <c r="B849" s="31">
        <v>319</v>
      </c>
      <c r="C849" s="31">
        <v>193</v>
      </c>
      <c r="D849" s="31">
        <v>1</v>
      </c>
      <c r="E849" s="31">
        <v>193</v>
      </c>
      <c r="F849" s="38">
        <v>45396</v>
      </c>
      <c r="G849" s="31" t="s">
        <v>15</v>
      </c>
      <c r="H849" s="31">
        <v>43</v>
      </c>
      <c r="I849" s="31" t="str">
        <f>VLOOKUP(продажи!$B849,товар!$A$1:$C$433,2)</f>
        <v>Йогурт</v>
      </c>
      <c r="J849" s="31" t="str">
        <f>VLOOKUP(B849,товар!$A$1:$C$433,3)</f>
        <v>Эрманн</v>
      </c>
      <c r="K849" s="39">
        <f>AVERAGEIF(продажи!$I$2:$I$1001,продажи!$I$2:$I$1001,продажи!$C$2:$C$1001)</f>
        <v>263.25423728813558</v>
      </c>
      <c r="L849" s="40">
        <f>продажи!$C849/продажи!$K849-1</f>
        <v>-0.26686840072109197</v>
      </c>
      <c r="M849" s="33">
        <f t="shared" si="26"/>
        <v>4970</v>
      </c>
      <c r="N849" s="24">
        <f>Таблица1[[#This Row],[цена за шт в рублях]]/Таблица1[[#This Row],[средняя стоимость в категории по поставщику.]]-1</f>
        <v>-0.96116700201207239</v>
      </c>
      <c r="O849" s="26">
        <f>VLOOKUP(Таблица1[[#This Row],[id клиента]],клиенты!$A$2:$E$435,5,0)</f>
        <v>44912</v>
      </c>
      <c r="P849">
        <f>Таблица1[[#This Row],[дата создания чека]]-Таблица1[[#This Row],[Дата регистрации клента]]</f>
        <v>484</v>
      </c>
      <c r="Q849" s="26">
        <f t="shared" ca="1" si="27"/>
        <v>46059</v>
      </c>
      <c r="R849" s="51">
        <f ca="1">(TODAY()-Таблица1[[#This Row],[Дата регистрации клента]])/30</f>
        <v>38.233333333333334</v>
      </c>
      <c r="S849" s="63" t="str">
        <f>VLOOKUP(Таблица1[[#This Row],[id клиента]],Таблица8[[id клиента]:[Страна]],7,0)</f>
        <v>Россия</v>
      </c>
      <c r="T849" s="26"/>
    </row>
    <row r="850" spans="1:20" ht="19.5" x14ac:dyDescent="0.4">
      <c r="A850" s="41">
        <v>849</v>
      </c>
      <c r="B850" s="42">
        <v>59</v>
      </c>
      <c r="C850" s="42">
        <v>150</v>
      </c>
      <c r="D850" s="42">
        <v>4</v>
      </c>
      <c r="E850" s="42">
        <v>600</v>
      </c>
      <c r="F850" s="43">
        <v>45134</v>
      </c>
      <c r="G850" s="42" t="s">
        <v>17</v>
      </c>
      <c r="H850" s="42">
        <v>343</v>
      </c>
      <c r="I850" s="42" t="str">
        <f>VLOOKUP(продажи!$B850,товар!$A$1:$C$433,2)</f>
        <v>Сахар</v>
      </c>
      <c r="J850" s="42" t="str">
        <f>VLOOKUP(B850,товар!$A$1:$C$433,3)</f>
        <v>Продимекс</v>
      </c>
      <c r="K850" s="44">
        <f>AVERAGEIF(продажи!$I$2:$I$1001,продажи!$I$2:$I$1001,продажи!$C$2:$C$1001)</f>
        <v>254.58333333333334</v>
      </c>
      <c r="L850" s="45">
        <f>продажи!$C850/продажи!$K850-1</f>
        <v>-0.41080196399345337</v>
      </c>
      <c r="M850" s="33">
        <f t="shared" si="26"/>
        <v>5172</v>
      </c>
      <c r="N850" s="24">
        <f>Таблица1[[#This Row],[цена за шт в рублях]]/Таблица1[[#This Row],[средняя стоимость в категории по поставщику.]]-1</f>
        <v>-0.97099767981438512</v>
      </c>
      <c r="O850" s="26">
        <f>VLOOKUP(Таблица1[[#This Row],[id клиента]],клиенты!$A$2:$E$435,5,0)</f>
        <v>44874</v>
      </c>
      <c r="P850">
        <f>Таблица1[[#This Row],[дата создания чека]]-Таблица1[[#This Row],[Дата регистрации клента]]</f>
        <v>260</v>
      </c>
      <c r="Q850" s="26">
        <f t="shared" ca="1" si="27"/>
        <v>46059</v>
      </c>
      <c r="R850" s="51">
        <f ca="1">(TODAY()-Таблица1[[#This Row],[Дата регистрации клента]])/30</f>
        <v>39.5</v>
      </c>
      <c r="S850" s="63" t="str">
        <f>VLOOKUP(Таблица1[[#This Row],[id клиента]],Таблица8[[id клиента]:[Страна]],7,0)</f>
        <v>Украина</v>
      </c>
      <c r="T850" s="26"/>
    </row>
    <row r="851" spans="1:20" ht="19.5" x14ac:dyDescent="0.4">
      <c r="A851" s="37">
        <v>850</v>
      </c>
      <c r="B851" s="31">
        <v>16</v>
      </c>
      <c r="C851" s="31">
        <v>207</v>
      </c>
      <c r="D851" s="31">
        <v>2</v>
      </c>
      <c r="E851" s="31">
        <v>414</v>
      </c>
      <c r="F851" s="38">
        <v>45251</v>
      </c>
      <c r="G851" s="31" t="s">
        <v>11</v>
      </c>
      <c r="H851" s="31">
        <v>26</v>
      </c>
      <c r="I851" s="31" t="str">
        <f>VLOOKUP(продажи!$B851,товар!$A$1:$C$433,2)</f>
        <v>Сыр</v>
      </c>
      <c r="J851" s="31" t="str">
        <f>VLOOKUP(B851,товар!$A$1:$C$433,3)</f>
        <v>Сырная долина</v>
      </c>
      <c r="K851" s="39">
        <f>AVERAGEIF(продажи!$I$2:$I$1001,продажи!$I$2:$I$1001,продажи!$C$2:$C$1001)</f>
        <v>261.03225806451616</v>
      </c>
      <c r="L851" s="40">
        <f>продажи!$C851/продажи!$K851-1</f>
        <v>-0.20699456253089477</v>
      </c>
      <c r="M851" s="33">
        <f t="shared" si="26"/>
        <v>8943</v>
      </c>
      <c r="N851" s="24">
        <f>Таблица1[[#This Row],[цена за шт в рублях]]/Таблица1[[#This Row],[средняя стоимость в категории по поставщику.]]-1</f>
        <v>-0.97685340489768535</v>
      </c>
      <c r="O851" s="26">
        <f>VLOOKUP(Таблица1[[#This Row],[id клиента]],клиенты!$A$2:$E$435,5,0)</f>
        <v>44819</v>
      </c>
      <c r="P851">
        <f>Таблица1[[#This Row],[дата создания чека]]-Таблица1[[#This Row],[Дата регистрации клента]]</f>
        <v>432</v>
      </c>
      <c r="Q851" s="26">
        <f t="shared" ca="1" si="27"/>
        <v>46059</v>
      </c>
      <c r="R851" s="51">
        <f ca="1">(TODAY()-Таблица1[[#This Row],[Дата регистрации клента]])/30</f>
        <v>41.333333333333336</v>
      </c>
      <c r="S851" s="63" t="str">
        <f>VLOOKUP(Таблица1[[#This Row],[id клиента]],Таблица8[[id клиента]:[Страна]],7,0)</f>
        <v>Таджикистан</v>
      </c>
      <c r="T851" s="26"/>
    </row>
    <row r="852" spans="1:20" ht="19.5" x14ac:dyDescent="0.4">
      <c r="A852" s="41">
        <v>851</v>
      </c>
      <c r="B852" s="42">
        <v>220</v>
      </c>
      <c r="C852" s="42">
        <v>305</v>
      </c>
      <c r="D852" s="42">
        <v>4</v>
      </c>
      <c r="E852" s="42">
        <v>1220</v>
      </c>
      <c r="F852" s="43">
        <v>45056</v>
      </c>
      <c r="G852" s="42" t="s">
        <v>14</v>
      </c>
      <c r="H852" s="42">
        <v>306</v>
      </c>
      <c r="I852" s="42" t="str">
        <f>VLOOKUP(продажи!$B852,товар!$A$1:$C$433,2)</f>
        <v>Чай</v>
      </c>
      <c r="J852" s="42" t="str">
        <f>VLOOKUP(B852,товар!$A$1:$C$433,3)</f>
        <v>Тесс</v>
      </c>
      <c r="K852" s="44">
        <f>AVERAGEIF(продажи!$I$2:$I$1001,продажи!$I$2:$I$1001,продажи!$C$2:$C$1001)</f>
        <v>271.18181818181819</v>
      </c>
      <c r="L852" s="45">
        <f>продажи!$C852/продажи!$K852-1</f>
        <v>0.12470667113643974</v>
      </c>
      <c r="M852" s="33">
        <f t="shared" si="26"/>
        <v>1127</v>
      </c>
      <c r="N852" s="24">
        <f>Таблица1[[#This Row],[цена за шт в рублях]]/Таблица1[[#This Row],[средняя стоимость в категории по поставщику.]]-1</f>
        <v>-0.72937000887311454</v>
      </c>
      <c r="O852" s="26">
        <f>VLOOKUP(Таблица1[[#This Row],[id клиента]],клиенты!$A$2:$E$435,5,0)</f>
        <v>44872</v>
      </c>
      <c r="P852">
        <f>Таблица1[[#This Row],[дата создания чека]]-Таблица1[[#This Row],[Дата регистрации клента]]</f>
        <v>184</v>
      </c>
      <c r="Q852" s="26">
        <f t="shared" ca="1" si="27"/>
        <v>46059</v>
      </c>
      <c r="R852" s="51">
        <f ca="1">(TODAY()-Таблица1[[#This Row],[Дата регистрации клента]])/30</f>
        <v>39.56666666666667</v>
      </c>
      <c r="S852" s="63" t="str">
        <f>VLOOKUP(Таблица1[[#This Row],[id клиента]],Таблица8[[id клиента]:[Страна]],7,0)</f>
        <v>Украина</v>
      </c>
      <c r="T852" s="26"/>
    </row>
    <row r="853" spans="1:20" ht="19.5" x14ac:dyDescent="0.4">
      <c r="A853" s="41">
        <v>761</v>
      </c>
      <c r="B853" s="42">
        <v>151</v>
      </c>
      <c r="C853" s="42">
        <v>239</v>
      </c>
      <c r="D853" s="42">
        <v>2</v>
      </c>
      <c r="E853" s="42">
        <v>478</v>
      </c>
      <c r="F853" s="58">
        <v>45056</v>
      </c>
      <c r="G853" s="42" t="s">
        <v>14</v>
      </c>
      <c r="H853" s="56">
        <v>386</v>
      </c>
      <c r="I853" s="42" t="str">
        <f>VLOOKUP(продажи!$B762,товар!$A$1:$C$433,2)</f>
        <v>Молоко</v>
      </c>
      <c r="J853" s="42" t="str">
        <f>VLOOKUP(B853,товар!$A$1:$C$433,3)</f>
        <v>Беллакт</v>
      </c>
      <c r="K853" s="44">
        <f>AVERAGEIF(продажи!$I$2:$I$1001,продажи!$I$2:$I$1001,продажи!$C$2:$C$1001)</f>
        <v>294.95238095238096</v>
      </c>
      <c r="L853" s="45">
        <f>продажи!$C762/продажи!$K762-1</f>
        <v>-5.0694220213109542E-2</v>
      </c>
      <c r="M853" s="53">
        <f t="shared" si="26"/>
        <v>3548</v>
      </c>
      <c r="N853" s="24">
        <f>Таблица1[[#This Row],[цена за шт в рублях]]/Таблица1[[#This Row],[средняя стоимость в категории по поставщику.]]-1</f>
        <v>-0.93263810597519725</v>
      </c>
      <c r="O853" s="26">
        <f>VLOOKUP(Таблица1[[#This Row],[id клиента]],клиенты!$A$2:$E$435,5,0)</f>
        <v>44734</v>
      </c>
      <c r="P853">
        <f>Таблица1[[#This Row],[дата создания чека]]-Таблица1[[#This Row],[Дата регистрации клента]]</f>
        <v>322</v>
      </c>
      <c r="Q853" s="26">
        <f t="shared" ca="1" si="27"/>
        <v>46059</v>
      </c>
      <c r="R853" s="51">
        <f ca="1">(TODAY()-Таблица1[[#This Row],[Дата регистрации клента]])/30</f>
        <v>44.166666666666664</v>
      </c>
      <c r="S853" s="63" t="str">
        <f>VLOOKUP(Таблица1[[#This Row],[id клиента]],Таблица8[[id клиента]:[Страна]],7,0)</f>
        <v>Узбекистан</v>
      </c>
      <c r="T853" s="26"/>
    </row>
    <row r="854" spans="1:20" ht="19.5" x14ac:dyDescent="0.4">
      <c r="A854" s="41">
        <v>853</v>
      </c>
      <c r="B854" s="42">
        <v>118</v>
      </c>
      <c r="C854" s="42">
        <v>466</v>
      </c>
      <c r="D854" s="42">
        <v>3</v>
      </c>
      <c r="E854" s="42">
        <v>1398</v>
      </c>
      <c r="F854" s="43">
        <v>44980</v>
      </c>
      <c r="G854" s="42" t="s">
        <v>22</v>
      </c>
      <c r="H854" s="42">
        <v>188</v>
      </c>
      <c r="I854" s="42" t="str">
        <f>VLOOKUP(продажи!$B854,товар!$A$1:$C$433,2)</f>
        <v>Сахар</v>
      </c>
      <c r="J854" s="42" t="str">
        <f>VLOOKUP(B854,товар!$A$1:$C$433,3)</f>
        <v>Продимекс</v>
      </c>
      <c r="K854" s="44">
        <f>AVERAGEIF(продажи!$I$2:$I$1001,продажи!$I$2:$I$1001,продажи!$C$2:$C$1001)</f>
        <v>254.58333333333334</v>
      </c>
      <c r="L854" s="45">
        <f>продажи!$C854/продажи!$K854-1</f>
        <v>0.83044189852700478</v>
      </c>
      <c r="M854" s="33">
        <f t="shared" si="26"/>
        <v>5172</v>
      </c>
      <c r="N854" s="24">
        <f>Таблица1[[#This Row],[цена за шт в рублях]]/Таблица1[[#This Row],[средняя стоимость в категории по поставщику.]]-1</f>
        <v>-0.90989945862335653</v>
      </c>
      <c r="O854" s="26">
        <f>VLOOKUP(Таблица1[[#This Row],[id клиента]],клиенты!$A$2:$E$435,5,0)</f>
        <v>44801</v>
      </c>
      <c r="P854">
        <f>Таблица1[[#This Row],[дата создания чека]]-Таблица1[[#This Row],[Дата регистрации клента]]</f>
        <v>179</v>
      </c>
      <c r="Q854" s="26">
        <f t="shared" ca="1" si="27"/>
        <v>46059</v>
      </c>
      <c r="R854" s="51">
        <f ca="1">(TODAY()-Таблица1[[#This Row],[Дата регистрации клента]])/30</f>
        <v>41.93333333333333</v>
      </c>
      <c r="S854" s="63" t="str">
        <f>VLOOKUP(Таблица1[[#This Row],[id клиента]],Таблица8[[id клиента]:[Страна]],7,0)</f>
        <v>Таджикистан</v>
      </c>
      <c r="T854" s="26"/>
    </row>
    <row r="855" spans="1:20" ht="19.5" x14ac:dyDescent="0.4">
      <c r="A855" s="37">
        <v>854</v>
      </c>
      <c r="B855" s="31">
        <v>207</v>
      </c>
      <c r="C855" s="31">
        <v>57</v>
      </c>
      <c r="D855" s="31">
        <v>2</v>
      </c>
      <c r="E855" s="31">
        <v>114</v>
      </c>
      <c r="F855" s="38">
        <v>45344</v>
      </c>
      <c r="G855" s="31" t="s">
        <v>21</v>
      </c>
      <c r="H855" s="31">
        <v>152</v>
      </c>
      <c r="I855" s="31" t="str">
        <f>VLOOKUP(продажи!$B855,товар!$A$1:$C$433,2)</f>
        <v>Сахар</v>
      </c>
      <c r="J855" s="31" t="str">
        <f>VLOOKUP(B855,товар!$A$1:$C$433,3)</f>
        <v>Агросахар</v>
      </c>
      <c r="K855" s="39">
        <f>AVERAGEIF(продажи!$I$2:$I$1001,продажи!$I$2:$I$1001,продажи!$C$2:$C$1001)</f>
        <v>254.58333333333334</v>
      </c>
      <c r="L855" s="40">
        <f>продажи!$C855/продажи!$K855-1</f>
        <v>-0.77610474631751225</v>
      </c>
      <c r="M855" s="33">
        <f t="shared" si="26"/>
        <v>1511</v>
      </c>
      <c r="N855" s="24">
        <f>Таблица1[[#This Row],[цена за шт в рублях]]/Таблица1[[#This Row],[средняя стоимость в категории по поставщику.]]-1</f>
        <v>-0.96227663798808738</v>
      </c>
      <c r="O855" s="26">
        <f>VLOOKUP(Таблица1[[#This Row],[id клиента]],клиенты!$A$2:$E$435,5,0)</f>
        <v>44791</v>
      </c>
      <c r="P855">
        <f>Таблица1[[#This Row],[дата создания чека]]-Таблица1[[#This Row],[Дата регистрации клента]]</f>
        <v>553</v>
      </c>
      <c r="Q855" s="26">
        <f t="shared" ca="1" si="27"/>
        <v>46059</v>
      </c>
      <c r="R855" s="51">
        <f ca="1">(TODAY()-Таблица1[[#This Row],[Дата регистрации клента]])/30</f>
        <v>42.266666666666666</v>
      </c>
      <c r="S855" s="63" t="str">
        <f>VLOOKUP(Таблица1[[#This Row],[id клиента]],Таблица8[[id клиента]:[Страна]],7,0)</f>
        <v>Беларусь</v>
      </c>
      <c r="T855" s="26"/>
    </row>
    <row r="856" spans="1:20" ht="19.5" x14ac:dyDescent="0.4">
      <c r="A856" s="41">
        <v>855</v>
      </c>
      <c r="B856" s="42">
        <v>239</v>
      </c>
      <c r="C856" s="42">
        <v>397</v>
      </c>
      <c r="D856" s="42">
        <v>2</v>
      </c>
      <c r="E856" s="42">
        <v>794</v>
      </c>
      <c r="F856" s="43">
        <v>45398</v>
      </c>
      <c r="G856" s="42" t="s">
        <v>14</v>
      </c>
      <c r="H856" s="42">
        <v>65</v>
      </c>
      <c r="I856" s="42" t="str">
        <f>VLOOKUP(продажи!$B856,товар!$A$1:$C$433,2)</f>
        <v>Йогурт</v>
      </c>
      <c r="J856" s="42" t="str">
        <f>VLOOKUP(B856,товар!$A$1:$C$433,3)</f>
        <v>Эрманн</v>
      </c>
      <c r="K856" s="44">
        <f>AVERAGEIF(продажи!$I$2:$I$1001,продажи!$I$2:$I$1001,продажи!$C$2:$C$1001)</f>
        <v>263.25423728813558</v>
      </c>
      <c r="L856" s="45">
        <f>продажи!$C856/продажи!$K856-1</f>
        <v>0.50804790110739129</v>
      </c>
      <c r="M856" s="33">
        <f t="shared" si="26"/>
        <v>4970</v>
      </c>
      <c r="N856" s="24">
        <f>Таблица1[[#This Row],[цена за шт в рублях]]/Таблица1[[#This Row],[средняя стоимость в категории по поставщику.]]-1</f>
        <v>-0.9201207243460765</v>
      </c>
      <c r="O856" s="26">
        <f>VLOOKUP(Таблица1[[#This Row],[id клиента]],клиенты!$A$2:$E$435,5,0)</f>
        <v>44623</v>
      </c>
      <c r="P856">
        <f>Таблица1[[#This Row],[дата создания чека]]-Таблица1[[#This Row],[Дата регистрации клента]]</f>
        <v>775</v>
      </c>
      <c r="Q856" s="26">
        <f t="shared" ca="1" si="27"/>
        <v>46059</v>
      </c>
      <c r="R856" s="51">
        <f ca="1">(TODAY()-Таблица1[[#This Row],[Дата регистрации клента]])/30</f>
        <v>47.866666666666667</v>
      </c>
      <c r="S856" s="63" t="str">
        <f>VLOOKUP(Таблица1[[#This Row],[id клиента]],Таблица8[[id клиента]:[Страна]],7,0)</f>
        <v>Украина</v>
      </c>
      <c r="T856" s="26"/>
    </row>
    <row r="857" spans="1:20" ht="19.5" x14ac:dyDescent="0.4">
      <c r="A857" s="37">
        <v>856</v>
      </c>
      <c r="B857" s="31">
        <v>367</v>
      </c>
      <c r="C857" s="31">
        <v>289</v>
      </c>
      <c r="D857" s="31">
        <v>1</v>
      </c>
      <c r="E857" s="31">
        <v>289</v>
      </c>
      <c r="F857" s="38">
        <v>45041</v>
      </c>
      <c r="G857" s="31" t="s">
        <v>9</v>
      </c>
      <c r="H857" s="31">
        <v>281</v>
      </c>
      <c r="I857" s="31" t="str">
        <f>VLOOKUP(продажи!$B857,товар!$A$1:$C$433,2)</f>
        <v>Колбаса</v>
      </c>
      <c r="J857" s="31" t="str">
        <f>VLOOKUP(B857,товар!$A$1:$C$433,3)</f>
        <v>Окраина</v>
      </c>
      <c r="K857" s="39">
        <f>AVERAGEIF(продажи!$I$2:$I$1001,продажи!$I$2:$I$1001,продажи!$C$2:$C$1001)</f>
        <v>286.92307692307691</v>
      </c>
      <c r="L857" s="40">
        <f>продажи!$C857/продажи!$K857-1</f>
        <v>7.238605898123307E-3</v>
      </c>
      <c r="M857" s="33">
        <f t="shared" si="26"/>
        <v>3283</v>
      </c>
      <c r="N857" s="24">
        <f>Таблица1[[#This Row],[цена за шт в рублях]]/Таблица1[[#This Row],[средняя стоимость в категории по поставщику.]]-1</f>
        <v>-0.91197075845263476</v>
      </c>
      <c r="O857" s="26">
        <f>VLOOKUP(Таблица1[[#This Row],[id клиента]],клиенты!$A$2:$E$435,5,0)</f>
        <v>44711</v>
      </c>
      <c r="P857">
        <f>Таблица1[[#This Row],[дата создания чека]]-Таблица1[[#This Row],[Дата регистрации клента]]</f>
        <v>330</v>
      </c>
      <c r="Q857" s="26">
        <f t="shared" ca="1" si="27"/>
        <v>46059</v>
      </c>
      <c r="R857" s="51">
        <f ca="1">(TODAY()-Таблица1[[#This Row],[Дата регистрации клента]])/30</f>
        <v>44.93333333333333</v>
      </c>
      <c r="S857" s="63" t="str">
        <f>VLOOKUP(Таблица1[[#This Row],[id клиента]],Таблица8[[id клиента]:[Страна]],7,0)</f>
        <v>Узбекистан</v>
      </c>
      <c r="T857" s="26"/>
    </row>
    <row r="858" spans="1:20" ht="19.5" x14ac:dyDescent="0.4">
      <c r="A858" s="41">
        <v>857</v>
      </c>
      <c r="B858" s="42">
        <v>87</v>
      </c>
      <c r="C858" s="42">
        <v>191</v>
      </c>
      <c r="D858" s="42">
        <v>3</v>
      </c>
      <c r="E858" s="42">
        <v>573</v>
      </c>
      <c r="F858" s="43">
        <v>45125</v>
      </c>
      <c r="G858" s="42" t="s">
        <v>26</v>
      </c>
      <c r="H858" s="42">
        <v>430</v>
      </c>
      <c r="I858" s="42" t="str">
        <f>VLOOKUP(продажи!$B858,товар!$A$1:$C$433,2)</f>
        <v>Кофе</v>
      </c>
      <c r="J858" s="42" t="str">
        <f>VLOOKUP(B858,товар!$A$1:$C$433,3)</f>
        <v>Jacobs</v>
      </c>
      <c r="K858" s="44">
        <f>AVERAGEIF(продажи!$I$2:$I$1001,продажи!$I$2:$I$1001,продажи!$C$2:$C$1001)</f>
        <v>249.02380952380952</v>
      </c>
      <c r="L858" s="45">
        <f>продажи!$C858/продажи!$K858-1</f>
        <v>-0.23300506740606175</v>
      </c>
      <c r="M858" s="33">
        <f t="shared" si="26"/>
        <v>5248</v>
      </c>
      <c r="N858" s="24">
        <f>Таблица1[[#This Row],[цена за шт в рублях]]/Таблица1[[#This Row],[средняя стоимость в категории по поставщику.]]-1</f>
        <v>-0.96360518292682928</v>
      </c>
      <c r="O858" s="26">
        <f>VLOOKUP(Таблица1[[#This Row],[id клиента]],клиенты!$A$2:$E$435,5,0)</f>
        <v>44799</v>
      </c>
      <c r="P858">
        <f>Таблица1[[#This Row],[дата создания чека]]-Таблица1[[#This Row],[Дата регистрации клента]]</f>
        <v>326</v>
      </c>
      <c r="Q858" s="26">
        <f t="shared" ca="1" si="27"/>
        <v>46059</v>
      </c>
      <c r="R858" s="51">
        <f ca="1">(TODAY()-Таблица1[[#This Row],[Дата регистрации клента]])/30</f>
        <v>42</v>
      </c>
      <c r="S858" s="63" t="str">
        <f>VLOOKUP(Таблица1[[#This Row],[id клиента]],Таблица8[[id клиента]:[Страна]],7,0)</f>
        <v>Таджикистан</v>
      </c>
      <c r="T858" s="26"/>
    </row>
    <row r="859" spans="1:20" ht="19.5" x14ac:dyDescent="0.4">
      <c r="A859" s="37">
        <v>858</v>
      </c>
      <c r="B859" s="31">
        <v>309</v>
      </c>
      <c r="C859" s="31">
        <v>244</v>
      </c>
      <c r="D859" s="31">
        <v>3</v>
      </c>
      <c r="E859" s="31">
        <v>732</v>
      </c>
      <c r="F859" s="38">
        <v>45374</v>
      </c>
      <c r="G859" s="31" t="s">
        <v>27</v>
      </c>
      <c r="H859" s="31">
        <v>299</v>
      </c>
      <c r="I859" s="31" t="str">
        <f>VLOOKUP(продажи!$B859,товар!$A$1:$C$433,2)</f>
        <v>Конфеты</v>
      </c>
      <c r="J859" s="31" t="str">
        <f>VLOOKUP(B859,товар!$A$1:$C$433,3)</f>
        <v>Рот Фронт</v>
      </c>
      <c r="K859" s="39">
        <f>AVERAGEIF(продажи!$I$2:$I$1001,продажи!$I$2:$I$1001,продажи!$C$2:$C$1001)</f>
        <v>267.85483870967744</v>
      </c>
      <c r="L859" s="40">
        <f>продажи!$C859/продажи!$K859-1</f>
        <v>-8.9058830613596762E-2</v>
      </c>
      <c r="M859" s="33">
        <f t="shared" si="26"/>
        <v>6053</v>
      </c>
      <c r="N859" s="24">
        <f>Таблица1[[#This Row],[цена за шт в рублях]]/Таблица1[[#This Row],[средняя стоимость в категории по поставщику.]]-1</f>
        <v>-0.95968941020981335</v>
      </c>
      <c r="O859" s="26">
        <f>VLOOKUP(Таблица1[[#This Row],[id клиента]],клиенты!$A$2:$E$435,5,0)</f>
        <v>44666</v>
      </c>
      <c r="P859">
        <f>Таблица1[[#This Row],[дата создания чека]]-Таблица1[[#This Row],[Дата регистрации клента]]</f>
        <v>708</v>
      </c>
      <c r="Q859" s="26">
        <f t="shared" ca="1" si="27"/>
        <v>46059</v>
      </c>
      <c r="R859" s="51">
        <f ca="1">(TODAY()-Таблица1[[#This Row],[Дата регистрации клента]])/30</f>
        <v>46.43333333333333</v>
      </c>
      <c r="S859" s="63" t="str">
        <f>VLOOKUP(Таблица1[[#This Row],[id клиента]],Таблица8[[id клиента]:[Страна]],7,0)</f>
        <v>Украина</v>
      </c>
      <c r="T859" s="26"/>
    </row>
    <row r="860" spans="1:20" ht="19.5" x14ac:dyDescent="0.4">
      <c r="A860" s="41">
        <v>859</v>
      </c>
      <c r="B860" s="42">
        <v>271</v>
      </c>
      <c r="C860" s="42">
        <v>392</v>
      </c>
      <c r="D860" s="42">
        <v>3</v>
      </c>
      <c r="E860" s="42">
        <v>1176</v>
      </c>
      <c r="F860" s="43">
        <v>45103</v>
      </c>
      <c r="G860" s="42" t="s">
        <v>19</v>
      </c>
      <c r="H860" s="42">
        <v>132</v>
      </c>
      <c r="I860" s="42" t="str">
        <f>VLOOKUP(продажи!$B860,товар!$A$1:$C$433,2)</f>
        <v>Сыр</v>
      </c>
      <c r="J860" s="42" t="str">
        <f>VLOOKUP(B860,товар!$A$1:$C$433,3)</f>
        <v>Сырная долина</v>
      </c>
      <c r="K860" s="44">
        <f>AVERAGEIF(продажи!$I$2:$I$1001,продажи!$I$2:$I$1001,продажи!$C$2:$C$1001)</f>
        <v>261.03225806451616</v>
      </c>
      <c r="L860" s="45">
        <f>продажи!$C860/продажи!$K860-1</f>
        <v>0.50173010380622829</v>
      </c>
      <c r="M860" s="33">
        <f t="shared" si="26"/>
        <v>8943</v>
      </c>
      <c r="N860" s="24">
        <f>Таблица1[[#This Row],[цена за шт в рублях]]/Таблица1[[#This Row],[средняя стоимость в категории по поставщику.]]-1</f>
        <v>-0.95616683439561667</v>
      </c>
      <c r="O860" s="26">
        <f>VLOOKUP(Таблица1[[#This Row],[id клиента]],клиенты!$A$2:$E$435,5,0)</f>
        <v>44601</v>
      </c>
      <c r="P860">
        <f>Таблица1[[#This Row],[дата создания чека]]-Таблица1[[#This Row],[Дата регистрации клента]]</f>
        <v>502</v>
      </c>
      <c r="Q860" s="26">
        <f t="shared" ca="1" si="27"/>
        <v>46059</v>
      </c>
      <c r="R860" s="51">
        <f ca="1">(TODAY()-Таблица1[[#This Row],[Дата регистрации клента]])/30</f>
        <v>48.6</v>
      </c>
      <c r="S860" s="63" t="str">
        <f>VLOOKUP(Таблица1[[#This Row],[id клиента]],Таблица8[[id клиента]:[Страна]],7,0)</f>
        <v>Украина</v>
      </c>
      <c r="T860" s="26"/>
    </row>
    <row r="861" spans="1:20" ht="19.5" x14ac:dyDescent="0.4">
      <c r="A861" s="37">
        <v>860</v>
      </c>
      <c r="B861" s="31">
        <v>354</v>
      </c>
      <c r="C861" s="31">
        <v>493</v>
      </c>
      <c r="D861" s="31">
        <v>2</v>
      </c>
      <c r="E861" s="31">
        <v>986</v>
      </c>
      <c r="F861" s="38">
        <v>45320</v>
      </c>
      <c r="G861" s="31" t="s">
        <v>24</v>
      </c>
      <c r="H861" s="31">
        <v>68</v>
      </c>
      <c r="I861" s="31" t="str">
        <f>VLOOKUP(продажи!$B861,товар!$A$1:$C$433,2)</f>
        <v>Чай</v>
      </c>
      <c r="J861" s="31" t="str">
        <f>VLOOKUP(B861,товар!$A$1:$C$433,3)</f>
        <v>Lipton</v>
      </c>
      <c r="K861" s="39">
        <f>AVERAGEIF(продажи!$I$2:$I$1001,продажи!$I$2:$I$1001,продажи!$C$2:$C$1001)</f>
        <v>271.18181818181819</v>
      </c>
      <c r="L861" s="40">
        <f>продажи!$C861/продажи!$K861-1</f>
        <v>0.81796848809922884</v>
      </c>
      <c r="M861" s="33">
        <f t="shared" si="26"/>
        <v>4943</v>
      </c>
      <c r="N861" s="24">
        <f>Таблица1[[#This Row],[цена за шт в рублях]]/Таблица1[[#This Row],[средняя стоимость в категории по поставщику.]]-1</f>
        <v>-0.90026299817924338</v>
      </c>
      <c r="O861" s="26">
        <f>VLOOKUP(Таблица1[[#This Row],[id клиента]],клиенты!$A$2:$E$435,5,0)</f>
        <v>44882</v>
      </c>
      <c r="P861">
        <f>Таблица1[[#This Row],[дата создания чека]]-Таблица1[[#This Row],[Дата регистрации клента]]</f>
        <v>438</v>
      </c>
      <c r="Q861" s="26">
        <f t="shared" ca="1" si="27"/>
        <v>46059</v>
      </c>
      <c r="R861" s="51">
        <f ca="1">(TODAY()-Таблица1[[#This Row],[Дата регистрации клента]])/30</f>
        <v>39.233333333333334</v>
      </c>
      <c r="S861" s="63" t="str">
        <f>VLOOKUP(Таблица1[[#This Row],[id клиента]],Таблица8[[id клиента]:[Страна]],7,0)</f>
        <v>Узбекистан</v>
      </c>
      <c r="T861" s="26"/>
    </row>
    <row r="862" spans="1:20" ht="19.5" x14ac:dyDescent="0.4">
      <c r="A862" s="41">
        <v>861</v>
      </c>
      <c r="B862" s="42">
        <v>266</v>
      </c>
      <c r="C862" s="42">
        <v>339</v>
      </c>
      <c r="D862" s="42">
        <v>5</v>
      </c>
      <c r="E862" s="42">
        <v>1695</v>
      </c>
      <c r="F862" s="43">
        <v>45358</v>
      </c>
      <c r="G862" s="42" t="s">
        <v>9</v>
      </c>
      <c r="H862" s="42">
        <v>42</v>
      </c>
      <c r="I862" s="42" t="str">
        <f>VLOOKUP(продажи!$B862,товар!$A$1:$C$433,2)</f>
        <v>Рыба</v>
      </c>
      <c r="J862" s="42" t="str">
        <f>VLOOKUP(B862,товар!$A$1:$C$433,3)</f>
        <v>Меридиан</v>
      </c>
      <c r="K862" s="44">
        <f>AVERAGEIF(продажи!$I$2:$I$1001,продажи!$I$2:$I$1001,продажи!$C$2:$C$1001)</f>
        <v>258.5128205128205</v>
      </c>
      <c r="L862" s="45">
        <f>продажи!$C862/продажи!$K862-1</f>
        <v>0.31134695496925224</v>
      </c>
      <c r="M862" s="33">
        <f t="shared" si="26"/>
        <v>4431</v>
      </c>
      <c r="N862" s="24">
        <f>Таблица1[[#This Row],[цена за шт в рублях]]/Таблица1[[#This Row],[средняя стоимость в категории по поставщику.]]-1</f>
        <v>-0.92349356804333105</v>
      </c>
      <c r="O862" s="26">
        <f>VLOOKUP(Таблица1[[#This Row],[id клиента]],клиенты!$A$2:$E$435,5,0)</f>
        <v>44783</v>
      </c>
      <c r="P862">
        <f>Таблица1[[#This Row],[дата создания чека]]-Таблица1[[#This Row],[Дата регистрации клента]]</f>
        <v>575</v>
      </c>
      <c r="Q862" s="26">
        <f t="shared" ca="1" si="27"/>
        <v>46059</v>
      </c>
      <c r="R862" s="51">
        <f ca="1">(TODAY()-Таблица1[[#This Row],[Дата регистрации клента]])/30</f>
        <v>42.533333333333331</v>
      </c>
      <c r="S862" s="63" t="str">
        <f>VLOOKUP(Таблица1[[#This Row],[id клиента]],Таблица8[[id клиента]:[Страна]],7,0)</f>
        <v>Таджикистан</v>
      </c>
      <c r="T862" s="26"/>
    </row>
    <row r="863" spans="1:20" ht="19.5" x14ac:dyDescent="0.4">
      <c r="A863" s="37">
        <v>862</v>
      </c>
      <c r="B863" s="31">
        <v>441</v>
      </c>
      <c r="C863" s="31">
        <v>316</v>
      </c>
      <c r="D863" s="31">
        <v>4</v>
      </c>
      <c r="E863" s="31">
        <v>1264</v>
      </c>
      <c r="F863" s="38">
        <v>45410</v>
      </c>
      <c r="G863" s="31" t="s">
        <v>22</v>
      </c>
      <c r="H863" s="31">
        <v>488</v>
      </c>
      <c r="I863" s="31" t="str">
        <f>VLOOKUP(продажи!$B863,товар!$A$1:$C$433,2)</f>
        <v>Чай</v>
      </c>
      <c r="J863" s="31" t="str">
        <f>VLOOKUP(B863,товар!$A$1:$C$433,3)</f>
        <v>Lipton</v>
      </c>
      <c r="K863" s="39">
        <f>AVERAGEIF(продажи!$I$2:$I$1001,продажи!$I$2:$I$1001,продажи!$C$2:$C$1001)</f>
        <v>271.18181818181819</v>
      </c>
      <c r="L863" s="40">
        <f>продажи!$C863/продажи!$K863-1</f>
        <v>0.16526986255447529</v>
      </c>
      <c r="M863" s="33">
        <f t="shared" si="26"/>
        <v>4943</v>
      </c>
      <c r="N863" s="24">
        <f>Таблица1[[#This Row],[цена за шт в рублях]]/Таблица1[[#This Row],[средняя стоимость в категории по поставщику.]]-1</f>
        <v>-0.93607121181468744</v>
      </c>
      <c r="O863" s="26">
        <f>VLOOKUP(Таблица1[[#This Row],[id клиента]],клиенты!$A$2:$E$435,5,0)</f>
        <v>44738</v>
      </c>
      <c r="P863">
        <f>Таблица1[[#This Row],[дата создания чека]]-Таблица1[[#This Row],[Дата регистрации клента]]</f>
        <v>672</v>
      </c>
      <c r="Q863" s="26">
        <f t="shared" ca="1" si="27"/>
        <v>46059</v>
      </c>
      <c r="R863" s="51">
        <f ca="1">(TODAY()-Таблица1[[#This Row],[Дата регистрации клента]])/30</f>
        <v>44.033333333333331</v>
      </c>
      <c r="S863" s="63" t="str">
        <f>VLOOKUP(Таблица1[[#This Row],[id клиента]],Таблица8[[id клиента]:[Страна]],7,0)</f>
        <v>Беларусь</v>
      </c>
      <c r="T863" s="26"/>
    </row>
    <row r="864" spans="1:20" ht="19.5" x14ac:dyDescent="0.4">
      <c r="A864" s="41">
        <v>863</v>
      </c>
      <c r="B864" s="42">
        <v>245</v>
      </c>
      <c r="C864" s="42">
        <v>284</v>
      </c>
      <c r="D864" s="42">
        <v>4</v>
      </c>
      <c r="E864" s="42">
        <v>1136</v>
      </c>
      <c r="F864" s="43">
        <v>45405</v>
      </c>
      <c r="G864" s="42" t="s">
        <v>15</v>
      </c>
      <c r="H864" s="42">
        <v>324</v>
      </c>
      <c r="I864" s="42" t="str">
        <f>VLOOKUP(продажи!$B864,товар!$A$1:$C$433,2)</f>
        <v>Сахар</v>
      </c>
      <c r="J864" s="42" t="str">
        <f>VLOOKUP(B864,товар!$A$1:$C$433,3)</f>
        <v>Продимекс</v>
      </c>
      <c r="K864" s="44">
        <f>AVERAGEIF(продажи!$I$2:$I$1001,продажи!$I$2:$I$1001,продажи!$C$2:$C$1001)</f>
        <v>254.58333333333334</v>
      </c>
      <c r="L864" s="45">
        <f>продажи!$C864/продажи!$K864-1</f>
        <v>0.11554828150572827</v>
      </c>
      <c r="M864" s="33">
        <f t="shared" si="26"/>
        <v>5172</v>
      </c>
      <c r="N864" s="24">
        <f>Таблица1[[#This Row],[цена за шт в рублях]]/Таблица1[[#This Row],[средняя стоимость в категории по поставщику.]]-1</f>
        <v>-0.94508894044856917</v>
      </c>
      <c r="O864" s="26">
        <f>VLOOKUP(Таблица1[[#This Row],[id клиента]],клиенты!$A$2:$E$435,5,0)</f>
        <v>44761</v>
      </c>
      <c r="P864">
        <f>Таблица1[[#This Row],[дата создания чека]]-Таблица1[[#This Row],[Дата регистрации клента]]</f>
        <v>644</v>
      </c>
      <c r="Q864" s="26">
        <f t="shared" ca="1" si="27"/>
        <v>46059</v>
      </c>
      <c r="R864" s="51">
        <f ca="1">(TODAY()-Таблица1[[#This Row],[Дата регистрации клента]])/30</f>
        <v>43.266666666666666</v>
      </c>
      <c r="S864" s="63" t="str">
        <f>VLOOKUP(Таблица1[[#This Row],[id клиента]],Таблица8[[id клиента]:[Страна]],7,0)</f>
        <v>Узбекистан</v>
      </c>
      <c r="T864" s="26"/>
    </row>
    <row r="865" spans="1:20" ht="19.5" x14ac:dyDescent="0.4">
      <c r="A865" s="41">
        <v>903</v>
      </c>
      <c r="B865" s="42">
        <v>369</v>
      </c>
      <c r="C865" s="42">
        <v>379</v>
      </c>
      <c r="D865" s="42">
        <v>5</v>
      </c>
      <c r="E865" s="42">
        <v>1895</v>
      </c>
      <c r="F865" s="58">
        <v>45189</v>
      </c>
      <c r="G865" s="42" t="s">
        <v>24</v>
      </c>
      <c r="H865" s="56">
        <v>267</v>
      </c>
      <c r="I865" s="42" t="str">
        <f>VLOOKUP(продажи!$B904,товар!$A$1:$C$433,2)</f>
        <v>Молоко</v>
      </c>
      <c r="J865" s="42" t="str">
        <f>VLOOKUP(B865,товар!$A$1:$C$433,3)</f>
        <v>Домик в деревне</v>
      </c>
      <c r="K865" s="44">
        <f>AVERAGEIF(продажи!$I$2:$I$1001,продажи!$I$2:$I$1001,продажи!$C$2:$C$1001)</f>
        <v>294.95238095238096</v>
      </c>
      <c r="L865" s="45">
        <f>продажи!$C904/продажи!$K904-1</f>
        <v>0.6951888924765901</v>
      </c>
      <c r="M865" s="53">
        <f t="shared" si="26"/>
        <v>4946</v>
      </c>
      <c r="N865" s="24">
        <f>Таблица1[[#This Row],[цена за шт в рублях]]/Таблица1[[#This Row],[средняя стоимость в категории по поставщику.]]-1</f>
        <v>-0.92337242215932069</v>
      </c>
      <c r="O865" s="26">
        <f>VLOOKUP(Таблица1[[#This Row],[id клиента]],клиенты!$A$2:$E$435,5,0)</f>
        <v>44910</v>
      </c>
      <c r="P865">
        <f>Таблица1[[#This Row],[дата создания чека]]-Таблица1[[#This Row],[Дата регистрации клента]]</f>
        <v>279</v>
      </c>
      <c r="Q865" s="26">
        <f t="shared" ca="1" si="27"/>
        <v>46059</v>
      </c>
      <c r="R865" s="51">
        <f ca="1">(TODAY()-Таблица1[[#This Row],[Дата регистрации клента]])/30</f>
        <v>38.299999999999997</v>
      </c>
      <c r="S865" s="63" t="str">
        <f>VLOOKUP(Таблица1[[#This Row],[id клиента]],Таблица8[[id клиента]:[Страна]],7,0)</f>
        <v>Россия</v>
      </c>
      <c r="T865" s="26"/>
    </row>
    <row r="866" spans="1:20" ht="19.5" x14ac:dyDescent="0.4">
      <c r="A866" s="41">
        <v>865</v>
      </c>
      <c r="B866" s="42">
        <v>176</v>
      </c>
      <c r="C866" s="42">
        <v>217</v>
      </c>
      <c r="D866" s="42">
        <v>4</v>
      </c>
      <c r="E866" s="42">
        <v>868</v>
      </c>
      <c r="F866" s="43">
        <v>45135</v>
      </c>
      <c r="G866" s="42" t="s">
        <v>12</v>
      </c>
      <c r="H866" s="42">
        <v>313</v>
      </c>
      <c r="I866" s="42" t="str">
        <f>VLOOKUP(продажи!$B866,товар!$A$1:$C$433,2)</f>
        <v>Сахар</v>
      </c>
      <c r="J866" s="42" t="str">
        <f>VLOOKUP(B866,товар!$A$1:$C$433,3)</f>
        <v>Продимекс</v>
      </c>
      <c r="K866" s="44">
        <f>AVERAGEIF(продажи!$I$2:$I$1001,продажи!$I$2:$I$1001,продажи!$C$2:$C$1001)</f>
        <v>254.58333333333334</v>
      </c>
      <c r="L866" s="45">
        <f>продажи!$C866/продажи!$K866-1</f>
        <v>-0.14762684124386261</v>
      </c>
      <c r="M866" s="33">
        <f t="shared" si="26"/>
        <v>5172</v>
      </c>
      <c r="N866" s="24">
        <f>Таблица1[[#This Row],[цена за шт в рублях]]/Таблица1[[#This Row],[средняя стоимость в категории по поставщику.]]-1</f>
        <v>-0.95804331013147714</v>
      </c>
      <c r="O866" s="26">
        <f>VLOOKUP(Таблица1[[#This Row],[id клиента]],клиенты!$A$2:$E$435,5,0)</f>
        <v>44896</v>
      </c>
      <c r="P866">
        <f>Таблица1[[#This Row],[дата создания чека]]-Таблица1[[#This Row],[Дата регистрации клента]]</f>
        <v>239</v>
      </c>
      <c r="Q866" s="26">
        <f t="shared" ca="1" si="27"/>
        <v>46059</v>
      </c>
      <c r="R866" s="51">
        <f ca="1">(TODAY()-Таблица1[[#This Row],[Дата регистрации клента]])/30</f>
        <v>38.766666666666666</v>
      </c>
      <c r="S866" s="63" t="str">
        <f>VLOOKUP(Таблица1[[#This Row],[id клиента]],Таблица8[[id клиента]:[Страна]],7,0)</f>
        <v>Узбекистан</v>
      </c>
      <c r="T866" s="26"/>
    </row>
    <row r="867" spans="1:20" ht="19.5" x14ac:dyDescent="0.4">
      <c r="A867" s="37">
        <v>866</v>
      </c>
      <c r="B867" s="31">
        <v>467</v>
      </c>
      <c r="C867" s="31">
        <v>72</v>
      </c>
      <c r="D867" s="31">
        <v>2</v>
      </c>
      <c r="E867" s="31">
        <v>144</v>
      </c>
      <c r="F867" s="38">
        <v>45050</v>
      </c>
      <c r="G867" s="31" t="s">
        <v>13</v>
      </c>
      <c r="H867" s="31">
        <v>233</v>
      </c>
      <c r="I867" s="31" t="str">
        <f>VLOOKUP(продажи!$B867,товар!$A$1:$C$433,2)</f>
        <v>Макароны</v>
      </c>
      <c r="J867" s="31" t="str">
        <f>VLOOKUP(B867,товар!$A$1:$C$433,3)</f>
        <v>Борилла</v>
      </c>
      <c r="K867" s="39">
        <f>AVERAGEIF(продажи!$I$2:$I$1001,продажи!$I$2:$I$1001,продажи!$C$2:$C$1001)</f>
        <v>265.47674418604652</v>
      </c>
      <c r="L867" s="40">
        <f>продажи!$C867/продажи!$K867-1</f>
        <v>-0.72878980333756727</v>
      </c>
      <c r="M867" s="33">
        <f t="shared" si="26"/>
        <v>6852</v>
      </c>
      <c r="N867" s="24">
        <f>Таблица1[[#This Row],[цена за шт в рублях]]/Таблица1[[#This Row],[средняя стоимость в категории по поставщику.]]-1</f>
        <v>-0.989492119089317</v>
      </c>
      <c r="O867" s="26">
        <f>VLOOKUP(Таблица1[[#This Row],[id клиента]],клиенты!$A$2:$E$435,5,0)</f>
        <v>44616</v>
      </c>
      <c r="P867">
        <f>Таблица1[[#This Row],[дата создания чека]]-Таблица1[[#This Row],[Дата регистрации клента]]</f>
        <v>434</v>
      </c>
      <c r="Q867" s="26">
        <f t="shared" ca="1" si="27"/>
        <v>46059</v>
      </c>
      <c r="R867" s="51">
        <f ca="1">(TODAY()-Таблица1[[#This Row],[Дата регистрации клента]])/30</f>
        <v>48.1</v>
      </c>
      <c r="S867" s="63" t="str">
        <f>VLOOKUP(Таблица1[[#This Row],[id клиента]],Таблица8[[id клиента]:[Страна]],7,0)</f>
        <v>Таджикистан</v>
      </c>
      <c r="T867" s="26"/>
    </row>
    <row r="868" spans="1:20" ht="19.5" x14ac:dyDescent="0.4">
      <c r="A868" s="41">
        <v>867</v>
      </c>
      <c r="B868" s="42">
        <v>237</v>
      </c>
      <c r="C868" s="42">
        <v>121</v>
      </c>
      <c r="D868" s="42">
        <v>3</v>
      </c>
      <c r="E868" s="42">
        <v>363</v>
      </c>
      <c r="F868" s="43">
        <v>45240</v>
      </c>
      <c r="G868" s="42" t="s">
        <v>26</v>
      </c>
      <c r="H868" s="42">
        <v>77</v>
      </c>
      <c r="I868" s="42" t="str">
        <f>VLOOKUP(продажи!$B868,товар!$A$1:$C$433,2)</f>
        <v>Конфеты</v>
      </c>
      <c r="J868" s="42" t="str">
        <f>VLOOKUP(B868,товар!$A$1:$C$433,3)</f>
        <v>Рот Фронт</v>
      </c>
      <c r="K868" s="44">
        <f>AVERAGEIF(продажи!$I$2:$I$1001,продажи!$I$2:$I$1001,продажи!$C$2:$C$1001)</f>
        <v>267.85483870967744</v>
      </c>
      <c r="L868" s="45">
        <f>продажи!$C868/продажи!$K868-1</f>
        <v>-0.54826278075510326</v>
      </c>
      <c r="M868" s="33">
        <f t="shared" si="26"/>
        <v>6053</v>
      </c>
      <c r="N868" s="24">
        <f>Таблица1[[#This Row],[цена за шт в рублях]]/Таблица1[[#This Row],[средняя стоимость в категории по поставщику.]]-1</f>
        <v>-0.98000991244011237</v>
      </c>
      <c r="O868" s="26">
        <f>VLOOKUP(Таблица1[[#This Row],[id клиента]],клиенты!$A$2:$E$435,5,0)</f>
        <v>44644</v>
      </c>
      <c r="P868">
        <f>Таблица1[[#This Row],[дата создания чека]]-Таблица1[[#This Row],[Дата регистрации клента]]</f>
        <v>596</v>
      </c>
      <c r="Q868" s="26">
        <f t="shared" ca="1" si="27"/>
        <v>46059</v>
      </c>
      <c r="R868" s="51">
        <f ca="1">(TODAY()-Таблица1[[#This Row],[Дата регистрации клента]])/30</f>
        <v>47.166666666666664</v>
      </c>
      <c r="S868" s="63" t="str">
        <f>VLOOKUP(Таблица1[[#This Row],[id клиента]],Таблица8[[id клиента]:[Страна]],7,0)</f>
        <v>Россия</v>
      </c>
      <c r="T868" s="26"/>
    </row>
    <row r="869" spans="1:20" ht="19.5" x14ac:dyDescent="0.4">
      <c r="A869" s="37">
        <v>868</v>
      </c>
      <c r="B869" s="31">
        <v>300</v>
      </c>
      <c r="C869" s="31">
        <v>140</v>
      </c>
      <c r="D869" s="31">
        <v>4</v>
      </c>
      <c r="E869" s="31">
        <v>560</v>
      </c>
      <c r="F869" s="38">
        <v>45317</v>
      </c>
      <c r="G869" s="31" t="s">
        <v>17</v>
      </c>
      <c r="H869" s="31">
        <v>107</v>
      </c>
      <c r="I869" s="31" t="str">
        <f>VLOOKUP(продажи!$B869,товар!$A$1:$C$433,2)</f>
        <v>Сахар</v>
      </c>
      <c r="J869" s="31" t="str">
        <f>VLOOKUP(B869,товар!$A$1:$C$433,3)</f>
        <v>Продимекс</v>
      </c>
      <c r="K869" s="39">
        <f>AVERAGEIF(продажи!$I$2:$I$1001,продажи!$I$2:$I$1001,продажи!$C$2:$C$1001)</f>
        <v>254.58333333333334</v>
      </c>
      <c r="L869" s="40">
        <f>продажи!$C869/продажи!$K869-1</f>
        <v>-0.45008183306055649</v>
      </c>
      <c r="M869" s="33">
        <f t="shared" si="26"/>
        <v>5172</v>
      </c>
      <c r="N869" s="24">
        <f>Таблица1[[#This Row],[цена за шт в рублях]]/Таблица1[[#This Row],[средняя стоимость в категории по поставщику.]]-1</f>
        <v>-0.97293116782675948</v>
      </c>
      <c r="O869" s="26">
        <f>VLOOKUP(Таблица1[[#This Row],[id клиента]],клиенты!$A$2:$E$435,5,0)</f>
        <v>44744</v>
      </c>
      <c r="P869">
        <f>Таблица1[[#This Row],[дата создания чека]]-Таблица1[[#This Row],[Дата регистрации клента]]</f>
        <v>573</v>
      </c>
      <c r="Q869" s="26">
        <f t="shared" ca="1" si="27"/>
        <v>46059</v>
      </c>
      <c r="R869" s="51">
        <f ca="1">(TODAY()-Таблица1[[#This Row],[Дата регистрации клента]])/30</f>
        <v>43.833333333333336</v>
      </c>
      <c r="S869" s="63" t="str">
        <f>VLOOKUP(Таблица1[[#This Row],[id клиента]],Таблица8[[id клиента]:[Страна]],7,0)</f>
        <v>Таджикистан</v>
      </c>
      <c r="T869" s="26"/>
    </row>
    <row r="870" spans="1:20" ht="19.5" x14ac:dyDescent="0.4">
      <c r="A870" s="41">
        <v>869</v>
      </c>
      <c r="B870" s="42">
        <v>137</v>
      </c>
      <c r="C870" s="42">
        <v>295</v>
      </c>
      <c r="D870" s="42">
        <v>2</v>
      </c>
      <c r="E870" s="42">
        <v>590</v>
      </c>
      <c r="F870" s="43">
        <v>45111</v>
      </c>
      <c r="G870" s="42" t="s">
        <v>21</v>
      </c>
      <c r="H870" s="42">
        <v>375</v>
      </c>
      <c r="I870" s="42" t="str">
        <f>VLOOKUP(продажи!$B870,товар!$A$1:$C$433,2)</f>
        <v>Фрукты</v>
      </c>
      <c r="J870" s="42" t="str">
        <f>VLOOKUP(B870,товар!$A$1:$C$433,3)</f>
        <v>Экзотик</v>
      </c>
      <c r="K870" s="44">
        <f>AVERAGEIF(продажи!$I$2:$I$1001,продажи!$I$2:$I$1001,продажи!$C$2:$C$1001)</f>
        <v>274.16279069767444</v>
      </c>
      <c r="L870" s="45">
        <f>продажи!$C870/продажи!$K870-1</f>
        <v>7.6003053694121636E-2</v>
      </c>
      <c r="M870" s="33">
        <f t="shared" si="26"/>
        <v>4059</v>
      </c>
      <c r="N870" s="24">
        <f>Таблица1[[#This Row],[цена за шт в рублях]]/Таблица1[[#This Row],[средняя стоимость в категории по поставщику.]]-1</f>
        <v>-0.92732200049273217</v>
      </c>
      <c r="O870" s="26">
        <f>VLOOKUP(Таблица1[[#This Row],[id клиента]],клиенты!$A$2:$E$435,5,0)</f>
        <v>44674</v>
      </c>
      <c r="P870">
        <f>Таблица1[[#This Row],[дата создания чека]]-Таблица1[[#This Row],[Дата регистрации клента]]</f>
        <v>437</v>
      </c>
      <c r="Q870" s="26">
        <f t="shared" ca="1" si="27"/>
        <v>46059</v>
      </c>
      <c r="R870" s="51">
        <f ca="1">(TODAY()-Таблица1[[#This Row],[Дата регистрации клента]])/30</f>
        <v>46.166666666666664</v>
      </c>
      <c r="S870" s="63" t="str">
        <f>VLOOKUP(Таблица1[[#This Row],[id клиента]],Таблица8[[id клиента]:[Страна]],7,0)</f>
        <v>Россия</v>
      </c>
      <c r="T870" s="26"/>
    </row>
    <row r="871" spans="1:20" ht="19.5" x14ac:dyDescent="0.4">
      <c r="A871" s="37">
        <v>870</v>
      </c>
      <c r="B871" s="31">
        <v>194</v>
      </c>
      <c r="C871" s="31">
        <v>325</v>
      </c>
      <c r="D871" s="31">
        <v>4</v>
      </c>
      <c r="E871" s="31">
        <v>1300</v>
      </c>
      <c r="F871" s="38">
        <v>45319</v>
      </c>
      <c r="G871" s="31" t="s">
        <v>20</v>
      </c>
      <c r="H871" s="31">
        <v>62</v>
      </c>
      <c r="I871" s="31" t="str">
        <f>VLOOKUP(продажи!$B871,товар!$A$1:$C$433,2)</f>
        <v>Соль</v>
      </c>
      <c r="J871" s="31" t="str">
        <f>VLOOKUP(B871,товар!$A$1:$C$433,3)</f>
        <v>Салта</v>
      </c>
      <c r="K871" s="39">
        <f>AVERAGEIF(продажи!$I$2:$I$1001,продажи!$I$2:$I$1001,продажи!$C$2:$C$1001)</f>
        <v>264.8679245283019</v>
      </c>
      <c r="L871" s="40">
        <f>продажи!$C871/продажи!$K871-1</f>
        <v>0.22702664197179079</v>
      </c>
      <c r="M871" s="33">
        <f t="shared" si="26"/>
        <v>2737</v>
      </c>
      <c r="N871" s="24">
        <f>Таблица1[[#This Row],[цена за шт в рублях]]/Таблица1[[#This Row],[средняя стоимость в категории по поставщику.]]-1</f>
        <v>-0.88125685056631342</v>
      </c>
      <c r="O871" s="26">
        <f>VLOOKUP(Таблица1[[#This Row],[id клиента]],клиенты!$A$2:$E$435,5,0)</f>
        <v>44671</v>
      </c>
      <c r="P871">
        <f>Таблица1[[#This Row],[дата создания чека]]-Таблица1[[#This Row],[Дата регистрации клента]]</f>
        <v>648</v>
      </c>
      <c r="Q871" s="26">
        <f t="shared" ca="1" si="27"/>
        <v>46059</v>
      </c>
      <c r="R871" s="51">
        <f ca="1">(TODAY()-Таблица1[[#This Row],[Дата регистрации клента]])/30</f>
        <v>46.266666666666666</v>
      </c>
      <c r="S871" s="63" t="str">
        <f>VLOOKUP(Таблица1[[#This Row],[id клиента]],Таблица8[[id клиента]:[Страна]],7,0)</f>
        <v>Россия</v>
      </c>
      <c r="T871" s="26"/>
    </row>
    <row r="872" spans="1:20" ht="19.5" x14ac:dyDescent="0.4">
      <c r="A872" s="41">
        <v>871</v>
      </c>
      <c r="B872" s="42">
        <v>215</v>
      </c>
      <c r="C872" s="42">
        <v>147</v>
      </c>
      <c r="D872" s="42">
        <v>3</v>
      </c>
      <c r="E872" s="42">
        <v>441</v>
      </c>
      <c r="F872" s="43">
        <v>45173</v>
      </c>
      <c r="G872" s="42" t="s">
        <v>13</v>
      </c>
      <c r="H872" s="42">
        <v>368</v>
      </c>
      <c r="I872" s="42" t="str">
        <f>VLOOKUP(продажи!$B872,товар!$A$1:$C$433,2)</f>
        <v>Сок</v>
      </c>
      <c r="J872" s="42" t="str">
        <f>VLOOKUP(B872,товар!$A$1:$C$433,3)</f>
        <v>Фруктовый сад</v>
      </c>
      <c r="K872" s="44">
        <f>AVERAGEIF(продажи!$I$2:$I$1001,продажи!$I$2:$I$1001,продажи!$C$2:$C$1001)</f>
        <v>268.60344827586209</v>
      </c>
      <c r="L872" s="45">
        <f>продажи!$C872/продажи!$K872-1</f>
        <v>-0.45272482187560181</v>
      </c>
      <c r="M872" s="33">
        <f t="shared" si="26"/>
        <v>9023</v>
      </c>
      <c r="N872" s="24">
        <f>Таблица1[[#This Row],[цена за шт в рублях]]/Таблица1[[#This Row],[средняя стоимость в категории по поставщику.]]-1</f>
        <v>-0.98370830100853379</v>
      </c>
      <c r="O872" s="26">
        <f>VLOOKUP(Таблица1[[#This Row],[id клиента]],клиенты!$A$2:$E$435,5,0)</f>
        <v>44872</v>
      </c>
      <c r="P872">
        <f>Таблица1[[#This Row],[дата создания чека]]-Таблица1[[#This Row],[Дата регистрации клента]]</f>
        <v>301</v>
      </c>
      <c r="Q872" s="26">
        <f t="shared" ca="1" si="27"/>
        <v>46059</v>
      </c>
      <c r="R872" s="51">
        <f ca="1">(TODAY()-Таблица1[[#This Row],[Дата регистрации клента]])/30</f>
        <v>39.56666666666667</v>
      </c>
      <c r="S872" s="63" t="str">
        <f>VLOOKUP(Таблица1[[#This Row],[id клиента]],Таблица8[[id клиента]:[Страна]],7,0)</f>
        <v>Узбекистан</v>
      </c>
      <c r="T872" s="26"/>
    </row>
    <row r="873" spans="1:20" ht="19.5" x14ac:dyDescent="0.4">
      <c r="A873" s="37">
        <v>872</v>
      </c>
      <c r="B873" s="31">
        <v>307</v>
      </c>
      <c r="C873" s="31">
        <v>419</v>
      </c>
      <c r="D873" s="31">
        <v>1</v>
      </c>
      <c r="E873" s="31">
        <v>419</v>
      </c>
      <c r="F873" s="38">
        <v>45189</v>
      </c>
      <c r="G873" s="31" t="s">
        <v>25</v>
      </c>
      <c r="H873" s="31">
        <v>64</v>
      </c>
      <c r="I873" s="31" t="str">
        <f>VLOOKUP(продажи!$B873,товар!$A$1:$C$433,2)</f>
        <v>Сыр</v>
      </c>
      <c r="J873" s="31" t="str">
        <f>VLOOKUP(B873,товар!$A$1:$C$433,3)</f>
        <v>Карат</v>
      </c>
      <c r="K873" s="39">
        <f>AVERAGEIF(продажи!$I$2:$I$1001,продажи!$I$2:$I$1001,продажи!$C$2:$C$1001)</f>
        <v>261.03225806451616</v>
      </c>
      <c r="L873" s="40">
        <f>продажи!$C873/продажи!$K873-1</f>
        <v>0.60516559565002459</v>
      </c>
      <c r="M873" s="33">
        <f t="shared" si="26"/>
        <v>2802</v>
      </c>
      <c r="N873" s="24">
        <f>Таблица1[[#This Row],[цена за шт в рублях]]/Таблица1[[#This Row],[средняя стоимость в категории по поставщику.]]-1</f>
        <v>-0.8504639543183441</v>
      </c>
      <c r="O873" s="26">
        <f>VLOOKUP(Таблица1[[#This Row],[id клиента]],клиенты!$A$2:$E$435,5,0)</f>
        <v>44707</v>
      </c>
      <c r="P873">
        <f>Таблица1[[#This Row],[дата создания чека]]-Таблица1[[#This Row],[Дата регистрации клента]]</f>
        <v>482</v>
      </c>
      <c r="Q873" s="26">
        <f t="shared" ca="1" si="27"/>
        <v>46059</v>
      </c>
      <c r="R873" s="51">
        <f ca="1">(TODAY()-Таблица1[[#This Row],[Дата регистрации клента]])/30</f>
        <v>45.06666666666667</v>
      </c>
      <c r="S873" s="63" t="str">
        <f>VLOOKUP(Таблица1[[#This Row],[id клиента]],Таблица8[[id клиента]:[Страна]],7,0)</f>
        <v>Узбекистан</v>
      </c>
      <c r="T873" s="26"/>
    </row>
    <row r="874" spans="1:20" ht="19.5" x14ac:dyDescent="0.4">
      <c r="A874" s="41">
        <v>873</v>
      </c>
      <c r="B874" s="42">
        <v>424</v>
      </c>
      <c r="C874" s="42">
        <v>457</v>
      </c>
      <c r="D874" s="42">
        <v>1</v>
      </c>
      <c r="E874" s="42">
        <v>457</v>
      </c>
      <c r="F874" s="43">
        <v>45099</v>
      </c>
      <c r="G874" s="42" t="s">
        <v>18</v>
      </c>
      <c r="H874" s="42">
        <v>286</v>
      </c>
      <c r="I874" s="42" t="str">
        <f>VLOOKUP(продажи!$B874,товар!$A$1:$C$433,2)</f>
        <v>Печенье</v>
      </c>
      <c r="J874" s="42" t="str">
        <f>VLOOKUP(B874,товар!$A$1:$C$433,3)</f>
        <v>КДВ</v>
      </c>
      <c r="K874" s="44">
        <f>AVERAGEIF(продажи!$I$2:$I$1001,продажи!$I$2:$I$1001,продажи!$C$2:$C$1001)</f>
        <v>283.468085106383</v>
      </c>
      <c r="L874" s="45">
        <f>продажи!$C874/продажи!$K874-1</f>
        <v>0.61217443518726999</v>
      </c>
      <c r="M874" s="33">
        <f t="shared" si="26"/>
        <v>4200</v>
      </c>
      <c r="N874" s="24">
        <f>Таблица1[[#This Row],[цена за шт в рублях]]/Таблица1[[#This Row],[средняя стоимость в категории по поставщику.]]-1</f>
        <v>-0.8911904761904762</v>
      </c>
      <c r="O874" s="26">
        <f>VLOOKUP(Таблица1[[#This Row],[id клиента]],клиенты!$A$2:$E$435,5,0)</f>
        <v>44563</v>
      </c>
      <c r="P874">
        <f>Таблица1[[#This Row],[дата создания чека]]-Таблица1[[#This Row],[Дата регистрации клента]]</f>
        <v>536</v>
      </c>
      <c r="Q874" s="26">
        <f t="shared" ca="1" si="27"/>
        <v>46059</v>
      </c>
      <c r="R874" s="51">
        <f ca="1">(TODAY()-Таблица1[[#This Row],[Дата регистрации клента]])/30</f>
        <v>49.866666666666667</v>
      </c>
      <c r="S874" s="63" t="str">
        <f>VLOOKUP(Таблица1[[#This Row],[id клиента]],Таблица8[[id клиента]:[Страна]],7,0)</f>
        <v>Таджикистан</v>
      </c>
      <c r="T874" s="26"/>
    </row>
    <row r="875" spans="1:20" ht="19.5" x14ac:dyDescent="0.4">
      <c r="A875" s="37">
        <v>874</v>
      </c>
      <c r="B875" s="31">
        <v>439</v>
      </c>
      <c r="C875" s="31">
        <v>392</v>
      </c>
      <c r="D875" s="31">
        <v>2</v>
      </c>
      <c r="E875" s="31">
        <v>784</v>
      </c>
      <c r="F875" s="38">
        <v>45135</v>
      </c>
      <c r="G875" s="31" t="s">
        <v>15</v>
      </c>
      <c r="H875" s="31">
        <v>74</v>
      </c>
      <c r="I875" s="31" t="str">
        <f>VLOOKUP(продажи!$B875,товар!$A$1:$C$433,2)</f>
        <v>Сок</v>
      </c>
      <c r="J875" s="31" t="str">
        <f>VLOOKUP(B875,товар!$A$1:$C$433,3)</f>
        <v>Добрый</v>
      </c>
      <c r="K875" s="39">
        <f>AVERAGEIF(продажи!$I$2:$I$1001,продажи!$I$2:$I$1001,продажи!$C$2:$C$1001)</f>
        <v>268.60344827586209</v>
      </c>
      <c r="L875" s="40">
        <f>продажи!$C875/продажи!$K875-1</f>
        <v>0.45940047499839509</v>
      </c>
      <c r="M875" s="33">
        <f t="shared" si="26"/>
        <v>2671</v>
      </c>
      <c r="N875" s="24">
        <f>Таблица1[[#This Row],[цена за шт в рублях]]/Таблица1[[#This Row],[средняя стоимость в категории по поставщику.]]-1</f>
        <v>-0.85323848745788089</v>
      </c>
      <c r="O875" s="26">
        <f>VLOOKUP(Таблица1[[#This Row],[id клиента]],клиенты!$A$2:$E$435,5,0)</f>
        <v>44857</v>
      </c>
      <c r="P875">
        <f>Таблица1[[#This Row],[дата создания чека]]-Таблица1[[#This Row],[Дата регистрации клента]]</f>
        <v>278</v>
      </c>
      <c r="Q875" s="26">
        <f t="shared" ca="1" si="27"/>
        <v>46059</v>
      </c>
      <c r="R875" s="51">
        <f ca="1">(TODAY()-Таблица1[[#This Row],[Дата регистрации клента]])/30</f>
        <v>40.06666666666667</v>
      </c>
      <c r="S875" s="63" t="str">
        <f>VLOOKUP(Таблица1[[#This Row],[id клиента]],Таблица8[[id клиента]:[Страна]],7,0)</f>
        <v>Россия</v>
      </c>
      <c r="T875" s="26"/>
    </row>
    <row r="876" spans="1:20" ht="19.5" x14ac:dyDescent="0.4">
      <c r="A876" s="41">
        <v>875</v>
      </c>
      <c r="B876" s="42">
        <v>83</v>
      </c>
      <c r="C876" s="42">
        <v>282</v>
      </c>
      <c r="D876" s="42">
        <v>5</v>
      </c>
      <c r="E876" s="42">
        <v>1410</v>
      </c>
      <c r="F876" s="43">
        <v>44970</v>
      </c>
      <c r="G876" s="42" t="s">
        <v>12</v>
      </c>
      <c r="H876" s="42">
        <v>6</v>
      </c>
      <c r="I876" s="42" t="str">
        <f>VLOOKUP(продажи!$B876,товар!$A$1:$C$433,2)</f>
        <v>Сок</v>
      </c>
      <c r="J876" s="42" t="str">
        <f>VLOOKUP(B876,товар!$A$1:$C$433,3)</f>
        <v>Сады Придонья</v>
      </c>
      <c r="K876" s="44">
        <f>AVERAGEIF(продажи!$I$2:$I$1001,продажи!$I$2:$I$1001,продажи!$C$2:$C$1001)</f>
        <v>268.60344827586209</v>
      </c>
      <c r="L876" s="45">
        <f>продажи!$C876/продажи!$K876-1</f>
        <v>4.9874831503947448E-2</v>
      </c>
      <c r="M876" s="33">
        <f t="shared" si="26"/>
        <v>2796</v>
      </c>
      <c r="N876" s="24">
        <f>Таблица1[[#This Row],[цена за шт в рублях]]/Таблица1[[#This Row],[средняя стоимость в категории по поставщику.]]-1</f>
        <v>-0.89914163090128751</v>
      </c>
      <c r="O876" s="26">
        <f>VLOOKUP(Таблица1[[#This Row],[id клиента]],клиенты!$A$2:$E$435,5,0)</f>
        <v>44710</v>
      </c>
      <c r="P876">
        <f>Таблица1[[#This Row],[дата создания чека]]-Таблица1[[#This Row],[Дата регистрации клента]]</f>
        <v>260</v>
      </c>
      <c r="Q876" s="26">
        <f t="shared" ca="1" si="27"/>
        <v>46059</v>
      </c>
      <c r="R876" s="51">
        <f ca="1">(TODAY()-Таблица1[[#This Row],[Дата регистрации клента]])/30</f>
        <v>44.966666666666669</v>
      </c>
      <c r="S876" s="63" t="str">
        <f>VLOOKUP(Таблица1[[#This Row],[id клиента]],Таблица8[[id клиента]:[Страна]],7,0)</f>
        <v>Украина</v>
      </c>
      <c r="T876" s="26"/>
    </row>
    <row r="877" spans="1:20" ht="19.5" x14ac:dyDescent="0.4">
      <c r="A877" s="37">
        <v>876</v>
      </c>
      <c r="B877" s="31">
        <v>329</v>
      </c>
      <c r="C877" s="31">
        <v>265</v>
      </c>
      <c r="D877" s="31">
        <v>2</v>
      </c>
      <c r="E877" s="31">
        <v>530</v>
      </c>
      <c r="F877" s="38">
        <v>45413</v>
      </c>
      <c r="G877" s="31" t="s">
        <v>22</v>
      </c>
      <c r="H877" s="31">
        <v>258</v>
      </c>
      <c r="I877" s="31" t="str">
        <f>VLOOKUP(продажи!$B877,товар!$A$1:$C$433,2)</f>
        <v>Соль</v>
      </c>
      <c r="J877" s="31" t="str">
        <f>VLOOKUP(B877,товар!$A$1:$C$433,3)</f>
        <v>Славянская</v>
      </c>
      <c r="K877" s="39">
        <f>AVERAGEIF(продажи!$I$2:$I$1001,продажи!$I$2:$I$1001,продажи!$C$2:$C$1001)</f>
        <v>264.8679245283019</v>
      </c>
      <c r="L877" s="40">
        <f>продажи!$C877/продажи!$K877-1</f>
        <v>4.9864653084474853E-4</v>
      </c>
      <c r="M877" s="33">
        <f t="shared" si="26"/>
        <v>2843</v>
      </c>
      <c r="N877" s="24">
        <f>Таблица1[[#This Row],[цена за шт в рублях]]/Таблица1[[#This Row],[средняя стоимость в категории по поставщику.]]-1</f>
        <v>-0.90678860358775937</v>
      </c>
      <c r="O877" s="26">
        <f>VLOOKUP(Таблица1[[#This Row],[id клиента]],клиенты!$A$2:$E$435,5,0)</f>
        <v>44717</v>
      </c>
      <c r="P877">
        <f>Таблица1[[#This Row],[дата создания чека]]-Таблица1[[#This Row],[Дата регистрации клента]]</f>
        <v>696</v>
      </c>
      <c r="Q877" s="26">
        <f t="shared" ca="1" si="27"/>
        <v>46059</v>
      </c>
      <c r="R877" s="51">
        <f ca="1">(TODAY()-Таблица1[[#This Row],[Дата регистрации клента]])/30</f>
        <v>44.733333333333334</v>
      </c>
      <c r="S877" s="63" t="str">
        <f>VLOOKUP(Таблица1[[#This Row],[id клиента]],Таблица8[[id клиента]:[Страна]],7,0)</f>
        <v>Украина</v>
      </c>
      <c r="T877" s="26"/>
    </row>
    <row r="878" spans="1:20" ht="19.5" x14ac:dyDescent="0.4">
      <c r="A878" s="41">
        <v>877</v>
      </c>
      <c r="B878" s="42">
        <v>91</v>
      </c>
      <c r="C878" s="42">
        <v>146</v>
      </c>
      <c r="D878" s="42">
        <v>1</v>
      </c>
      <c r="E878" s="42">
        <v>146</v>
      </c>
      <c r="F878" s="43">
        <v>45022</v>
      </c>
      <c r="G878" s="42" t="s">
        <v>24</v>
      </c>
      <c r="H878" s="42">
        <v>138</v>
      </c>
      <c r="I878" s="42" t="str">
        <f>VLOOKUP(продажи!$B878,товар!$A$1:$C$433,2)</f>
        <v>Сыр</v>
      </c>
      <c r="J878" s="42" t="str">
        <f>VLOOKUP(B878,товар!$A$1:$C$433,3)</f>
        <v>Сырная долина</v>
      </c>
      <c r="K878" s="44">
        <f>AVERAGEIF(продажи!$I$2:$I$1001,продажи!$I$2:$I$1001,продажи!$C$2:$C$1001)</f>
        <v>261.03225806451616</v>
      </c>
      <c r="L878" s="45">
        <f>продажи!$C878/продажи!$K878-1</f>
        <v>-0.44068215521502729</v>
      </c>
      <c r="M878" s="33">
        <f t="shared" si="26"/>
        <v>8943</v>
      </c>
      <c r="N878" s="24">
        <f>Таблица1[[#This Row],[цена за шт в рублях]]/Таблица1[[#This Row],[средняя стоимость в категории по поставщику.]]-1</f>
        <v>-0.98367438219836745</v>
      </c>
      <c r="O878" s="26">
        <f>VLOOKUP(Таблица1[[#This Row],[id клиента]],клиенты!$A$2:$E$435,5,0)</f>
        <v>44723</v>
      </c>
      <c r="P878">
        <f>Таблица1[[#This Row],[дата создания чека]]-Таблица1[[#This Row],[Дата регистрации клента]]</f>
        <v>299</v>
      </c>
      <c r="Q878" s="26">
        <f t="shared" ca="1" si="27"/>
        <v>46059</v>
      </c>
      <c r="R878" s="51">
        <f ca="1">(TODAY()-Таблица1[[#This Row],[Дата регистрации клента]])/30</f>
        <v>44.533333333333331</v>
      </c>
      <c r="S878" s="63" t="str">
        <f>VLOOKUP(Таблица1[[#This Row],[id клиента]],Таблица8[[id клиента]:[Страна]],7,0)</f>
        <v>Украина</v>
      </c>
      <c r="T878" s="26"/>
    </row>
    <row r="879" spans="1:20" ht="19.5" x14ac:dyDescent="0.4">
      <c r="A879" s="37">
        <v>878</v>
      </c>
      <c r="B879" s="31">
        <v>296</v>
      </c>
      <c r="C879" s="31">
        <v>58</v>
      </c>
      <c r="D879" s="31">
        <v>2</v>
      </c>
      <c r="E879" s="31">
        <v>116</v>
      </c>
      <c r="F879" s="38">
        <v>45401</v>
      </c>
      <c r="G879" s="31" t="s">
        <v>8</v>
      </c>
      <c r="H879" s="31">
        <v>419</v>
      </c>
      <c r="I879" s="31" t="str">
        <f>VLOOKUP(продажи!$B879,товар!$A$1:$C$433,2)</f>
        <v>Крупа</v>
      </c>
      <c r="J879" s="31" t="str">
        <f>VLOOKUP(B879,товар!$A$1:$C$433,3)</f>
        <v>Мистраль</v>
      </c>
      <c r="K879" s="39">
        <f>AVERAGEIF(продажи!$I$2:$I$1001,продажи!$I$2:$I$1001,продажи!$C$2:$C$1001)</f>
        <v>255.11627906976744</v>
      </c>
      <c r="L879" s="40">
        <f>продажи!$C879/продажи!$K879-1</f>
        <v>-0.7726526891522334</v>
      </c>
      <c r="M879" s="33">
        <f t="shared" si="26"/>
        <v>3254</v>
      </c>
      <c r="N879" s="24">
        <f>Таблица1[[#This Row],[цена за шт в рублях]]/Таблица1[[#This Row],[средняя стоимость в категории по поставщику.]]-1</f>
        <v>-0.9821757836508912</v>
      </c>
      <c r="O879" s="26">
        <f>VLOOKUP(Таблица1[[#This Row],[id клиента]],клиенты!$A$2:$E$435,5,0)</f>
        <v>44869</v>
      </c>
      <c r="P879">
        <f>Таблица1[[#This Row],[дата создания чека]]-Таблица1[[#This Row],[Дата регистрации клента]]</f>
        <v>532</v>
      </c>
      <c r="Q879" s="26">
        <f t="shared" ca="1" si="27"/>
        <v>46059</v>
      </c>
      <c r="R879" s="51">
        <f ca="1">(TODAY()-Таблица1[[#This Row],[Дата регистрации клента]])/30</f>
        <v>39.666666666666664</v>
      </c>
      <c r="S879" s="63" t="str">
        <f>VLOOKUP(Таблица1[[#This Row],[id клиента]],Таблица8[[id клиента]:[Страна]],7,0)</f>
        <v>Таджикистан</v>
      </c>
      <c r="T879" s="26"/>
    </row>
    <row r="880" spans="1:20" ht="19.5" x14ac:dyDescent="0.4">
      <c r="A880" s="41">
        <v>879</v>
      </c>
      <c r="B880" s="42">
        <v>437</v>
      </c>
      <c r="C880" s="42">
        <v>379</v>
      </c>
      <c r="D880" s="42">
        <v>2</v>
      </c>
      <c r="E880" s="42">
        <v>758</v>
      </c>
      <c r="F880" s="43">
        <v>45381</v>
      </c>
      <c r="G880" s="42" t="s">
        <v>25</v>
      </c>
      <c r="H880" s="42">
        <v>148</v>
      </c>
      <c r="I880" s="42" t="str">
        <f>VLOOKUP(продажи!$B880,товар!$A$1:$C$433,2)</f>
        <v>Чай</v>
      </c>
      <c r="J880" s="42" t="str">
        <f>VLOOKUP(B880,товар!$A$1:$C$433,3)</f>
        <v>Тесс</v>
      </c>
      <c r="K880" s="44">
        <f>AVERAGEIF(продажи!$I$2:$I$1001,продажи!$I$2:$I$1001,продажи!$C$2:$C$1001)</f>
        <v>271.18181818181819</v>
      </c>
      <c r="L880" s="45">
        <f>продажи!$C880/продажи!$K880-1</f>
        <v>0.39758632249413339</v>
      </c>
      <c r="M880" s="33">
        <f t="shared" si="26"/>
        <v>1127</v>
      </c>
      <c r="N880" s="24">
        <f>Таблица1[[#This Row],[цена за шт в рублях]]/Таблица1[[#This Row],[средняя стоимость в категории по поставщику.]]-1</f>
        <v>-0.66370896184560779</v>
      </c>
      <c r="O880" s="26">
        <f>VLOOKUP(Таблица1[[#This Row],[id клиента]],клиенты!$A$2:$E$435,5,0)</f>
        <v>44700</v>
      </c>
      <c r="P880">
        <f>Таблица1[[#This Row],[дата создания чека]]-Таблица1[[#This Row],[Дата регистрации клента]]</f>
        <v>681</v>
      </c>
      <c r="Q880" s="26">
        <f t="shared" ca="1" si="27"/>
        <v>46059</v>
      </c>
      <c r="R880" s="51">
        <f ca="1">(TODAY()-Таблица1[[#This Row],[Дата регистрации клента]])/30</f>
        <v>45.3</v>
      </c>
      <c r="S880" s="63" t="str">
        <f>VLOOKUP(Таблица1[[#This Row],[id клиента]],Таблица8[[id клиента]:[Страна]],7,0)</f>
        <v>Россия</v>
      </c>
      <c r="T880" s="26"/>
    </row>
    <row r="881" spans="1:20" ht="19.5" x14ac:dyDescent="0.4">
      <c r="A881" s="37">
        <v>880</v>
      </c>
      <c r="B881" s="31">
        <v>193</v>
      </c>
      <c r="C881" s="31">
        <v>201</v>
      </c>
      <c r="D881" s="31">
        <v>4</v>
      </c>
      <c r="E881" s="31">
        <v>804</v>
      </c>
      <c r="F881" s="38">
        <v>45203</v>
      </c>
      <c r="G881" s="31" t="s">
        <v>14</v>
      </c>
      <c r="H881" s="31">
        <v>105</v>
      </c>
      <c r="I881" s="31" t="str">
        <f>VLOOKUP(продажи!$B881,товар!$A$1:$C$433,2)</f>
        <v>Соль</v>
      </c>
      <c r="J881" s="31" t="str">
        <f>VLOOKUP(B881,товар!$A$1:$C$433,3)</f>
        <v>Салта</v>
      </c>
      <c r="K881" s="39">
        <f>AVERAGEIF(продажи!$I$2:$I$1001,продажи!$I$2:$I$1001,продажи!$C$2:$C$1001)</f>
        <v>264.8679245283019</v>
      </c>
      <c r="L881" s="40">
        <f>продажи!$C881/продажи!$K881-1</f>
        <v>-0.24113121527283088</v>
      </c>
      <c r="M881" s="33">
        <f t="shared" si="26"/>
        <v>2737</v>
      </c>
      <c r="N881" s="24">
        <f>Таблица1[[#This Row],[цена за шт в рублях]]/Таблица1[[#This Row],[средняя стоимость в категории по поставщику.]]-1</f>
        <v>-0.92656192911947388</v>
      </c>
      <c r="O881" s="26">
        <f>VLOOKUP(Таблица1[[#This Row],[id клиента]],клиенты!$A$2:$E$435,5,0)</f>
        <v>44918</v>
      </c>
      <c r="P881">
        <f>Таблица1[[#This Row],[дата создания чека]]-Таблица1[[#This Row],[Дата регистрации клента]]</f>
        <v>285</v>
      </c>
      <c r="Q881" s="26">
        <f t="shared" ca="1" si="27"/>
        <v>46059</v>
      </c>
      <c r="R881" s="51">
        <f ca="1">(TODAY()-Таблица1[[#This Row],[Дата регистрации клента]])/30</f>
        <v>38.033333333333331</v>
      </c>
      <c r="S881" s="63" t="str">
        <f>VLOOKUP(Таблица1[[#This Row],[id клиента]],Таблица8[[id клиента]:[Страна]],7,0)</f>
        <v>Узбекистан</v>
      </c>
      <c r="T881" s="26"/>
    </row>
    <row r="882" spans="1:20" ht="19.5" x14ac:dyDescent="0.4">
      <c r="A882" s="41">
        <v>881</v>
      </c>
      <c r="B882" s="42">
        <v>144</v>
      </c>
      <c r="C882" s="42">
        <v>337</v>
      </c>
      <c r="D882" s="42">
        <v>3</v>
      </c>
      <c r="E882" s="42">
        <v>1011</v>
      </c>
      <c r="F882" s="43">
        <v>45039</v>
      </c>
      <c r="G882" s="42" t="s">
        <v>24</v>
      </c>
      <c r="H882" s="42">
        <v>365</v>
      </c>
      <c r="I882" s="42" t="str">
        <f>VLOOKUP(продажи!$B882,товар!$A$1:$C$433,2)</f>
        <v>Макароны</v>
      </c>
      <c r="J882" s="42" t="str">
        <f>VLOOKUP(B882,товар!$A$1:$C$433,3)</f>
        <v>Роллтон</v>
      </c>
      <c r="K882" s="44">
        <f>AVERAGEIF(продажи!$I$2:$I$1001,продажи!$I$2:$I$1001,продажи!$C$2:$C$1001)</f>
        <v>265.47674418604652</v>
      </c>
      <c r="L882" s="45">
        <f>продажи!$C882/продажи!$K882-1</f>
        <v>0.2694143927116639</v>
      </c>
      <c r="M882" s="33">
        <f t="shared" si="26"/>
        <v>2120</v>
      </c>
      <c r="N882" s="24">
        <f>Таблица1[[#This Row],[цена за шт в рублях]]/Таблица1[[#This Row],[средняя стоимость в категории по поставщику.]]-1</f>
        <v>-0.84103773584905661</v>
      </c>
      <c r="O882" s="26">
        <f>VLOOKUP(Таблица1[[#This Row],[id клиента]],клиенты!$A$2:$E$435,5,0)</f>
        <v>44841</v>
      </c>
      <c r="P882">
        <f>Таблица1[[#This Row],[дата создания чека]]-Таблица1[[#This Row],[Дата регистрации клента]]</f>
        <v>198</v>
      </c>
      <c r="Q882" s="26">
        <f t="shared" ca="1" si="27"/>
        <v>46059</v>
      </c>
      <c r="R882" s="51">
        <f ca="1">(TODAY()-Таблица1[[#This Row],[Дата регистрации клента]])/30</f>
        <v>40.6</v>
      </c>
      <c r="S882" s="63" t="str">
        <f>VLOOKUP(Таблица1[[#This Row],[id клиента]],Таблица8[[id клиента]:[Страна]],7,0)</f>
        <v>Беларусь</v>
      </c>
      <c r="T882" s="26"/>
    </row>
    <row r="883" spans="1:20" ht="19.5" x14ac:dyDescent="0.4">
      <c r="A883" s="37">
        <v>882</v>
      </c>
      <c r="B883" s="31">
        <v>27</v>
      </c>
      <c r="C883" s="31">
        <v>160</v>
      </c>
      <c r="D883" s="31">
        <v>1</v>
      </c>
      <c r="E883" s="31">
        <v>160</v>
      </c>
      <c r="F883" s="38">
        <v>45276</v>
      </c>
      <c r="G883" s="31" t="s">
        <v>16</v>
      </c>
      <c r="H883" s="31">
        <v>416</v>
      </c>
      <c r="I883" s="31" t="str">
        <f>VLOOKUP(продажи!$B883,товар!$A$1:$C$433,2)</f>
        <v>Макароны</v>
      </c>
      <c r="J883" s="31" t="str">
        <f>VLOOKUP(B883,товар!$A$1:$C$433,3)</f>
        <v>Паста Зара</v>
      </c>
      <c r="K883" s="39">
        <f>AVERAGEIF(продажи!$I$2:$I$1001,продажи!$I$2:$I$1001,продажи!$C$2:$C$1001)</f>
        <v>265.47674418604652</v>
      </c>
      <c r="L883" s="40">
        <f>продажи!$C883/продажи!$K883-1</f>
        <v>-0.39731067408348297</v>
      </c>
      <c r="M883" s="33">
        <f t="shared" si="26"/>
        <v>10237</v>
      </c>
      <c r="N883" s="24">
        <f>Таблица1[[#This Row],[цена за шт в рублях]]/Таблица1[[#This Row],[средняя стоимость в категории по поставщику.]]-1</f>
        <v>-0.98437042102178374</v>
      </c>
      <c r="O883" s="26">
        <f>VLOOKUP(Таблица1[[#This Row],[id клиента]],клиенты!$A$2:$E$435,5,0)</f>
        <v>44703</v>
      </c>
      <c r="P883">
        <f>Таблица1[[#This Row],[дата создания чека]]-Таблица1[[#This Row],[Дата регистрации клента]]</f>
        <v>573</v>
      </c>
      <c r="Q883" s="26">
        <f t="shared" ca="1" si="27"/>
        <v>46059</v>
      </c>
      <c r="R883" s="51">
        <f ca="1">(TODAY()-Таблица1[[#This Row],[Дата регистрации клента]])/30</f>
        <v>45.2</v>
      </c>
      <c r="S883" s="63" t="str">
        <f>VLOOKUP(Таблица1[[#This Row],[id клиента]],Таблица8[[id клиента]:[Страна]],7,0)</f>
        <v>Таджикистан</v>
      </c>
      <c r="T883" s="26"/>
    </row>
    <row r="884" spans="1:20" ht="19.5" x14ac:dyDescent="0.4">
      <c r="A884" s="41">
        <v>883</v>
      </c>
      <c r="B884" s="42">
        <v>375</v>
      </c>
      <c r="C884" s="42">
        <v>197</v>
      </c>
      <c r="D884" s="42">
        <v>5</v>
      </c>
      <c r="E884" s="42">
        <v>985</v>
      </c>
      <c r="F884" s="43">
        <v>45368</v>
      </c>
      <c r="G884" s="42" t="s">
        <v>15</v>
      </c>
      <c r="H884" s="42">
        <v>315</v>
      </c>
      <c r="I884" s="42" t="str">
        <f>VLOOKUP(продажи!$B884,товар!$A$1:$C$433,2)</f>
        <v>Макароны</v>
      </c>
      <c r="J884" s="42" t="str">
        <f>VLOOKUP(B884,товар!$A$1:$C$433,3)</f>
        <v>Борилла</v>
      </c>
      <c r="K884" s="44">
        <f>AVERAGEIF(продажи!$I$2:$I$1001,продажи!$I$2:$I$1001,продажи!$C$2:$C$1001)</f>
        <v>265.47674418604652</v>
      </c>
      <c r="L884" s="45">
        <f>продажи!$C884/продажи!$K884-1</f>
        <v>-0.25793876746528843</v>
      </c>
      <c r="M884" s="33">
        <f t="shared" si="26"/>
        <v>6852</v>
      </c>
      <c r="N884" s="24">
        <f>Таблица1[[#This Row],[цена за шт в рублях]]/Таблица1[[#This Row],[средняя стоимость в категории по поставщику.]]-1</f>
        <v>-0.97124927028604791</v>
      </c>
      <c r="O884" s="26">
        <f>VLOOKUP(Таблица1[[#This Row],[id клиента]],клиенты!$A$2:$E$435,5,0)</f>
        <v>44747</v>
      </c>
      <c r="P884">
        <f>Таблица1[[#This Row],[дата создания чека]]-Таблица1[[#This Row],[Дата регистрации клента]]</f>
        <v>621</v>
      </c>
      <c r="Q884" s="26">
        <f t="shared" ca="1" si="27"/>
        <v>46059</v>
      </c>
      <c r="R884" s="51">
        <f ca="1">(TODAY()-Таблица1[[#This Row],[Дата регистрации клента]])/30</f>
        <v>43.733333333333334</v>
      </c>
      <c r="S884" s="63" t="str">
        <f>VLOOKUP(Таблица1[[#This Row],[id клиента]],Таблица8[[id клиента]:[Страна]],7,0)</f>
        <v>Узбекистан</v>
      </c>
      <c r="T884" s="26"/>
    </row>
    <row r="885" spans="1:20" ht="19.5" x14ac:dyDescent="0.4">
      <c r="A885" s="37">
        <v>884</v>
      </c>
      <c r="B885" s="31">
        <v>453</v>
      </c>
      <c r="C885" s="31">
        <v>437</v>
      </c>
      <c r="D885" s="31">
        <v>2</v>
      </c>
      <c r="E885" s="31">
        <v>874</v>
      </c>
      <c r="F885" s="38">
        <v>45394</v>
      </c>
      <c r="G885" s="31" t="s">
        <v>25</v>
      </c>
      <c r="H885" s="31">
        <v>81</v>
      </c>
      <c r="I885" s="31" t="str">
        <f>VLOOKUP(продажи!$B885,товар!$A$1:$C$433,2)</f>
        <v>Макароны</v>
      </c>
      <c r="J885" s="31" t="str">
        <f>VLOOKUP(B885,товар!$A$1:$C$433,3)</f>
        <v>Макфа</v>
      </c>
      <c r="K885" s="39">
        <f>AVERAGEIF(продажи!$I$2:$I$1001,продажи!$I$2:$I$1001,продажи!$C$2:$C$1001)</f>
        <v>265.47674418604652</v>
      </c>
      <c r="L885" s="40">
        <f>продажи!$C885/продажи!$K885-1</f>
        <v>0.64609522140948705</v>
      </c>
      <c r="M885" s="33">
        <f t="shared" si="26"/>
        <v>3622</v>
      </c>
      <c r="N885" s="24">
        <f>Таблица1[[#This Row],[цена за шт в рублях]]/Таблица1[[#This Row],[средняя стоимость в категории по поставщику.]]-1</f>
        <v>-0.87934842628382115</v>
      </c>
      <c r="O885" s="26">
        <f>VLOOKUP(Таблица1[[#This Row],[id клиента]],клиенты!$A$2:$E$435,5,0)</f>
        <v>44825</v>
      </c>
      <c r="P885">
        <f>Таблица1[[#This Row],[дата создания чека]]-Таблица1[[#This Row],[Дата регистрации клента]]</f>
        <v>569</v>
      </c>
      <c r="Q885" s="26">
        <f t="shared" ca="1" si="27"/>
        <v>46059</v>
      </c>
      <c r="R885" s="51">
        <f ca="1">(TODAY()-Таблица1[[#This Row],[Дата регистрации клента]])/30</f>
        <v>41.133333333333333</v>
      </c>
      <c r="S885" s="63" t="str">
        <f>VLOOKUP(Таблица1[[#This Row],[id клиента]],Таблица8[[id клиента]:[Страна]],7,0)</f>
        <v>Россия</v>
      </c>
      <c r="T885" s="26"/>
    </row>
    <row r="886" spans="1:20" ht="19.5" x14ac:dyDescent="0.4">
      <c r="A886" s="41">
        <v>885</v>
      </c>
      <c r="B886" s="42">
        <v>388</v>
      </c>
      <c r="C886" s="42">
        <v>205</v>
      </c>
      <c r="D886" s="42">
        <v>2</v>
      </c>
      <c r="E886" s="42">
        <v>410</v>
      </c>
      <c r="F886" s="43">
        <v>45404</v>
      </c>
      <c r="G886" s="42" t="s">
        <v>21</v>
      </c>
      <c r="H886" s="42">
        <v>262</v>
      </c>
      <c r="I886" s="42" t="str">
        <f>VLOOKUP(продажи!$B886,товар!$A$1:$C$433,2)</f>
        <v>Рыба</v>
      </c>
      <c r="J886" s="42" t="str">
        <f>VLOOKUP(B886,товар!$A$1:$C$433,3)</f>
        <v>Меридиан</v>
      </c>
      <c r="K886" s="44">
        <f>AVERAGEIF(продажи!$I$2:$I$1001,продажи!$I$2:$I$1001,продажи!$C$2:$C$1001)</f>
        <v>258.5128205128205</v>
      </c>
      <c r="L886" s="45">
        <f>продажи!$C886/продажи!$K886-1</f>
        <v>-0.20700257885340201</v>
      </c>
      <c r="M886" s="33">
        <f t="shared" si="26"/>
        <v>4431</v>
      </c>
      <c r="N886" s="24">
        <f>Таблица1[[#This Row],[цена за шт в рублях]]/Таблица1[[#This Row],[средняя стоимость в категории по поставщику.]]-1</f>
        <v>-0.95373504852177837</v>
      </c>
      <c r="O886" s="26">
        <f>VLOOKUP(Таблица1[[#This Row],[id клиента]],клиенты!$A$2:$E$435,5,0)</f>
        <v>44778</v>
      </c>
      <c r="P886">
        <f>Таблица1[[#This Row],[дата создания чека]]-Таблица1[[#This Row],[Дата регистрации клента]]</f>
        <v>626</v>
      </c>
      <c r="Q886" s="26">
        <f t="shared" ca="1" si="27"/>
        <v>46059</v>
      </c>
      <c r="R886" s="51">
        <f ca="1">(TODAY()-Таблица1[[#This Row],[Дата регистрации клента]])/30</f>
        <v>42.7</v>
      </c>
      <c r="S886" s="63" t="str">
        <f>VLOOKUP(Таблица1[[#This Row],[id клиента]],Таблица8[[id клиента]:[Страна]],7,0)</f>
        <v>Таджикистан</v>
      </c>
      <c r="T886" s="26"/>
    </row>
    <row r="887" spans="1:20" ht="19.5" x14ac:dyDescent="0.4">
      <c r="A887" s="37">
        <v>886</v>
      </c>
      <c r="B887" s="31">
        <v>312</v>
      </c>
      <c r="C887" s="31">
        <v>476</v>
      </c>
      <c r="D887" s="31">
        <v>2</v>
      </c>
      <c r="E887" s="31">
        <v>952</v>
      </c>
      <c r="F887" s="38">
        <v>45113</v>
      </c>
      <c r="G887" s="31" t="s">
        <v>24</v>
      </c>
      <c r="H887" s="31">
        <v>239</v>
      </c>
      <c r="I887" s="31" t="str">
        <f>VLOOKUP(продажи!$B887,товар!$A$1:$C$433,2)</f>
        <v>Хлеб</v>
      </c>
      <c r="J887" s="31" t="str">
        <f>VLOOKUP(B887,товар!$A$1:$C$433,3)</f>
        <v>Каравай</v>
      </c>
      <c r="K887" s="39">
        <f>AVERAGEIF(продажи!$I$2:$I$1001,продажи!$I$2:$I$1001,продажи!$C$2:$C$1001)</f>
        <v>300.31818181818181</v>
      </c>
      <c r="L887" s="40">
        <f>продажи!$C887/продажи!$K887-1</f>
        <v>0.58498562131073117</v>
      </c>
      <c r="M887" s="33">
        <f t="shared" si="26"/>
        <v>3974</v>
      </c>
      <c r="N887" s="24">
        <f>Таблица1[[#This Row],[цена за шт в рублях]]/Таблица1[[#This Row],[средняя стоимость в категории по поставщику.]]-1</f>
        <v>-0.88022143935581276</v>
      </c>
      <c r="O887" s="26">
        <f>VLOOKUP(Таблица1[[#This Row],[id клиента]],клиенты!$A$2:$E$435,5,0)</f>
        <v>44767</v>
      </c>
      <c r="P887">
        <f>Таблица1[[#This Row],[дата создания чека]]-Таблица1[[#This Row],[Дата регистрации клента]]</f>
        <v>346</v>
      </c>
      <c r="Q887" s="26">
        <f t="shared" ca="1" si="27"/>
        <v>46059</v>
      </c>
      <c r="R887" s="51">
        <f ca="1">(TODAY()-Таблица1[[#This Row],[Дата регистрации клента]])/30</f>
        <v>43.06666666666667</v>
      </c>
      <c r="S887" s="63" t="str">
        <f>VLOOKUP(Таблица1[[#This Row],[id клиента]],Таблица8[[id клиента]:[Страна]],7,0)</f>
        <v>Узбекистан</v>
      </c>
      <c r="T887" s="26"/>
    </row>
    <row r="888" spans="1:20" ht="19.5" x14ac:dyDescent="0.4">
      <c r="A888" s="41">
        <v>887</v>
      </c>
      <c r="B888" s="42">
        <v>486</v>
      </c>
      <c r="C888" s="42">
        <v>230</v>
      </c>
      <c r="D888" s="42">
        <v>2</v>
      </c>
      <c r="E888" s="42">
        <v>460</v>
      </c>
      <c r="F888" s="43">
        <v>45207</v>
      </c>
      <c r="G888" s="42" t="s">
        <v>9</v>
      </c>
      <c r="H888" s="42">
        <v>358</v>
      </c>
      <c r="I888" s="42" t="str">
        <f>VLOOKUP(продажи!$B888,товар!$A$1:$C$433,2)</f>
        <v>Соль</v>
      </c>
      <c r="J888" s="42" t="str">
        <f>VLOOKUP(B888,товар!$A$1:$C$433,3)</f>
        <v>Илецкая</v>
      </c>
      <c r="K888" s="44">
        <f>AVERAGEIF(продажи!$I$2:$I$1001,продажи!$I$2:$I$1001,продажи!$C$2:$C$1001)</f>
        <v>264.8679245283019</v>
      </c>
      <c r="L888" s="45">
        <f>продажи!$C888/продажи!$K888-1</f>
        <v>-0.13164268414304037</v>
      </c>
      <c r="M888" s="33">
        <f t="shared" si="26"/>
        <v>4287</v>
      </c>
      <c r="N888" s="24">
        <f>Таблица1[[#This Row],[цена за шт в рублях]]/Таблица1[[#This Row],[средняя стоимость в категории по поставщику.]]-1</f>
        <v>-0.94634942850478188</v>
      </c>
      <c r="O888" s="26">
        <f>VLOOKUP(Таблица1[[#This Row],[id клиента]],клиенты!$A$2:$E$435,5,0)</f>
        <v>44771</v>
      </c>
      <c r="P888">
        <f>Таблица1[[#This Row],[дата создания чека]]-Таблица1[[#This Row],[Дата регистрации клента]]</f>
        <v>436</v>
      </c>
      <c r="Q888" s="26">
        <f t="shared" ca="1" si="27"/>
        <v>46059</v>
      </c>
      <c r="R888" s="51">
        <f ca="1">(TODAY()-Таблица1[[#This Row],[Дата регистрации клента]])/30</f>
        <v>42.93333333333333</v>
      </c>
      <c r="S888" s="63" t="str">
        <f>VLOOKUP(Таблица1[[#This Row],[id клиента]],Таблица8[[id клиента]:[Страна]],7,0)</f>
        <v>Украина</v>
      </c>
      <c r="T888" s="26"/>
    </row>
    <row r="889" spans="1:20" ht="19.5" x14ac:dyDescent="0.4">
      <c r="A889" s="37">
        <v>888</v>
      </c>
      <c r="B889" s="31">
        <v>295</v>
      </c>
      <c r="C889" s="31">
        <v>219</v>
      </c>
      <c r="D889" s="31">
        <v>5</v>
      </c>
      <c r="E889" s="31">
        <v>1095</v>
      </c>
      <c r="F889" s="38">
        <v>45165</v>
      </c>
      <c r="G889" s="31" t="s">
        <v>19</v>
      </c>
      <c r="H889" s="31">
        <v>331</v>
      </c>
      <c r="I889" s="31" t="str">
        <f>VLOOKUP(продажи!$B889,товар!$A$1:$C$433,2)</f>
        <v>Печенье</v>
      </c>
      <c r="J889" s="31" t="str">
        <f>VLOOKUP(B889,товар!$A$1:$C$433,3)</f>
        <v>Белогорье</v>
      </c>
      <c r="K889" s="39">
        <f>AVERAGEIF(продажи!$I$2:$I$1001,продажи!$I$2:$I$1001,продажи!$C$2:$C$1001)</f>
        <v>283.468085106383</v>
      </c>
      <c r="L889" s="40">
        <f>продажи!$C889/продажи!$K889-1</f>
        <v>-0.22742625534789462</v>
      </c>
      <c r="M889" s="33">
        <f t="shared" si="26"/>
        <v>3493</v>
      </c>
      <c r="N889" s="24">
        <f>Таблица1[[#This Row],[цена за шт в рублях]]/Таблица1[[#This Row],[средняя стоимость в категории по поставщику.]]-1</f>
        <v>-0.93730317778413974</v>
      </c>
      <c r="O889" s="26">
        <f>VLOOKUP(Таблица1[[#This Row],[id клиента]],клиенты!$A$2:$E$435,5,0)</f>
        <v>44813</v>
      </c>
      <c r="P889">
        <f>Таблица1[[#This Row],[дата создания чека]]-Таблица1[[#This Row],[Дата регистрации клента]]</f>
        <v>352</v>
      </c>
      <c r="Q889" s="26">
        <f t="shared" ca="1" si="27"/>
        <v>46059</v>
      </c>
      <c r="R889" s="51">
        <f ca="1">(TODAY()-Таблица1[[#This Row],[Дата регистрации клента]])/30</f>
        <v>41.533333333333331</v>
      </c>
      <c r="S889" s="63" t="str">
        <f>VLOOKUP(Таблица1[[#This Row],[id клиента]],Таблица8[[id клиента]:[Страна]],7,0)</f>
        <v>Узбекистан</v>
      </c>
      <c r="T889" s="26"/>
    </row>
    <row r="890" spans="1:20" ht="19.5" x14ac:dyDescent="0.4">
      <c r="A890" s="41">
        <v>889</v>
      </c>
      <c r="B890" s="42">
        <v>1</v>
      </c>
      <c r="C890" s="42">
        <v>206</v>
      </c>
      <c r="D890" s="42">
        <v>3</v>
      </c>
      <c r="E890" s="42">
        <v>618</v>
      </c>
      <c r="F890" s="43">
        <v>44986</v>
      </c>
      <c r="G890" s="42" t="s">
        <v>13</v>
      </c>
      <c r="H890" s="42">
        <v>31</v>
      </c>
      <c r="I890" s="42" t="str">
        <f>VLOOKUP(продажи!$B890,товар!$A$1:$C$433,2)</f>
        <v>Крупа</v>
      </c>
      <c r="J890" s="42" t="str">
        <f>VLOOKUP(B890,товар!$A$1:$C$433,3)</f>
        <v>Ярмарка</v>
      </c>
      <c r="K890" s="44">
        <f>AVERAGEIF(продажи!$I$2:$I$1001,продажи!$I$2:$I$1001,продажи!$C$2:$C$1001)</f>
        <v>255.11627906976744</v>
      </c>
      <c r="L890" s="45">
        <f>продажи!$C890/продажи!$K890-1</f>
        <v>-0.1925250683682771</v>
      </c>
      <c r="M890" s="33">
        <f t="shared" si="26"/>
        <v>2773</v>
      </c>
      <c r="N890" s="24">
        <f>Таблица1[[#This Row],[цена за шт в рублях]]/Таблица1[[#This Row],[средняя стоимость в категории по поставщику.]]-1</f>
        <v>-0.92571222502704653</v>
      </c>
      <c r="O890" s="26">
        <f>VLOOKUP(Таблица1[[#This Row],[id клиента]],клиенты!$A$2:$E$435,5,0)</f>
        <v>44580</v>
      </c>
      <c r="P890">
        <f>Таблица1[[#This Row],[дата создания чека]]-Таблица1[[#This Row],[Дата регистрации клента]]</f>
        <v>406</v>
      </c>
      <c r="Q890" s="26">
        <f t="shared" ca="1" si="27"/>
        <v>46059</v>
      </c>
      <c r="R890" s="51">
        <f ca="1">(TODAY()-Таблица1[[#This Row],[Дата регистрации клента]])/30</f>
        <v>49.3</v>
      </c>
      <c r="S890" s="63" t="str">
        <f>VLOOKUP(Таблица1[[#This Row],[id клиента]],Таблица8[[id клиента]:[Страна]],7,0)</f>
        <v>Украина</v>
      </c>
      <c r="T890" s="26"/>
    </row>
    <row r="891" spans="1:20" ht="19.5" x14ac:dyDescent="0.4">
      <c r="A891" s="37">
        <v>890</v>
      </c>
      <c r="B891" s="31">
        <v>347</v>
      </c>
      <c r="C891" s="31">
        <v>343</v>
      </c>
      <c r="D891" s="31">
        <v>3</v>
      </c>
      <c r="E891" s="31">
        <v>1029</v>
      </c>
      <c r="F891" s="38">
        <v>44937</v>
      </c>
      <c r="G891" s="31" t="s">
        <v>10</v>
      </c>
      <c r="H891" s="31">
        <v>74</v>
      </c>
      <c r="I891" s="31" t="str">
        <f>VLOOKUP(продажи!$B891,товар!$A$1:$C$433,2)</f>
        <v>Макароны</v>
      </c>
      <c r="J891" s="31" t="str">
        <f>VLOOKUP(B891,товар!$A$1:$C$433,3)</f>
        <v>Паста Зара</v>
      </c>
      <c r="K891" s="39">
        <f>AVERAGEIF(продажи!$I$2:$I$1001,продажи!$I$2:$I$1001,продажи!$C$2:$C$1001)</f>
        <v>265.47674418604652</v>
      </c>
      <c r="L891" s="40">
        <f>продажи!$C891/продажи!$K891-1</f>
        <v>0.29201524243353338</v>
      </c>
      <c r="M891" s="33">
        <f t="shared" si="26"/>
        <v>10237</v>
      </c>
      <c r="N891" s="24">
        <f>Таблица1[[#This Row],[цена за шт в рублях]]/Таблица1[[#This Row],[средняя стоимость в категории по поставщику.]]-1</f>
        <v>-0.96649409006544884</v>
      </c>
      <c r="O891" s="26">
        <f>VLOOKUP(Таблица1[[#This Row],[id клиента]],клиенты!$A$2:$E$435,5,0)</f>
        <v>44857</v>
      </c>
      <c r="P891">
        <f>Таблица1[[#This Row],[дата создания чека]]-Таблица1[[#This Row],[Дата регистрации клента]]</f>
        <v>80</v>
      </c>
      <c r="Q891" s="26">
        <f t="shared" ca="1" si="27"/>
        <v>46059</v>
      </c>
      <c r="R891" s="51">
        <f ca="1">(TODAY()-Таблица1[[#This Row],[Дата регистрации клента]])/30</f>
        <v>40.06666666666667</v>
      </c>
      <c r="S891" s="63" t="str">
        <f>VLOOKUP(Таблица1[[#This Row],[id клиента]],Таблица8[[id клиента]:[Страна]],7,0)</f>
        <v>Россия</v>
      </c>
      <c r="T891" s="26"/>
    </row>
    <row r="892" spans="1:20" ht="19.5" x14ac:dyDescent="0.4">
      <c r="A892" s="41">
        <v>891</v>
      </c>
      <c r="B892" s="42">
        <v>308</v>
      </c>
      <c r="C892" s="42">
        <v>147</v>
      </c>
      <c r="D892" s="42">
        <v>2</v>
      </c>
      <c r="E892" s="42">
        <v>294</v>
      </c>
      <c r="F892" s="43">
        <v>45261</v>
      </c>
      <c r="G892" s="42" t="s">
        <v>19</v>
      </c>
      <c r="H892" s="42">
        <v>80</v>
      </c>
      <c r="I892" s="42" t="str">
        <f>VLOOKUP(продажи!$B892,товар!$A$1:$C$433,2)</f>
        <v>Конфеты</v>
      </c>
      <c r="J892" s="42" t="str">
        <f>VLOOKUP(B892,товар!$A$1:$C$433,3)</f>
        <v>Бабаевский</v>
      </c>
      <c r="K892" s="44">
        <f>AVERAGEIF(продажи!$I$2:$I$1001,продажи!$I$2:$I$1001,продажи!$C$2:$C$1001)</f>
        <v>267.85483870967744</v>
      </c>
      <c r="L892" s="45">
        <f>продажи!$C892/продажи!$K892-1</f>
        <v>-0.45119527909917512</v>
      </c>
      <c r="M892" s="33">
        <f t="shared" si="26"/>
        <v>6757</v>
      </c>
      <c r="N892" s="24">
        <f>Таблица1[[#This Row],[цена за шт в рублях]]/Таблица1[[#This Row],[средняя стоимость в категории по поставщику.]]-1</f>
        <v>-0.97824478318780528</v>
      </c>
      <c r="O892" s="26">
        <f>VLOOKUP(Таблица1[[#This Row],[id клиента]],клиенты!$A$2:$E$435,5,0)</f>
        <v>44623</v>
      </c>
      <c r="P892">
        <f>Таблица1[[#This Row],[дата создания чека]]-Таблица1[[#This Row],[Дата регистрации клента]]</f>
        <v>638</v>
      </c>
      <c r="Q892" s="26">
        <f t="shared" ca="1" si="27"/>
        <v>46059</v>
      </c>
      <c r="R892" s="51">
        <f ca="1">(TODAY()-Таблица1[[#This Row],[Дата регистрации клента]])/30</f>
        <v>47.866666666666667</v>
      </c>
      <c r="S892" s="63" t="str">
        <f>VLOOKUP(Таблица1[[#This Row],[id клиента]],Таблица8[[id клиента]:[Страна]],7,0)</f>
        <v>Беларусь</v>
      </c>
      <c r="T892" s="26"/>
    </row>
    <row r="893" spans="1:20" ht="19.5" x14ac:dyDescent="0.4">
      <c r="A893" s="37">
        <v>892</v>
      </c>
      <c r="B893" s="31">
        <v>52</v>
      </c>
      <c r="C893" s="31">
        <v>423</v>
      </c>
      <c r="D893" s="31">
        <v>3</v>
      </c>
      <c r="E893" s="31">
        <v>1269</v>
      </c>
      <c r="F893" s="38">
        <v>45378</v>
      </c>
      <c r="G893" s="31" t="s">
        <v>14</v>
      </c>
      <c r="H893" s="31">
        <v>496</v>
      </c>
      <c r="I893" s="31" t="str">
        <f>VLOOKUP(продажи!$B893,товар!$A$1:$C$433,2)</f>
        <v>Соль</v>
      </c>
      <c r="J893" s="31" t="str">
        <f>VLOOKUP(B893,товар!$A$1:$C$433,3)</f>
        <v>Илецкая</v>
      </c>
      <c r="K893" s="39">
        <f>AVERAGEIF(продажи!$I$2:$I$1001,продажи!$I$2:$I$1001,продажи!$C$2:$C$1001)</f>
        <v>264.8679245283019</v>
      </c>
      <c r="L893" s="40">
        <f>продажи!$C893/продажи!$K893-1</f>
        <v>0.59702236785866925</v>
      </c>
      <c r="M893" s="33">
        <f t="shared" si="26"/>
        <v>4287</v>
      </c>
      <c r="N893" s="24">
        <f>Таблица1[[#This Row],[цена за шт в рублях]]/Таблица1[[#This Row],[средняя стоимость в категории по поставщику.]]-1</f>
        <v>-0.90132960111966409</v>
      </c>
      <c r="O893" s="26">
        <f>VLOOKUP(Таблица1[[#This Row],[id клиента]],клиенты!$A$2:$E$435,5,0)</f>
        <v>44867</v>
      </c>
      <c r="P893">
        <f>Таблица1[[#This Row],[дата создания чека]]-Таблица1[[#This Row],[Дата регистрации клента]]</f>
        <v>511</v>
      </c>
      <c r="Q893" s="26">
        <f t="shared" ca="1" si="27"/>
        <v>46059</v>
      </c>
      <c r="R893" s="51">
        <f ca="1">(TODAY()-Таблица1[[#This Row],[Дата регистрации клента]])/30</f>
        <v>39.733333333333334</v>
      </c>
      <c r="S893" s="63" t="str">
        <f>VLOOKUP(Таблица1[[#This Row],[id клиента]],Таблица8[[id клиента]:[Страна]],7,0)</f>
        <v>Украина</v>
      </c>
      <c r="T893" s="26"/>
    </row>
    <row r="894" spans="1:20" ht="19.5" x14ac:dyDescent="0.4">
      <c r="A894" s="41">
        <v>893</v>
      </c>
      <c r="B894" s="42">
        <v>75</v>
      </c>
      <c r="C894" s="42">
        <v>494</v>
      </c>
      <c r="D894" s="42">
        <v>4</v>
      </c>
      <c r="E894" s="42">
        <v>1976</v>
      </c>
      <c r="F894" s="43">
        <v>45030</v>
      </c>
      <c r="G894" s="42" t="s">
        <v>11</v>
      </c>
      <c r="H894" s="42">
        <v>477</v>
      </c>
      <c r="I894" s="42" t="str">
        <f>VLOOKUP(продажи!$B894,товар!$A$1:$C$433,2)</f>
        <v>Печенье</v>
      </c>
      <c r="J894" s="42" t="str">
        <f>VLOOKUP(B894,товар!$A$1:$C$433,3)</f>
        <v>Белогорье</v>
      </c>
      <c r="K894" s="44">
        <f>AVERAGEIF(продажи!$I$2:$I$1001,продажи!$I$2:$I$1001,продажи!$C$2:$C$1001)</f>
        <v>283.468085106383</v>
      </c>
      <c r="L894" s="45">
        <f>продажи!$C894/продажи!$K894-1</f>
        <v>0.7427005929595436</v>
      </c>
      <c r="M894" s="33">
        <f t="shared" si="26"/>
        <v>3493</v>
      </c>
      <c r="N894" s="24">
        <f>Таблица1[[#This Row],[цена за шт в рублях]]/Таблица1[[#This Row],[средняя стоимость в категории по поставщику.]]-1</f>
        <v>-0.85857429144002295</v>
      </c>
      <c r="O894" s="26">
        <f>VLOOKUP(Таблица1[[#This Row],[id клиента]],клиенты!$A$2:$E$435,5,0)</f>
        <v>44738</v>
      </c>
      <c r="P894">
        <f>Таблица1[[#This Row],[дата создания чека]]-Таблица1[[#This Row],[Дата регистрации клента]]</f>
        <v>292</v>
      </c>
      <c r="Q894" s="26">
        <f t="shared" ca="1" si="27"/>
        <v>46059</v>
      </c>
      <c r="R894" s="51">
        <f ca="1">(TODAY()-Таблица1[[#This Row],[Дата регистрации клента]])/30</f>
        <v>44.033333333333331</v>
      </c>
      <c r="S894" s="63" t="str">
        <f>VLOOKUP(Таблица1[[#This Row],[id клиента]],Таблица8[[id клиента]:[Страна]],7,0)</f>
        <v>Узбекистан</v>
      </c>
      <c r="T894" s="26"/>
    </row>
    <row r="895" spans="1:20" ht="19.5" x14ac:dyDescent="0.4">
      <c r="A895" s="37">
        <v>894</v>
      </c>
      <c r="B895" s="31">
        <v>148</v>
      </c>
      <c r="C895" s="31">
        <v>270</v>
      </c>
      <c r="D895" s="31">
        <v>2</v>
      </c>
      <c r="E895" s="31">
        <v>540</v>
      </c>
      <c r="F895" s="38">
        <v>45206</v>
      </c>
      <c r="G895" s="31" t="s">
        <v>13</v>
      </c>
      <c r="H895" s="31">
        <v>196</v>
      </c>
      <c r="I895" s="31" t="str">
        <f>VLOOKUP(продажи!$B895,товар!$A$1:$C$433,2)</f>
        <v>Сок</v>
      </c>
      <c r="J895" s="31" t="str">
        <f>VLOOKUP(B895,товар!$A$1:$C$433,3)</f>
        <v>Фруктовый сад</v>
      </c>
      <c r="K895" s="39">
        <f>AVERAGEIF(продажи!$I$2:$I$1001,продажи!$I$2:$I$1001,продажи!$C$2:$C$1001)</f>
        <v>268.60344827586209</v>
      </c>
      <c r="L895" s="40">
        <f>продажи!$C895/продажи!$K895-1</f>
        <v>5.199306759098743E-3</v>
      </c>
      <c r="M895" s="33">
        <f t="shared" si="26"/>
        <v>9023</v>
      </c>
      <c r="N895" s="24">
        <f>Таблица1[[#This Row],[цена за шт в рублях]]/Таблица1[[#This Row],[средняя стоимость в категории по поставщику.]]-1</f>
        <v>-0.97007647124016405</v>
      </c>
      <c r="O895" s="26">
        <f>VLOOKUP(Таблица1[[#This Row],[id клиента]],клиенты!$A$2:$E$435,5,0)</f>
        <v>44835</v>
      </c>
      <c r="P895">
        <f>Таблица1[[#This Row],[дата создания чека]]-Таблица1[[#This Row],[Дата регистрации клента]]</f>
        <v>371</v>
      </c>
      <c r="Q895" s="26">
        <f t="shared" ca="1" si="27"/>
        <v>46059</v>
      </c>
      <c r="R895" s="51">
        <f ca="1">(TODAY()-Таблица1[[#This Row],[Дата регистрации клента]])/30</f>
        <v>40.799999999999997</v>
      </c>
      <c r="S895" s="63" t="str">
        <f>VLOOKUP(Таблица1[[#This Row],[id клиента]],Таблица8[[id клиента]:[Страна]],7,0)</f>
        <v>Россия</v>
      </c>
      <c r="T895" s="26"/>
    </row>
    <row r="896" spans="1:20" ht="19.5" x14ac:dyDescent="0.4">
      <c r="A896" s="41">
        <v>895</v>
      </c>
      <c r="B896" s="42">
        <v>481</v>
      </c>
      <c r="C896" s="42">
        <v>470</v>
      </c>
      <c r="D896" s="42">
        <v>2</v>
      </c>
      <c r="E896" s="42">
        <v>940</v>
      </c>
      <c r="F896" s="43">
        <v>45101</v>
      </c>
      <c r="G896" s="42" t="s">
        <v>9</v>
      </c>
      <c r="H896" s="42">
        <v>400</v>
      </c>
      <c r="I896" s="42" t="str">
        <f>VLOOKUP(продажи!$B896,товар!$A$1:$C$433,2)</f>
        <v>Чипсы</v>
      </c>
      <c r="J896" s="42" t="str">
        <f>VLOOKUP(B896,товар!$A$1:$C$433,3)</f>
        <v>Pringles</v>
      </c>
      <c r="K896" s="44">
        <f>AVERAGEIF(продажи!$I$2:$I$1001,продажи!$I$2:$I$1001,продажи!$C$2:$C$1001)</f>
        <v>273.72549019607845</v>
      </c>
      <c r="L896" s="45">
        <f>продажи!$C896/продажи!$K896-1</f>
        <v>0.71704871060171915</v>
      </c>
      <c r="M896" s="33">
        <f t="shared" si="26"/>
        <v>5885</v>
      </c>
      <c r="N896" s="24">
        <f>Таблица1[[#This Row],[цена за шт в рублях]]/Таблица1[[#This Row],[средняя стоимость в категории по поставщику.]]-1</f>
        <v>-0.92013593882752764</v>
      </c>
      <c r="O896" s="26">
        <f>VLOOKUP(Таблица1[[#This Row],[id клиента]],клиенты!$A$2:$E$435,5,0)</f>
        <v>44765</v>
      </c>
      <c r="P896">
        <f>Таблица1[[#This Row],[дата создания чека]]-Таблица1[[#This Row],[Дата регистрации клента]]</f>
        <v>336</v>
      </c>
      <c r="Q896" s="26">
        <f t="shared" ca="1" si="27"/>
        <v>46059</v>
      </c>
      <c r="R896" s="51">
        <f ca="1">(TODAY()-Таблица1[[#This Row],[Дата регистрации клента]])/30</f>
        <v>43.133333333333333</v>
      </c>
      <c r="S896" s="63" t="str">
        <f>VLOOKUP(Таблица1[[#This Row],[id клиента]],Таблица8[[id клиента]:[Страна]],7,0)</f>
        <v>Беларусь</v>
      </c>
      <c r="T896" s="26"/>
    </row>
    <row r="897" spans="1:20" ht="19.5" x14ac:dyDescent="0.4">
      <c r="A897" s="37">
        <v>896</v>
      </c>
      <c r="B897" s="31">
        <v>194</v>
      </c>
      <c r="C897" s="31">
        <v>278</v>
      </c>
      <c r="D897" s="31">
        <v>4</v>
      </c>
      <c r="E897" s="31">
        <v>1112</v>
      </c>
      <c r="F897" s="38">
        <v>45286</v>
      </c>
      <c r="G897" s="31" t="s">
        <v>17</v>
      </c>
      <c r="H897" s="31">
        <v>271</v>
      </c>
      <c r="I897" s="31" t="str">
        <f>VLOOKUP(продажи!$B897,товар!$A$1:$C$433,2)</f>
        <v>Соль</v>
      </c>
      <c r="J897" s="31" t="str">
        <f>VLOOKUP(B897,товар!$A$1:$C$433,3)</f>
        <v>Салта</v>
      </c>
      <c r="K897" s="39">
        <f>AVERAGEIF(продажи!$I$2:$I$1001,продажи!$I$2:$I$1001,продажи!$C$2:$C$1001)</f>
        <v>264.8679245283019</v>
      </c>
      <c r="L897" s="40">
        <f>продажи!$C897/продажи!$K897-1</f>
        <v>4.9579712209716353E-2</v>
      </c>
      <c r="M897" s="33">
        <f t="shared" si="26"/>
        <v>2737</v>
      </c>
      <c r="N897" s="24">
        <f>Таблица1[[#This Row],[цена за шт в рублях]]/Таблица1[[#This Row],[средняя стоимость в категории по поставщику.]]-1</f>
        <v>-0.89842893679210811</v>
      </c>
      <c r="O897" s="26">
        <f>VLOOKUP(Таблица1[[#This Row],[id клиента]],клиенты!$A$2:$E$435,5,0)</f>
        <v>44892</v>
      </c>
      <c r="P897">
        <f>Таблица1[[#This Row],[дата создания чека]]-Таблица1[[#This Row],[Дата регистрации клента]]</f>
        <v>394</v>
      </c>
      <c r="Q897" s="26">
        <f t="shared" ca="1" si="27"/>
        <v>46059</v>
      </c>
      <c r="R897" s="51">
        <f ca="1">(TODAY()-Таблица1[[#This Row],[Дата регистрации клента]])/30</f>
        <v>38.9</v>
      </c>
      <c r="S897" s="63" t="str">
        <f>VLOOKUP(Таблица1[[#This Row],[id клиента]],Таблица8[[id клиента]:[Страна]],7,0)</f>
        <v>Беларусь</v>
      </c>
      <c r="T897" s="26"/>
    </row>
    <row r="898" spans="1:20" ht="19.5" x14ac:dyDescent="0.4">
      <c r="A898" s="41">
        <v>897</v>
      </c>
      <c r="B898" s="42">
        <v>422</v>
      </c>
      <c r="C898" s="42">
        <v>244</v>
      </c>
      <c r="D898" s="42">
        <v>3</v>
      </c>
      <c r="E898" s="42">
        <v>732</v>
      </c>
      <c r="F898" s="43">
        <v>45370</v>
      </c>
      <c r="G898" s="42" t="s">
        <v>13</v>
      </c>
      <c r="H898" s="42">
        <v>265</v>
      </c>
      <c r="I898" s="42" t="str">
        <f>VLOOKUP(продажи!$B898,товар!$A$1:$C$433,2)</f>
        <v>Кофе</v>
      </c>
      <c r="J898" s="42" t="str">
        <f>VLOOKUP(B898,товар!$A$1:$C$433,3)</f>
        <v>Nescafe</v>
      </c>
      <c r="K898" s="44">
        <f>AVERAGEIF(продажи!$I$2:$I$1001,продажи!$I$2:$I$1001,продажи!$C$2:$C$1001)</f>
        <v>249.02380952380952</v>
      </c>
      <c r="L898" s="45">
        <f>продажи!$C898/продажи!$K898-1</f>
        <v>-2.0174012811932318E-2</v>
      </c>
      <c r="M898" s="33">
        <f t="shared" ref="M898:M961" si="28">SUMIFS($C$2:$C$1001,$I$2:$I$1001,I898,$J$2:$J$1001,J898)</f>
        <v>2569</v>
      </c>
      <c r="N898" s="24">
        <f>Таблица1[[#This Row],[цена за шт в рублях]]/Таблица1[[#This Row],[средняя стоимость в категории по поставщику.]]-1</f>
        <v>-0.90502140910860263</v>
      </c>
      <c r="O898" s="26">
        <f>VLOOKUP(Таблица1[[#This Row],[id клиента]],клиенты!$A$2:$E$435,5,0)</f>
        <v>44756</v>
      </c>
      <c r="P898">
        <f>Таблица1[[#This Row],[дата создания чека]]-Таблица1[[#This Row],[Дата регистрации клента]]</f>
        <v>614</v>
      </c>
      <c r="Q898" s="26">
        <f t="shared" ref="Q898:Q961" ca="1" si="29">TODAY()</f>
        <v>46059</v>
      </c>
      <c r="R898" s="51">
        <f ca="1">(TODAY()-Таблица1[[#This Row],[Дата регистрации клента]])/30</f>
        <v>43.43333333333333</v>
      </c>
      <c r="S898" s="63" t="str">
        <f>VLOOKUP(Таблица1[[#This Row],[id клиента]],Таблица8[[id клиента]:[Страна]],7,0)</f>
        <v>Узбекистан</v>
      </c>
      <c r="T898" s="26"/>
    </row>
    <row r="899" spans="1:20" ht="19.5" x14ac:dyDescent="0.4">
      <c r="A899" s="37">
        <v>898</v>
      </c>
      <c r="B899" s="31">
        <v>52</v>
      </c>
      <c r="C899" s="31">
        <v>142</v>
      </c>
      <c r="D899" s="31">
        <v>3</v>
      </c>
      <c r="E899" s="31">
        <v>426</v>
      </c>
      <c r="F899" s="38">
        <v>44929</v>
      </c>
      <c r="G899" s="31" t="s">
        <v>18</v>
      </c>
      <c r="H899" s="31">
        <v>366</v>
      </c>
      <c r="I899" s="31" t="str">
        <f>VLOOKUP(продажи!$B899,товар!$A$1:$C$433,2)</f>
        <v>Соль</v>
      </c>
      <c r="J899" s="31" t="str">
        <f>VLOOKUP(B899,товар!$A$1:$C$433,3)</f>
        <v>Илецкая</v>
      </c>
      <c r="K899" s="39">
        <f>AVERAGEIF(продажи!$I$2:$I$1001,продажи!$I$2:$I$1001,продажи!$C$2:$C$1001)</f>
        <v>264.8679245283019</v>
      </c>
      <c r="L899" s="40">
        <f>продажи!$C899/продажи!$K899-1</f>
        <v>-0.46388374412309452</v>
      </c>
      <c r="M899" s="33">
        <f t="shared" si="28"/>
        <v>4287</v>
      </c>
      <c r="N899" s="24">
        <f>Таблица1[[#This Row],[цена за шт в рублях]]/Таблица1[[#This Row],[средняя стоимость в категории по поставщику.]]-1</f>
        <v>-0.96687660368556094</v>
      </c>
      <c r="O899" s="26">
        <f>VLOOKUP(Таблица1[[#This Row],[id клиента]],клиенты!$A$2:$E$435,5,0)</f>
        <v>44827</v>
      </c>
      <c r="P899">
        <f>Таблица1[[#This Row],[дата создания чека]]-Таблица1[[#This Row],[Дата регистрации клента]]</f>
        <v>102</v>
      </c>
      <c r="Q899" s="26">
        <f t="shared" ca="1" si="29"/>
        <v>46059</v>
      </c>
      <c r="R899" s="51">
        <f ca="1">(TODAY()-Таблица1[[#This Row],[Дата регистрации клента]])/30</f>
        <v>41.06666666666667</v>
      </c>
      <c r="S899" s="63" t="str">
        <f>VLOOKUP(Таблица1[[#This Row],[id клиента]],Таблица8[[id клиента]:[Страна]],7,0)</f>
        <v>Узбекистан</v>
      </c>
      <c r="T899" s="26"/>
    </row>
    <row r="900" spans="1:20" ht="19.5" x14ac:dyDescent="0.4">
      <c r="A900" s="41">
        <v>899</v>
      </c>
      <c r="B900" s="42">
        <v>73</v>
      </c>
      <c r="C900" s="42">
        <v>160</v>
      </c>
      <c r="D900" s="42">
        <v>4</v>
      </c>
      <c r="E900" s="42">
        <v>640</v>
      </c>
      <c r="F900" s="43">
        <v>45163</v>
      </c>
      <c r="G900" s="42" t="s">
        <v>12</v>
      </c>
      <c r="H900" s="42">
        <v>302</v>
      </c>
      <c r="I900" s="42" t="str">
        <f>VLOOKUP(продажи!$B900,товар!$A$1:$C$433,2)</f>
        <v>Хлеб</v>
      </c>
      <c r="J900" s="42" t="str">
        <f>VLOOKUP(B900,товар!$A$1:$C$433,3)</f>
        <v>Дарница</v>
      </c>
      <c r="K900" s="44">
        <f>AVERAGEIF(продажи!$I$2:$I$1001,продажи!$I$2:$I$1001,продажи!$C$2:$C$1001)</f>
        <v>300.31818181818181</v>
      </c>
      <c r="L900" s="45">
        <f>продажи!$C900/продажи!$K900-1</f>
        <v>-0.46723172392916601</v>
      </c>
      <c r="M900" s="33">
        <f t="shared" si="28"/>
        <v>1848</v>
      </c>
      <c r="N900" s="24">
        <f>Таблица1[[#This Row],[цена за шт в рублях]]/Таблица1[[#This Row],[средняя стоимость в категории по поставщику.]]-1</f>
        <v>-0.91341991341991347</v>
      </c>
      <c r="O900" s="26">
        <f>VLOOKUP(Таблица1[[#This Row],[id клиента]],клиенты!$A$2:$E$435,5,0)</f>
        <v>44859</v>
      </c>
      <c r="P900">
        <f>Таблица1[[#This Row],[дата создания чека]]-Таблица1[[#This Row],[Дата регистрации клента]]</f>
        <v>304</v>
      </c>
      <c r="Q900" s="26">
        <f t="shared" ca="1" si="29"/>
        <v>46059</v>
      </c>
      <c r="R900" s="51">
        <f ca="1">(TODAY()-Таблица1[[#This Row],[Дата регистрации клента]])/30</f>
        <v>40</v>
      </c>
      <c r="S900" s="63" t="str">
        <f>VLOOKUP(Таблица1[[#This Row],[id клиента]],Таблица8[[id клиента]:[Страна]],7,0)</f>
        <v>Россия</v>
      </c>
      <c r="T900" s="26"/>
    </row>
    <row r="901" spans="1:20" ht="19.5" x14ac:dyDescent="0.4">
      <c r="A901" s="37">
        <v>900</v>
      </c>
      <c r="B901" s="31">
        <v>208</v>
      </c>
      <c r="C901" s="31">
        <v>476</v>
      </c>
      <c r="D901" s="31">
        <v>5</v>
      </c>
      <c r="E901" s="31">
        <v>2380</v>
      </c>
      <c r="F901" s="38">
        <v>45262</v>
      </c>
      <c r="G901" s="31" t="s">
        <v>26</v>
      </c>
      <c r="H901" s="31">
        <v>326</v>
      </c>
      <c r="I901" s="31" t="str">
        <f>VLOOKUP(продажи!$B901,товар!$A$1:$C$433,2)</f>
        <v>Конфеты</v>
      </c>
      <c r="J901" s="31" t="str">
        <f>VLOOKUP(B901,товар!$A$1:$C$433,3)</f>
        <v>Славянка</v>
      </c>
      <c r="K901" s="39">
        <f>AVERAGEIF(продажи!$I$2:$I$1001,продажи!$I$2:$I$1001,продажи!$C$2:$C$1001)</f>
        <v>267.85483870967744</v>
      </c>
      <c r="L901" s="40">
        <f>продажи!$C901/продажи!$K901-1</f>
        <v>0.77708195339314745</v>
      </c>
      <c r="M901" s="33">
        <f t="shared" si="28"/>
        <v>1608</v>
      </c>
      <c r="N901" s="24">
        <f>Таблица1[[#This Row],[цена за шт в рублях]]/Таблица1[[#This Row],[средняя стоимость в категории по поставщику.]]-1</f>
        <v>-0.70398009950248763</v>
      </c>
      <c r="O901" s="26">
        <f>VLOOKUP(Таблица1[[#This Row],[id клиента]],клиенты!$A$2:$E$435,5,0)</f>
        <v>44655</v>
      </c>
      <c r="P901">
        <f>Таблица1[[#This Row],[дата создания чека]]-Таблица1[[#This Row],[Дата регистрации клента]]</f>
        <v>607</v>
      </c>
      <c r="Q901" s="26">
        <f t="shared" ca="1" si="29"/>
        <v>46059</v>
      </c>
      <c r="R901" s="51">
        <f ca="1">(TODAY()-Таблица1[[#This Row],[Дата регистрации клента]])/30</f>
        <v>46.8</v>
      </c>
      <c r="S901" s="63" t="str">
        <f>VLOOKUP(Таблица1[[#This Row],[id клиента]],Таблица8[[id клиента]:[Страна]],7,0)</f>
        <v>Россия</v>
      </c>
      <c r="T901" s="26"/>
    </row>
    <row r="902" spans="1:20" ht="19.5" x14ac:dyDescent="0.4">
      <c r="A902" s="41">
        <v>901</v>
      </c>
      <c r="B902" s="42">
        <v>458</v>
      </c>
      <c r="C902" s="42">
        <v>343</v>
      </c>
      <c r="D902" s="42">
        <v>3</v>
      </c>
      <c r="E902" s="42">
        <v>1029</v>
      </c>
      <c r="F902" s="43">
        <v>45005</v>
      </c>
      <c r="G902" s="42" t="s">
        <v>20</v>
      </c>
      <c r="H902" s="42">
        <v>282</v>
      </c>
      <c r="I902" s="42" t="str">
        <f>VLOOKUP(продажи!$B902,товар!$A$1:$C$433,2)</f>
        <v>Макароны</v>
      </c>
      <c r="J902" s="42" t="str">
        <f>VLOOKUP(B902,товар!$A$1:$C$433,3)</f>
        <v>Борилла</v>
      </c>
      <c r="K902" s="44">
        <f>AVERAGEIF(продажи!$I$2:$I$1001,продажи!$I$2:$I$1001,продажи!$C$2:$C$1001)</f>
        <v>265.47674418604652</v>
      </c>
      <c r="L902" s="45">
        <f>продажи!$C902/продажи!$K902-1</f>
        <v>0.29201524243353338</v>
      </c>
      <c r="M902" s="33">
        <f t="shared" si="28"/>
        <v>6852</v>
      </c>
      <c r="N902" s="24">
        <f>Таблица1[[#This Row],[цена за шт в рублях]]/Таблица1[[#This Row],[средняя стоимость в категории по поставщику.]]-1</f>
        <v>-0.94994162288382955</v>
      </c>
      <c r="O902" s="26">
        <f>VLOOKUP(Таблица1[[#This Row],[id клиента]],клиенты!$A$2:$E$435,5,0)</f>
        <v>44735</v>
      </c>
      <c r="P902">
        <f>Таблица1[[#This Row],[дата создания чека]]-Таблица1[[#This Row],[Дата регистрации клента]]</f>
        <v>270</v>
      </c>
      <c r="Q902" s="26">
        <f t="shared" ca="1" si="29"/>
        <v>46059</v>
      </c>
      <c r="R902" s="51">
        <f ca="1">(TODAY()-Таблица1[[#This Row],[Дата регистрации клента]])/30</f>
        <v>44.133333333333333</v>
      </c>
      <c r="S902" s="63" t="str">
        <f>VLOOKUP(Таблица1[[#This Row],[id клиента]],Таблица8[[id клиента]:[Страна]],7,0)</f>
        <v>Узбекистан</v>
      </c>
      <c r="T902" s="26"/>
    </row>
    <row r="903" spans="1:20" ht="19.5" x14ac:dyDescent="0.4">
      <c r="A903" s="37">
        <v>902</v>
      </c>
      <c r="B903" s="31">
        <v>444</v>
      </c>
      <c r="C903" s="31">
        <v>328</v>
      </c>
      <c r="D903" s="31">
        <v>3</v>
      </c>
      <c r="E903" s="31">
        <v>984</v>
      </c>
      <c r="F903" s="38">
        <v>45102</v>
      </c>
      <c r="G903" s="31" t="s">
        <v>27</v>
      </c>
      <c r="H903" s="31">
        <v>292</v>
      </c>
      <c r="I903" s="31" t="str">
        <f>VLOOKUP(продажи!$B903,товар!$A$1:$C$433,2)</f>
        <v>Йогурт</v>
      </c>
      <c r="J903" s="31" t="str">
        <f>VLOOKUP(B903,товар!$A$1:$C$433,3)</f>
        <v>Эрманн</v>
      </c>
      <c r="K903" s="39">
        <f>AVERAGEIF(продажи!$I$2:$I$1001,продажи!$I$2:$I$1001,продажи!$C$2:$C$1001)</f>
        <v>263.25423728813558</v>
      </c>
      <c r="L903" s="40">
        <f>продажи!$C903/продажи!$K903-1</f>
        <v>0.24594385784187489</v>
      </c>
      <c r="M903" s="33">
        <f t="shared" si="28"/>
        <v>4970</v>
      </c>
      <c r="N903" s="24">
        <f>Таблица1[[#This Row],[цена за шт в рублях]]/Таблица1[[#This Row],[средняя стоимость в категории по поставщику.]]-1</f>
        <v>-0.93400402414486927</v>
      </c>
      <c r="O903" s="26">
        <f>VLOOKUP(Таблица1[[#This Row],[id клиента]],клиенты!$A$2:$E$435,5,0)</f>
        <v>44608</v>
      </c>
      <c r="P903">
        <f>Таблица1[[#This Row],[дата создания чека]]-Таблица1[[#This Row],[Дата регистрации клента]]</f>
        <v>494</v>
      </c>
      <c r="Q903" s="26">
        <f t="shared" ca="1" si="29"/>
        <v>46059</v>
      </c>
      <c r="R903" s="51">
        <f ca="1">(TODAY()-Таблица1[[#This Row],[Дата регистрации клента]])/30</f>
        <v>48.366666666666667</v>
      </c>
      <c r="S903" s="63" t="str">
        <f>VLOOKUP(Таблица1[[#This Row],[id клиента]],Таблица8[[id клиента]:[Страна]],7,0)</f>
        <v>Россия</v>
      </c>
      <c r="T903" s="26"/>
    </row>
    <row r="904" spans="1:20" ht="19.5" x14ac:dyDescent="0.4">
      <c r="A904" s="37">
        <v>264</v>
      </c>
      <c r="B904" s="31">
        <v>222</v>
      </c>
      <c r="C904" s="31">
        <v>500</v>
      </c>
      <c r="D904" s="31">
        <v>2</v>
      </c>
      <c r="E904" s="31">
        <v>1000</v>
      </c>
      <c r="F904" s="57">
        <v>45157</v>
      </c>
      <c r="G904" s="31" t="s">
        <v>26</v>
      </c>
      <c r="H904" s="55">
        <v>9</v>
      </c>
      <c r="I904" s="31" t="str">
        <f>VLOOKUP(продажи!$B265,товар!$A$1:$C$433,2)</f>
        <v>Молоко</v>
      </c>
      <c r="J904" s="31" t="str">
        <f>VLOOKUP(B904,товар!$A$1:$C$433,3)</f>
        <v>Простоквашино</v>
      </c>
      <c r="K904" s="39">
        <f>AVERAGEIF(продажи!$I$2:$I$1001,продажи!$I$2:$I$1001,продажи!$C$2:$C$1001)</f>
        <v>294.95238095238096</v>
      </c>
      <c r="L904" s="40">
        <f>продажи!$C265/продажи!$K265-1</f>
        <v>0.55618340329350979</v>
      </c>
      <c r="M904" s="53">
        <f t="shared" si="28"/>
        <v>3507</v>
      </c>
      <c r="N904" s="24">
        <f>Таблица1[[#This Row],[цена за шт в рублях]]/Таблица1[[#This Row],[средняя стоимость в категории по поставщику.]]-1</f>
        <v>-0.85742800114057593</v>
      </c>
      <c r="O904" s="26">
        <f>VLOOKUP(Таблица1[[#This Row],[id клиента]],клиенты!$A$2:$E$435,5,0)</f>
        <v>44900</v>
      </c>
      <c r="P904">
        <f>Таблица1[[#This Row],[дата создания чека]]-Таблица1[[#This Row],[Дата регистрации клента]]</f>
        <v>257</v>
      </c>
      <c r="Q904" s="26">
        <f t="shared" ca="1" si="29"/>
        <v>46059</v>
      </c>
      <c r="R904" s="51">
        <f ca="1">(TODAY()-Таблица1[[#This Row],[Дата регистрации клента]])/30</f>
        <v>38.633333333333333</v>
      </c>
      <c r="S904" s="63" t="str">
        <f>VLOOKUP(Таблица1[[#This Row],[id клиента]],Таблица8[[id клиента]:[Страна]],7,0)</f>
        <v>Таджикистан</v>
      </c>
      <c r="T904" s="26"/>
    </row>
    <row r="905" spans="1:20" ht="19.5" x14ac:dyDescent="0.4">
      <c r="A905" s="37">
        <v>904</v>
      </c>
      <c r="B905" s="31">
        <v>6</v>
      </c>
      <c r="C905" s="31">
        <v>70</v>
      </c>
      <c r="D905" s="31">
        <v>5</v>
      </c>
      <c r="E905" s="31">
        <v>350</v>
      </c>
      <c r="F905" s="38">
        <v>45364</v>
      </c>
      <c r="G905" s="31" t="s">
        <v>12</v>
      </c>
      <c r="H905" s="31">
        <v>433</v>
      </c>
      <c r="I905" s="31" t="str">
        <f>VLOOKUP(продажи!$B905,товар!$A$1:$C$433,2)</f>
        <v>Фрукты</v>
      </c>
      <c r="J905" s="31" t="str">
        <f>VLOOKUP(B905,товар!$A$1:$C$433,3)</f>
        <v>Фрукты-Ягоды</v>
      </c>
      <c r="K905" s="39">
        <f>AVERAGEIF(продажи!$I$2:$I$1001,продажи!$I$2:$I$1001,продажи!$C$2:$C$1001)</f>
        <v>274.16279069767444</v>
      </c>
      <c r="L905" s="40">
        <f>продажи!$C905/продажи!$K905-1</f>
        <v>-0.74467724149631009</v>
      </c>
      <c r="M905" s="33">
        <f t="shared" si="28"/>
        <v>2526</v>
      </c>
      <c r="N905" s="24">
        <f>Таблица1[[#This Row],[цена за шт в рублях]]/Таблица1[[#This Row],[средняя стоимость в категории по поставщику.]]-1</f>
        <v>-0.97228820269200322</v>
      </c>
      <c r="O905" s="26">
        <f>VLOOKUP(Таблица1[[#This Row],[id клиента]],клиенты!$A$2:$E$435,5,0)</f>
        <v>44832</v>
      </c>
      <c r="P905">
        <f>Таблица1[[#This Row],[дата создания чека]]-Таблица1[[#This Row],[Дата регистрации клента]]</f>
        <v>532</v>
      </c>
      <c r="Q905" s="26">
        <f t="shared" ca="1" si="29"/>
        <v>46059</v>
      </c>
      <c r="R905" s="51">
        <f ca="1">(TODAY()-Таблица1[[#This Row],[Дата регистрации клента]])/30</f>
        <v>40.9</v>
      </c>
      <c r="S905" s="63" t="str">
        <f>VLOOKUP(Таблица1[[#This Row],[id клиента]],Таблица8[[id клиента]:[Страна]],7,0)</f>
        <v>Таджикистан</v>
      </c>
      <c r="T905" s="26"/>
    </row>
    <row r="906" spans="1:20" ht="19.5" x14ac:dyDescent="0.4">
      <c r="A906" s="37">
        <v>852</v>
      </c>
      <c r="B906" s="31">
        <v>474</v>
      </c>
      <c r="C906" s="31">
        <v>171</v>
      </c>
      <c r="D906" s="31">
        <v>3</v>
      </c>
      <c r="E906" s="31">
        <v>513</v>
      </c>
      <c r="F906" s="57">
        <v>44985</v>
      </c>
      <c r="G906" s="31" t="s">
        <v>11</v>
      </c>
      <c r="H906" s="55">
        <v>260</v>
      </c>
      <c r="I906" s="31" t="str">
        <f>VLOOKUP(продажи!$B853,товар!$A$1:$C$433,2)</f>
        <v>Молоко</v>
      </c>
      <c r="J906" s="31" t="str">
        <f>VLOOKUP(B906,товар!$A$1:$C$433,3)</f>
        <v>Простоквашино</v>
      </c>
      <c r="K906" s="39">
        <f>AVERAGEIF(продажи!$I$2:$I$1001,продажи!$I$2:$I$1001,продажи!$C$2:$C$1001)</f>
        <v>294.95238095238096</v>
      </c>
      <c r="L906" s="40">
        <f>продажи!$C853/продажи!$K853-1</f>
        <v>-0.18969970939618985</v>
      </c>
      <c r="M906" s="53">
        <f t="shared" si="28"/>
        <v>3507</v>
      </c>
      <c r="N906" s="24">
        <f>Таблица1[[#This Row],[цена за шт в рублях]]/Таблица1[[#This Row],[средняя стоимость в категории по поставщику.]]-1</f>
        <v>-0.95124037639007697</v>
      </c>
      <c r="O906" s="26">
        <f>VLOOKUP(Таблица1[[#This Row],[id клиента]],клиенты!$A$2:$E$435,5,0)</f>
        <v>44729</v>
      </c>
      <c r="P906">
        <f>Таблица1[[#This Row],[дата создания чека]]-Таблица1[[#This Row],[Дата регистрации клента]]</f>
        <v>256</v>
      </c>
      <c r="Q906" s="26">
        <f t="shared" ca="1" si="29"/>
        <v>46059</v>
      </c>
      <c r="R906" s="51">
        <f ca="1">(TODAY()-Таблица1[[#This Row],[Дата регистрации клента]])/30</f>
        <v>44.333333333333336</v>
      </c>
      <c r="S906" s="63" t="str">
        <f>VLOOKUP(Таблица1[[#This Row],[id клиента]],Таблица8[[id клиента]:[Страна]],7,0)</f>
        <v>Украина</v>
      </c>
      <c r="T906" s="26"/>
    </row>
    <row r="907" spans="1:20" ht="19.5" x14ac:dyDescent="0.4">
      <c r="A907" s="37">
        <v>906</v>
      </c>
      <c r="B907" s="31">
        <v>269</v>
      </c>
      <c r="C907" s="31">
        <v>315</v>
      </c>
      <c r="D907" s="31">
        <v>1</v>
      </c>
      <c r="E907" s="31">
        <v>315</v>
      </c>
      <c r="F907" s="38">
        <v>45355</v>
      </c>
      <c r="G907" s="31" t="s">
        <v>10</v>
      </c>
      <c r="H907" s="31">
        <v>41</v>
      </c>
      <c r="I907" s="31" t="str">
        <f>VLOOKUP(продажи!$B907,товар!$A$1:$C$433,2)</f>
        <v>Сахар</v>
      </c>
      <c r="J907" s="31" t="str">
        <f>VLOOKUP(B907,товар!$A$1:$C$433,3)</f>
        <v>Русский сахар</v>
      </c>
      <c r="K907" s="39">
        <f>AVERAGEIF(продажи!$I$2:$I$1001,продажи!$I$2:$I$1001,продажи!$C$2:$C$1001)</f>
        <v>254.58333333333334</v>
      </c>
      <c r="L907" s="40">
        <f>продажи!$C907/продажи!$K907-1</f>
        <v>0.2373158756137479</v>
      </c>
      <c r="M907" s="33">
        <f t="shared" si="28"/>
        <v>4988</v>
      </c>
      <c r="N907" s="24">
        <f>Таблица1[[#This Row],[цена за шт в рублях]]/Таблица1[[#This Row],[средняя стоимость в категории по поставщику.]]-1</f>
        <v>-0.93684843624699277</v>
      </c>
      <c r="O907" s="26">
        <f>VLOOKUP(Таблица1[[#This Row],[id клиента]],клиенты!$A$2:$E$435,5,0)</f>
        <v>44842</v>
      </c>
      <c r="P907">
        <f>Таблица1[[#This Row],[дата создания чека]]-Таблица1[[#This Row],[Дата регистрации клента]]</f>
        <v>513</v>
      </c>
      <c r="Q907" s="26">
        <f t="shared" ca="1" si="29"/>
        <v>46059</v>
      </c>
      <c r="R907" s="51">
        <f ca="1">(TODAY()-Таблица1[[#This Row],[Дата регистрации клента]])/30</f>
        <v>40.56666666666667</v>
      </c>
      <c r="S907" s="63" t="str">
        <f>VLOOKUP(Таблица1[[#This Row],[id клиента]],Таблица8[[id клиента]:[Страна]],7,0)</f>
        <v>Россия</v>
      </c>
      <c r="T907" s="26"/>
    </row>
    <row r="908" spans="1:20" ht="19.5" x14ac:dyDescent="0.4">
      <c r="A908" s="41">
        <v>907</v>
      </c>
      <c r="B908" s="42">
        <v>55</v>
      </c>
      <c r="C908" s="42">
        <v>353</v>
      </c>
      <c r="D908" s="42">
        <v>1</v>
      </c>
      <c r="E908" s="42">
        <v>353</v>
      </c>
      <c r="F908" s="43">
        <v>45413</v>
      </c>
      <c r="G908" s="42" t="s">
        <v>27</v>
      </c>
      <c r="H908" s="42">
        <v>129</v>
      </c>
      <c r="I908" s="42" t="str">
        <f>VLOOKUP(продажи!$B908,товар!$A$1:$C$433,2)</f>
        <v>Крупа</v>
      </c>
      <c r="J908" s="42" t="str">
        <f>VLOOKUP(B908,товар!$A$1:$C$433,3)</f>
        <v>Националь</v>
      </c>
      <c r="K908" s="44">
        <f>AVERAGEIF(продажи!$I$2:$I$1001,продажи!$I$2:$I$1001,продажи!$C$2:$C$1001)</f>
        <v>255.11627906976744</v>
      </c>
      <c r="L908" s="45">
        <f>продажи!$C908/продажи!$K908-1</f>
        <v>0.38368277119416594</v>
      </c>
      <c r="M908" s="33">
        <f t="shared" si="28"/>
        <v>1920</v>
      </c>
      <c r="N908" s="24">
        <f>Таблица1[[#This Row],[цена за шт в рублях]]/Таблица1[[#This Row],[средняя стоимость в категории по поставщику.]]-1</f>
        <v>-0.81614583333333335</v>
      </c>
      <c r="O908" s="26">
        <f>VLOOKUP(Таблица1[[#This Row],[id клиента]],клиенты!$A$2:$E$435,5,0)</f>
        <v>44868</v>
      </c>
      <c r="P908">
        <f>Таблица1[[#This Row],[дата создания чека]]-Таблица1[[#This Row],[Дата регистрации клента]]</f>
        <v>545</v>
      </c>
      <c r="Q908" s="26">
        <f t="shared" ca="1" si="29"/>
        <v>46059</v>
      </c>
      <c r="R908" s="51">
        <f ca="1">(TODAY()-Таблица1[[#This Row],[Дата регистрации клента]])/30</f>
        <v>39.700000000000003</v>
      </c>
      <c r="S908" s="63" t="str">
        <f>VLOOKUP(Таблица1[[#This Row],[id клиента]],Таблица8[[id клиента]:[Страна]],7,0)</f>
        <v>Беларусь</v>
      </c>
      <c r="T908" s="26"/>
    </row>
    <row r="909" spans="1:20" ht="19.5" x14ac:dyDescent="0.4">
      <c r="A909" s="37">
        <v>908</v>
      </c>
      <c r="B909" s="31">
        <v>327</v>
      </c>
      <c r="C909" s="31">
        <v>342</v>
      </c>
      <c r="D909" s="31">
        <v>2</v>
      </c>
      <c r="E909" s="31">
        <v>684</v>
      </c>
      <c r="F909" s="38">
        <v>45284</v>
      </c>
      <c r="G909" s="31" t="s">
        <v>9</v>
      </c>
      <c r="H909" s="31">
        <v>335</v>
      </c>
      <c r="I909" s="31" t="str">
        <f>VLOOKUP(продажи!$B909,товар!$A$1:$C$433,2)</f>
        <v>Колбаса</v>
      </c>
      <c r="J909" s="31" t="str">
        <f>VLOOKUP(B909,товар!$A$1:$C$433,3)</f>
        <v>Черкизово</v>
      </c>
      <c r="K909" s="39">
        <f>AVERAGEIF(продажи!$I$2:$I$1001,продажи!$I$2:$I$1001,продажи!$C$2:$C$1001)</f>
        <v>286.92307692307691</v>
      </c>
      <c r="L909" s="40">
        <f>продажи!$C909/продажи!$K909-1</f>
        <v>0.19195710455764092</v>
      </c>
      <c r="M909" s="33">
        <f t="shared" si="28"/>
        <v>1281</v>
      </c>
      <c r="N909" s="24">
        <f>Таблица1[[#This Row],[цена за шт в рублях]]/Таблица1[[#This Row],[средняя стоимость в категории по поставщику.]]-1</f>
        <v>-0.73302107728337229</v>
      </c>
      <c r="O909" s="26">
        <f>VLOOKUP(Таблица1[[#This Row],[id клиента]],клиенты!$A$2:$E$435,5,0)</f>
        <v>44619</v>
      </c>
      <c r="P909">
        <f>Таблица1[[#This Row],[дата создания чека]]-Таблица1[[#This Row],[Дата регистрации клента]]</f>
        <v>665</v>
      </c>
      <c r="Q909" s="26">
        <f t="shared" ca="1" si="29"/>
        <v>46059</v>
      </c>
      <c r="R909" s="51">
        <f ca="1">(TODAY()-Таблица1[[#This Row],[Дата регистрации клента]])/30</f>
        <v>48</v>
      </c>
      <c r="S909" s="63" t="str">
        <f>VLOOKUP(Таблица1[[#This Row],[id клиента]],Таблица8[[id клиента]:[Страна]],7,0)</f>
        <v>Узбекистан</v>
      </c>
      <c r="T909" s="26"/>
    </row>
    <row r="910" spans="1:20" ht="19.5" x14ac:dyDescent="0.4">
      <c r="A910" s="41">
        <v>909</v>
      </c>
      <c r="B910" s="42">
        <v>364</v>
      </c>
      <c r="C910" s="42">
        <v>299</v>
      </c>
      <c r="D910" s="42">
        <v>3</v>
      </c>
      <c r="E910" s="42">
        <v>897</v>
      </c>
      <c r="F910" s="43">
        <v>44932</v>
      </c>
      <c r="G910" s="42" t="s">
        <v>22</v>
      </c>
      <c r="H910" s="42">
        <v>194</v>
      </c>
      <c r="I910" s="42" t="str">
        <f>VLOOKUP(продажи!$B910,товар!$A$1:$C$433,2)</f>
        <v>Сахар</v>
      </c>
      <c r="J910" s="42" t="str">
        <f>VLOOKUP(B910,товар!$A$1:$C$433,3)</f>
        <v>Русский сахар</v>
      </c>
      <c r="K910" s="44">
        <f>AVERAGEIF(продажи!$I$2:$I$1001,продажи!$I$2:$I$1001,продажи!$C$2:$C$1001)</f>
        <v>254.58333333333334</v>
      </c>
      <c r="L910" s="45">
        <f>продажи!$C910/продажи!$K910-1</f>
        <v>0.1744680851063829</v>
      </c>
      <c r="M910" s="33">
        <f t="shared" si="28"/>
        <v>4988</v>
      </c>
      <c r="N910" s="24">
        <f>Таблица1[[#This Row],[цена за шт в рублях]]/Таблица1[[#This Row],[средняя стоимость в категории по поставщику.]]-1</f>
        <v>-0.94005613472333605</v>
      </c>
      <c r="O910" s="26">
        <f>VLOOKUP(Таблица1[[#This Row],[id клиента]],клиенты!$A$2:$E$435,5,0)</f>
        <v>44924</v>
      </c>
      <c r="P910">
        <f>Таблица1[[#This Row],[дата создания чека]]-Таблица1[[#This Row],[Дата регистрации клента]]</f>
        <v>8</v>
      </c>
      <c r="Q910" s="26">
        <f t="shared" ca="1" si="29"/>
        <v>46059</v>
      </c>
      <c r="R910" s="51">
        <f ca="1">(TODAY()-Таблица1[[#This Row],[Дата регистрации клента]])/30</f>
        <v>37.833333333333336</v>
      </c>
      <c r="S910" s="63" t="str">
        <f>VLOOKUP(Таблица1[[#This Row],[id клиента]],Таблица8[[id клиента]:[Страна]],7,0)</f>
        <v>Россия</v>
      </c>
      <c r="T910" s="26"/>
    </row>
    <row r="911" spans="1:20" ht="19.5" x14ac:dyDescent="0.4">
      <c r="A911" s="37">
        <v>910</v>
      </c>
      <c r="B911" s="31">
        <v>378</v>
      </c>
      <c r="C911" s="31">
        <v>397</v>
      </c>
      <c r="D911" s="31">
        <v>1</v>
      </c>
      <c r="E911" s="31">
        <v>397</v>
      </c>
      <c r="F911" s="38">
        <v>45000</v>
      </c>
      <c r="G911" s="31" t="s">
        <v>13</v>
      </c>
      <c r="H911" s="31">
        <v>56</v>
      </c>
      <c r="I911" s="31" t="str">
        <f>VLOOKUP(продажи!$B911,товар!$A$1:$C$433,2)</f>
        <v>Сок</v>
      </c>
      <c r="J911" s="31" t="str">
        <f>VLOOKUP(B911,товар!$A$1:$C$433,3)</f>
        <v>Фруктовый сад</v>
      </c>
      <c r="K911" s="39">
        <f>AVERAGEIF(продажи!$I$2:$I$1001,продажи!$I$2:$I$1001,продажи!$C$2:$C$1001)</f>
        <v>268.60344827586209</v>
      </c>
      <c r="L911" s="40">
        <f>продажи!$C911/продажи!$K911-1</f>
        <v>0.47801527697541557</v>
      </c>
      <c r="M911" s="33">
        <f t="shared" si="28"/>
        <v>9023</v>
      </c>
      <c r="N911" s="24">
        <f>Таблица1[[#This Row],[цена за шт в рублях]]/Таблица1[[#This Row],[средняя стоимость в категории по поставщику.]]-1</f>
        <v>-0.95600132993461151</v>
      </c>
      <c r="O911" s="26">
        <f>VLOOKUP(Таблица1[[#This Row],[id клиента]],клиенты!$A$2:$E$435,5,0)</f>
        <v>44662</v>
      </c>
      <c r="P911">
        <f>Таблица1[[#This Row],[дата создания чека]]-Таблица1[[#This Row],[Дата регистрации клента]]</f>
        <v>338</v>
      </c>
      <c r="Q911" s="26">
        <f t="shared" ca="1" si="29"/>
        <v>46059</v>
      </c>
      <c r="R911" s="51">
        <f ca="1">(TODAY()-Таблица1[[#This Row],[Дата регистрации клента]])/30</f>
        <v>46.56666666666667</v>
      </c>
      <c r="S911" s="63" t="str">
        <f>VLOOKUP(Таблица1[[#This Row],[id клиента]],Таблица8[[id клиента]:[Страна]],7,0)</f>
        <v>Таджикистан</v>
      </c>
      <c r="T911" s="26"/>
    </row>
    <row r="912" spans="1:20" ht="19.5" x14ac:dyDescent="0.4">
      <c r="A912" s="41">
        <v>911</v>
      </c>
      <c r="B912" s="42">
        <v>462</v>
      </c>
      <c r="C912" s="42">
        <v>231</v>
      </c>
      <c r="D912" s="42">
        <v>2</v>
      </c>
      <c r="E912" s="42">
        <v>462</v>
      </c>
      <c r="F912" s="43">
        <v>44950</v>
      </c>
      <c r="G912" s="42" t="s">
        <v>26</v>
      </c>
      <c r="H912" s="42">
        <v>493</v>
      </c>
      <c r="I912" s="42" t="str">
        <f>VLOOKUP(продажи!$B912,товар!$A$1:$C$433,2)</f>
        <v>Рис</v>
      </c>
      <c r="J912" s="42" t="str">
        <f>VLOOKUP(B912,товар!$A$1:$C$433,3)</f>
        <v>Белый Злат</v>
      </c>
      <c r="K912" s="44">
        <f>AVERAGEIF(продажи!$I$2:$I$1001,продажи!$I$2:$I$1001,продажи!$C$2:$C$1001)</f>
        <v>258.375</v>
      </c>
      <c r="L912" s="45">
        <f>продажи!$C912/продажи!$K912-1</f>
        <v>-0.10595065312046448</v>
      </c>
      <c r="M912" s="33">
        <f t="shared" si="28"/>
        <v>4585</v>
      </c>
      <c r="N912" s="24">
        <f>Таблица1[[#This Row],[цена за шт в рублях]]/Таблица1[[#This Row],[средняя стоимость в категории по поставщику.]]-1</f>
        <v>-0.94961832061068707</v>
      </c>
      <c r="O912" s="26">
        <f>VLOOKUP(Таблица1[[#This Row],[id клиента]],клиенты!$A$2:$E$435,5,0)</f>
        <v>44855</v>
      </c>
      <c r="P912">
        <f>Таблица1[[#This Row],[дата создания чека]]-Таблица1[[#This Row],[Дата регистрации клента]]</f>
        <v>95</v>
      </c>
      <c r="Q912" s="26">
        <f t="shared" ca="1" si="29"/>
        <v>46059</v>
      </c>
      <c r="R912" s="51">
        <f ca="1">(TODAY()-Таблица1[[#This Row],[Дата регистрации клента]])/30</f>
        <v>40.133333333333333</v>
      </c>
      <c r="S912" s="63" t="str">
        <f>VLOOKUP(Таблица1[[#This Row],[id клиента]],Таблица8[[id клиента]:[Страна]],7,0)</f>
        <v>Украина</v>
      </c>
      <c r="T912" s="26"/>
    </row>
    <row r="913" spans="1:20" ht="19.5" x14ac:dyDescent="0.4">
      <c r="A913" s="37">
        <v>912</v>
      </c>
      <c r="B913" s="31">
        <v>89</v>
      </c>
      <c r="C913" s="31">
        <v>120</v>
      </c>
      <c r="D913" s="31">
        <v>5</v>
      </c>
      <c r="E913" s="31">
        <v>600</v>
      </c>
      <c r="F913" s="38">
        <v>44962</v>
      </c>
      <c r="G913" s="31" t="s">
        <v>27</v>
      </c>
      <c r="H913" s="31">
        <v>222</v>
      </c>
      <c r="I913" s="31" t="str">
        <f>VLOOKUP(продажи!$B913,товар!$A$1:$C$433,2)</f>
        <v>Конфеты</v>
      </c>
      <c r="J913" s="31" t="str">
        <f>VLOOKUP(B913,товар!$A$1:$C$433,3)</f>
        <v>Рот Фронт</v>
      </c>
      <c r="K913" s="39">
        <f>AVERAGEIF(продажи!$I$2:$I$1001,продажи!$I$2:$I$1001,продажи!$C$2:$C$1001)</f>
        <v>267.85483870967744</v>
      </c>
      <c r="L913" s="40">
        <f>продажи!$C913/продажи!$K913-1</f>
        <v>-0.5519961462034082</v>
      </c>
      <c r="M913" s="33">
        <f t="shared" si="28"/>
        <v>6053</v>
      </c>
      <c r="N913" s="24">
        <f>Таблица1[[#This Row],[цена за шт в рублях]]/Таблица1[[#This Row],[средняя стоимость в категории по поставщику.]]-1</f>
        <v>-0.98017511977531802</v>
      </c>
      <c r="O913" s="26">
        <f>VLOOKUP(Таблица1[[#This Row],[id клиента]],клиенты!$A$2:$E$435,5,0)</f>
        <v>44694</v>
      </c>
      <c r="P913">
        <f>Таблица1[[#This Row],[дата создания чека]]-Таблица1[[#This Row],[Дата регистрации клента]]</f>
        <v>268</v>
      </c>
      <c r="Q913" s="26">
        <f t="shared" ca="1" si="29"/>
        <v>46059</v>
      </c>
      <c r="R913" s="51">
        <f ca="1">(TODAY()-Таблица1[[#This Row],[Дата регистрации клента]])/30</f>
        <v>45.5</v>
      </c>
      <c r="S913" s="63" t="str">
        <f>VLOOKUP(Таблица1[[#This Row],[id клиента]],Таблица8[[id клиента]:[Страна]],7,0)</f>
        <v>Украина</v>
      </c>
      <c r="T913" s="26"/>
    </row>
    <row r="914" spans="1:20" ht="19.5" x14ac:dyDescent="0.4">
      <c r="A914" s="41">
        <v>913</v>
      </c>
      <c r="B914" s="42">
        <v>465</v>
      </c>
      <c r="C914" s="42">
        <v>177</v>
      </c>
      <c r="D914" s="42">
        <v>1</v>
      </c>
      <c r="E914" s="42">
        <v>177</v>
      </c>
      <c r="F914" s="43">
        <v>45122</v>
      </c>
      <c r="G914" s="42" t="s">
        <v>16</v>
      </c>
      <c r="H914" s="42">
        <v>167</v>
      </c>
      <c r="I914" s="42" t="str">
        <f>VLOOKUP(продажи!$B914,товар!$A$1:$C$433,2)</f>
        <v>Йогурт</v>
      </c>
      <c r="J914" s="42" t="str">
        <f>VLOOKUP(B914,товар!$A$1:$C$433,3)</f>
        <v>Ростагроэкспорт</v>
      </c>
      <c r="K914" s="44">
        <f>AVERAGEIF(продажи!$I$2:$I$1001,продажи!$I$2:$I$1001,продажи!$C$2:$C$1001)</f>
        <v>263.25423728813558</v>
      </c>
      <c r="L914" s="45">
        <f>продажи!$C914/продажи!$K914-1</f>
        <v>-0.32764614988411023</v>
      </c>
      <c r="M914" s="33">
        <f t="shared" si="28"/>
        <v>5929</v>
      </c>
      <c r="N914" s="24">
        <f>Таблица1[[#This Row],[цена за шт в рублях]]/Таблица1[[#This Row],[средняя стоимость в категории по поставщику.]]-1</f>
        <v>-0.97014673638050264</v>
      </c>
      <c r="O914" s="26">
        <f>VLOOKUP(Таблица1[[#This Row],[id клиента]],клиенты!$A$2:$E$435,5,0)</f>
        <v>44563</v>
      </c>
      <c r="P914">
        <f>Таблица1[[#This Row],[дата создания чека]]-Таблица1[[#This Row],[Дата регистрации клента]]</f>
        <v>559</v>
      </c>
      <c r="Q914" s="26">
        <f t="shared" ca="1" si="29"/>
        <v>46059</v>
      </c>
      <c r="R914" s="51">
        <f ca="1">(TODAY()-Таблица1[[#This Row],[Дата регистрации клента]])/30</f>
        <v>49.866666666666667</v>
      </c>
      <c r="S914" s="63" t="str">
        <f>VLOOKUP(Таблица1[[#This Row],[id клиента]],Таблица8[[id клиента]:[Страна]],7,0)</f>
        <v>Узбекистан</v>
      </c>
      <c r="T914" s="26"/>
    </row>
    <row r="915" spans="1:20" ht="19.5" x14ac:dyDescent="0.4">
      <c r="A915" s="37">
        <v>914</v>
      </c>
      <c r="B915" s="31">
        <v>208</v>
      </c>
      <c r="C915" s="31">
        <v>412</v>
      </c>
      <c r="D915" s="31">
        <v>4</v>
      </c>
      <c r="E915" s="31">
        <v>1648</v>
      </c>
      <c r="F915" s="38">
        <v>45319</v>
      </c>
      <c r="G915" s="31" t="s">
        <v>14</v>
      </c>
      <c r="H915" s="31">
        <v>212</v>
      </c>
      <c r="I915" s="31" t="str">
        <f>VLOOKUP(продажи!$B915,товар!$A$1:$C$433,2)</f>
        <v>Конфеты</v>
      </c>
      <c r="J915" s="31" t="str">
        <f>VLOOKUP(B915,товар!$A$1:$C$433,3)</f>
        <v>Славянка</v>
      </c>
      <c r="K915" s="39">
        <f>AVERAGEIF(продажи!$I$2:$I$1001,продажи!$I$2:$I$1001,продажи!$C$2:$C$1001)</f>
        <v>267.85483870967744</v>
      </c>
      <c r="L915" s="40">
        <f>продажи!$C915/продажи!$K915-1</f>
        <v>0.53814656470163169</v>
      </c>
      <c r="M915" s="33">
        <f t="shared" si="28"/>
        <v>1608</v>
      </c>
      <c r="N915" s="24">
        <f>Таблица1[[#This Row],[цена за шт в рублях]]/Таблица1[[#This Row],[средняя стоимость в категории по поставщику.]]-1</f>
        <v>-0.74378109452736318</v>
      </c>
      <c r="O915" s="26">
        <f>VLOOKUP(Таблица1[[#This Row],[id клиента]],клиенты!$A$2:$E$435,5,0)</f>
        <v>44815</v>
      </c>
      <c r="P915">
        <f>Таблица1[[#This Row],[дата создания чека]]-Таблица1[[#This Row],[Дата регистрации клента]]</f>
        <v>504</v>
      </c>
      <c r="Q915" s="26">
        <f t="shared" ca="1" si="29"/>
        <v>46059</v>
      </c>
      <c r="R915" s="51">
        <f ca="1">(TODAY()-Таблица1[[#This Row],[Дата регистрации клента]])/30</f>
        <v>41.466666666666669</v>
      </c>
      <c r="S915" s="63" t="str">
        <f>VLOOKUP(Таблица1[[#This Row],[id клиента]],Таблица8[[id клиента]:[Страна]],7,0)</f>
        <v>Узбекистан</v>
      </c>
      <c r="T915" s="26"/>
    </row>
    <row r="916" spans="1:20" ht="19.5" x14ac:dyDescent="0.4">
      <c r="A916" s="41">
        <v>915</v>
      </c>
      <c r="B916" s="42">
        <v>357</v>
      </c>
      <c r="C916" s="42">
        <v>279</v>
      </c>
      <c r="D916" s="42">
        <v>2</v>
      </c>
      <c r="E916" s="42">
        <v>558</v>
      </c>
      <c r="F916" s="43">
        <v>45266</v>
      </c>
      <c r="G916" s="42" t="s">
        <v>23</v>
      </c>
      <c r="H916" s="42">
        <v>499</v>
      </c>
      <c r="I916" s="42" t="str">
        <f>VLOOKUP(продажи!$B916,товар!$A$1:$C$433,2)</f>
        <v>Мясо</v>
      </c>
      <c r="J916" s="42" t="str">
        <f>VLOOKUP(B916,товар!$A$1:$C$433,3)</f>
        <v>Снежана</v>
      </c>
      <c r="K916" s="44">
        <f>AVERAGEIF(продажи!$I$2:$I$1001,продажи!$I$2:$I$1001,продажи!$C$2:$C$1001)</f>
        <v>271.74545454545455</v>
      </c>
      <c r="L916" s="45">
        <f>продажи!$C916/продажи!$K916-1</f>
        <v>2.6696105981533602E-2</v>
      </c>
      <c r="M916" s="33">
        <f t="shared" si="28"/>
        <v>4630</v>
      </c>
      <c r="N916" s="24">
        <f>Таблица1[[#This Row],[цена за шт в рублях]]/Таблица1[[#This Row],[средняя стоимость в категории по поставщику.]]-1</f>
        <v>-0.93974082073434129</v>
      </c>
      <c r="O916" s="26">
        <f>VLOOKUP(Таблица1[[#This Row],[id клиента]],клиенты!$A$2:$E$435,5,0)</f>
        <v>44798</v>
      </c>
      <c r="P916">
        <f>Таблица1[[#This Row],[дата создания чека]]-Таблица1[[#This Row],[Дата регистрации клента]]</f>
        <v>468</v>
      </c>
      <c r="Q916" s="26">
        <f t="shared" ca="1" si="29"/>
        <v>46059</v>
      </c>
      <c r="R916" s="51">
        <f ca="1">(TODAY()-Таблица1[[#This Row],[Дата регистрации клента]])/30</f>
        <v>42.033333333333331</v>
      </c>
      <c r="S916" s="63" t="str">
        <f>VLOOKUP(Таблица1[[#This Row],[id клиента]],Таблица8[[id клиента]:[Страна]],7,0)</f>
        <v>Беларусь</v>
      </c>
      <c r="T916" s="26"/>
    </row>
    <row r="917" spans="1:20" ht="19.5" x14ac:dyDescent="0.4">
      <c r="A917" s="37">
        <v>916</v>
      </c>
      <c r="B917" s="31">
        <v>416</v>
      </c>
      <c r="C917" s="31">
        <v>472</v>
      </c>
      <c r="D917" s="31">
        <v>1</v>
      </c>
      <c r="E917" s="31">
        <v>472</v>
      </c>
      <c r="F917" s="38">
        <v>45339</v>
      </c>
      <c r="G917" s="31" t="s">
        <v>27</v>
      </c>
      <c r="H917" s="31">
        <v>401</v>
      </c>
      <c r="I917" s="31" t="str">
        <f>VLOOKUP(продажи!$B917,товар!$A$1:$C$433,2)</f>
        <v>Рыба</v>
      </c>
      <c r="J917" s="31" t="str">
        <f>VLOOKUP(B917,товар!$A$1:$C$433,3)</f>
        <v>Меридиан</v>
      </c>
      <c r="K917" s="39">
        <f>AVERAGEIF(продажи!$I$2:$I$1001,продажи!$I$2:$I$1001,продажи!$C$2:$C$1001)</f>
        <v>258.5128205128205</v>
      </c>
      <c r="L917" s="40">
        <f>продажи!$C917/продажи!$K917-1</f>
        <v>0.82582820868875229</v>
      </c>
      <c r="M917" s="33">
        <f t="shared" si="28"/>
        <v>4431</v>
      </c>
      <c r="N917" s="24">
        <f>Таблица1[[#This Row],[цена за шт в рублях]]/Таблица1[[#This Row],[средняя стоимость в категории по поставщику.]]-1</f>
        <v>-0.8934777702550214</v>
      </c>
      <c r="O917" s="26">
        <f>VLOOKUP(Таблица1[[#This Row],[id клиента]],клиенты!$A$2:$E$435,5,0)</f>
        <v>44856</v>
      </c>
      <c r="P917">
        <f>Таблица1[[#This Row],[дата создания чека]]-Таблица1[[#This Row],[Дата регистрации клента]]</f>
        <v>483</v>
      </c>
      <c r="Q917" s="26">
        <f t="shared" ca="1" si="29"/>
        <v>46059</v>
      </c>
      <c r="R917" s="51">
        <f ca="1">(TODAY()-Таблица1[[#This Row],[Дата регистрации клента]])/30</f>
        <v>40.1</v>
      </c>
      <c r="S917" s="63" t="str">
        <f>VLOOKUP(Таблица1[[#This Row],[id клиента]],Таблица8[[id клиента]:[Страна]],7,0)</f>
        <v>Россия</v>
      </c>
      <c r="T917" s="26"/>
    </row>
    <row r="918" spans="1:20" ht="19.5" x14ac:dyDescent="0.4">
      <c r="A918" s="41">
        <v>917</v>
      </c>
      <c r="B918" s="42">
        <v>374</v>
      </c>
      <c r="C918" s="42">
        <v>52</v>
      </c>
      <c r="D918" s="42">
        <v>3</v>
      </c>
      <c r="E918" s="42">
        <v>156</v>
      </c>
      <c r="F918" s="43">
        <v>45026</v>
      </c>
      <c r="G918" s="42" t="s">
        <v>26</v>
      </c>
      <c r="H918" s="42">
        <v>463</v>
      </c>
      <c r="I918" s="42" t="str">
        <f>VLOOKUP(продажи!$B918,товар!$A$1:$C$433,2)</f>
        <v>Кофе</v>
      </c>
      <c r="J918" s="42" t="str">
        <f>VLOOKUP(B918,товар!$A$1:$C$433,3)</f>
        <v>Tchibo</v>
      </c>
      <c r="K918" s="44">
        <f>AVERAGEIF(продажи!$I$2:$I$1001,продажи!$I$2:$I$1001,продажи!$C$2:$C$1001)</f>
        <v>249.02380952380952</v>
      </c>
      <c r="L918" s="45">
        <f>продажи!$C918/продажи!$K918-1</f>
        <v>-0.79118462568123149</v>
      </c>
      <c r="M918" s="33">
        <f t="shared" si="28"/>
        <v>420</v>
      </c>
      <c r="N918" s="24">
        <f>Таблица1[[#This Row],[цена за шт в рублях]]/Таблица1[[#This Row],[средняя стоимость в категории по поставщику.]]-1</f>
        <v>-0.87619047619047619</v>
      </c>
      <c r="O918" s="26">
        <f>VLOOKUP(Таблица1[[#This Row],[id клиента]],клиенты!$A$2:$E$435,5,0)</f>
        <v>44869</v>
      </c>
      <c r="P918">
        <f>Таблица1[[#This Row],[дата создания чека]]-Таблица1[[#This Row],[Дата регистрации клента]]</f>
        <v>157</v>
      </c>
      <c r="Q918" s="26">
        <f t="shared" ca="1" si="29"/>
        <v>46059</v>
      </c>
      <c r="R918" s="51">
        <f ca="1">(TODAY()-Таблица1[[#This Row],[Дата регистрации клента]])/30</f>
        <v>39.666666666666664</v>
      </c>
      <c r="S918" s="63" t="str">
        <f>VLOOKUP(Таблица1[[#This Row],[id клиента]],Таблица8[[id клиента]:[Страна]],7,0)</f>
        <v>Украина</v>
      </c>
      <c r="T918" s="26"/>
    </row>
    <row r="919" spans="1:20" ht="19.5" x14ac:dyDescent="0.4">
      <c r="A919" s="37">
        <v>918</v>
      </c>
      <c r="B919" s="31">
        <v>145</v>
      </c>
      <c r="C919" s="31">
        <v>144</v>
      </c>
      <c r="D919" s="31">
        <v>5</v>
      </c>
      <c r="E919" s="31">
        <v>720</v>
      </c>
      <c r="F919" s="38">
        <v>45312</v>
      </c>
      <c r="G919" s="31" t="s">
        <v>8</v>
      </c>
      <c r="H919" s="31">
        <v>347</v>
      </c>
      <c r="I919" s="31" t="str">
        <f>VLOOKUP(продажи!$B919,товар!$A$1:$C$433,2)</f>
        <v>Овощи</v>
      </c>
      <c r="J919" s="31" t="str">
        <f>VLOOKUP(B919,товар!$A$1:$C$433,3)</f>
        <v>Семко</v>
      </c>
      <c r="K919" s="39">
        <f>AVERAGEIF(продажи!$I$2:$I$1001,продажи!$I$2:$I$1001,продажи!$C$2:$C$1001)</f>
        <v>250.48780487804879</v>
      </c>
      <c r="L919" s="40">
        <f>продажи!$C919/продажи!$K919-1</f>
        <v>-0.42512171372930874</v>
      </c>
      <c r="M919" s="33">
        <f t="shared" si="28"/>
        <v>2080</v>
      </c>
      <c r="N919" s="24">
        <f>Таблица1[[#This Row],[цена за шт в рублях]]/Таблица1[[#This Row],[средняя стоимость в категории по поставщику.]]-1</f>
        <v>-0.93076923076923079</v>
      </c>
      <c r="O919" s="26">
        <f>VLOOKUP(Таблица1[[#This Row],[id клиента]],клиенты!$A$2:$E$435,5,0)</f>
        <v>44588</v>
      </c>
      <c r="P919">
        <f>Таблица1[[#This Row],[дата создания чека]]-Таблица1[[#This Row],[Дата регистрации клента]]</f>
        <v>724</v>
      </c>
      <c r="Q919" s="26">
        <f t="shared" ca="1" si="29"/>
        <v>46059</v>
      </c>
      <c r="R919" s="51">
        <f ca="1">(TODAY()-Таблица1[[#This Row],[Дата регистрации клента]])/30</f>
        <v>49.033333333333331</v>
      </c>
      <c r="S919" s="63" t="str">
        <f>VLOOKUP(Таблица1[[#This Row],[id клиента]],Таблица8[[id клиента]:[Страна]],7,0)</f>
        <v>Таджикистан</v>
      </c>
      <c r="T919" s="26"/>
    </row>
    <row r="920" spans="1:20" ht="19.5" x14ac:dyDescent="0.4">
      <c r="A920" s="41">
        <v>919</v>
      </c>
      <c r="B920" s="42">
        <v>289</v>
      </c>
      <c r="C920" s="42">
        <v>258</v>
      </c>
      <c r="D920" s="42">
        <v>2</v>
      </c>
      <c r="E920" s="42">
        <v>516</v>
      </c>
      <c r="F920" s="43">
        <v>45392</v>
      </c>
      <c r="G920" s="42" t="s">
        <v>9</v>
      </c>
      <c r="H920" s="42">
        <v>54</v>
      </c>
      <c r="I920" s="42" t="str">
        <f>VLOOKUP(продажи!$B920,товар!$A$1:$C$433,2)</f>
        <v>Сок</v>
      </c>
      <c r="J920" s="42" t="str">
        <f>VLOOKUP(B920,товар!$A$1:$C$433,3)</f>
        <v>Добрый</v>
      </c>
      <c r="K920" s="44">
        <f>AVERAGEIF(продажи!$I$2:$I$1001,продажи!$I$2:$I$1001,продажи!$C$2:$C$1001)</f>
        <v>268.60344827586209</v>
      </c>
      <c r="L920" s="45">
        <f>продажи!$C920/продажи!$K920-1</f>
        <v>-3.9476217985750184E-2</v>
      </c>
      <c r="M920" s="33">
        <f t="shared" si="28"/>
        <v>2671</v>
      </c>
      <c r="N920" s="24">
        <f>Таблица1[[#This Row],[цена за шт в рублях]]/Таблица1[[#This Row],[средняя стоимость в категории по поставщику.]]-1</f>
        <v>-0.90340696368401352</v>
      </c>
      <c r="O920" s="26">
        <f>VLOOKUP(Таблица1[[#This Row],[id клиента]],клиенты!$A$2:$E$435,5,0)</f>
        <v>44847</v>
      </c>
      <c r="P920">
        <f>Таблица1[[#This Row],[дата создания чека]]-Таблица1[[#This Row],[Дата регистрации клента]]</f>
        <v>545</v>
      </c>
      <c r="Q920" s="26">
        <f t="shared" ca="1" si="29"/>
        <v>46059</v>
      </c>
      <c r="R920" s="51">
        <f ca="1">(TODAY()-Таблица1[[#This Row],[Дата регистрации клента]])/30</f>
        <v>40.4</v>
      </c>
      <c r="S920" s="63" t="str">
        <f>VLOOKUP(Таблица1[[#This Row],[id клиента]],Таблица8[[id клиента]:[Страна]],7,0)</f>
        <v>Беларусь</v>
      </c>
      <c r="T920" s="26"/>
    </row>
    <row r="921" spans="1:20" ht="19.5" x14ac:dyDescent="0.4">
      <c r="A921" s="37">
        <v>920</v>
      </c>
      <c r="B921" s="31">
        <v>173</v>
      </c>
      <c r="C921" s="31">
        <v>173</v>
      </c>
      <c r="D921" s="31">
        <v>2</v>
      </c>
      <c r="E921" s="31">
        <v>346</v>
      </c>
      <c r="F921" s="38">
        <v>45097</v>
      </c>
      <c r="G921" s="31" t="s">
        <v>26</v>
      </c>
      <c r="H921" s="31">
        <v>246</v>
      </c>
      <c r="I921" s="31" t="str">
        <f>VLOOKUP(продажи!$B921,товар!$A$1:$C$433,2)</f>
        <v>Сок</v>
      </c>
      <c r="J921" s="31" t="str">
        <f>VLOOKUP(B921,товар!$A$1:$C$433,3)</f>
        <v>Фруктовый сад</v>
      </c>
      <c r="K921" s="39">
        <f>AVERAGEIF(продажи!$I$2:$I$1001,продажи!$I$2:$I$1001,продажи!$C$2:$C$1001)</f>
        <v>268.60344827586209</v>
      </c>
      <c r="L921" s="40">
        <f>продажи!$C921/продажи!$K921-1</f>
        <v>-0.35592785159509599</v>
      </c>
      <c r="M921" s="33">
        <f t="shared" si="28"/>
        <v>9023</v>
      </c>
      <c r="N921" s="24">
        <f>Таблица1[[#This Row],[цена за шт в рублях]]/Таблица1[[#This Row],[средняя стоимость в категории по поставщику.]]-1</f>
        <v>-0.98082677601684587</v>
      </c>
      <c r="O921" s="26">
        <f>VLOOKUP(Таблица1[[#This Row],[id клиента]],клиенты!$A$2:$E$435,5,0)</f>
        <v>44805</v>
      </c>
      <c r="P921">
        <f>Таблица1[[#This Row],[дата создания чека]]-Таблица1[[#This Row],[Дата регистрации клента]]</f>
        <v>292</v>
      </c>
      <c r="Q921" s="26">
        <f t="shared" ca="1" si="29"/>
        <v>46059</v>
      </c>
      <c r="R921" s="51">
        <f ca="1">(TODAY()-Таблица1[[#This Row],[Дата регистрации клента]])/30</f>
        <v>41.8</v>
      </c>
      <c r="S921" s="63" t="str">
        <f>VLOOKUP(Таблица1[[#This Row],[id клиента]],Таблица8[[id клиента]:[Страна]],7,0)</f>
        <v>Узбекистан</v>
      </c>
      <c r="T921" s="26"/>
    </row>
    <row r="922" spans="1:20" ht="19.5" x14ac:dyDescent="0.4">
      <c r="A922" s="41">
        <v>921</v>
      </c>
      <c r="B922" s="42">
        <v>390</v>
      </c>
      <c r="C922" s="42">
        <v>494</v>
      </c>
      <c r="D922" s="42">
        <v>3</v>
      </c>
      <c r="E922" s="42">
        <v>1482</v>
      </c>
      <c r="F922" s="43">
        <v>45196</v>
      </c>
      <c r="G922" s="42" t="s">
        <v>19</v>
      </c>
      <c r="H922" s="42">
        <v>65</v>
      </c>
      <c r="I922" s="42" t="str">
        <f>VLOOKUP(продажи!$B922,товар!$A$1:$C$433,2)</f>
        <v>Сок</v>
      </c>
      <c r="J922" s="42" t="str">
        <f>VLOOKUP(B922,товар!$A$1:$C$433,3)</f>
        <v>Сады Придонья</v>
      </c>
      <c r="K922" s="44">
        <f>AVERAGEIF(продажи!$I$2:$I$1001,продажи!$I$2:$I$1001,продажи!$C$2:$C$1001)</f>
        <v>268.60344827586209</v>
      </c>
      <c r="L922" s="45">
        <f>продажи!$C922/продажи!$K922-1</f>
        <v>0.83914243532961019</v>
      </c>
      <c r="M922" s="33">
        <f t="shared" si="28"/>
        <v>2796</v>
      </c>
      <c r="N922" s="24">
        <f>Таблица1[[#This Row],[цена за шт в рублях]]/Таблица1[[#This Row],[средняя стоимость в категории по поставщику.]]-1</f>
        <v>-0.82331902718168815</v>
      </c>
      <c r="O922" s="26">
        <f>VLOOKUP(Таблица1[[#This Row],[id клиента]],клиенты!$A$2:$E$435,5,0)</f>
        <v>44623</v>
      </c>
      <c r="P922">
        <f>Таблица1[[#This Row],[дата создания чека]]-Таблица1[[#This Row],[Дата регистрации клента]]</f>
        <v>573</v>
      </c>
      <c r="Q922" s="26">
        <f t="shared" ca="1" si="29"/>
        <v>46059</v>
      </c>
      <c r="R922" s="51">
        <f ca="1">(TODAY()-Таблица1[[#This Row],[Дата регистрации клента]])/30</f>
        <v>47.866666666666667</v>
      </c>
      <c r="S922" s="63" t="str">
        <f>VLOOKUP(Таблица1[[#This Row],[id клиента]],Таблица8[[id клиента]:[Страна]],7,0)</f>
        <v>Украина</v>
      </c>
      <c r="T922" s="26"/>
    </row>
    <row r="923" spans="1:20" ht="19.5" x14ac:dyDescent="0.4">
      <c r="A923" s="37">
        <v>922</v>
      </c>
      <c r="B923" s="31">
        <v>482</v>
      </c>
      <c r="C923" s="31">
        <v>198</v>
      </c>
      <c r="D923" s="31">
        <v>2</v>
      </c>
      <c r="E923" s="31">
        <v>396</v>
      </c>
      <c r="F923" s="38">
        <v>45197</v>
      </c>
      <c r="G923" s="31" t="s">
        <v>26</v>
      </c>
      <c r="H923" s="31">
        <v>44</v>
      </c>
      <c r="I923" s="31" t="str">
        <f>VLOOKUP(продажи!$B923,товар!$A$1:$C$433,2)</f>
        <v>Крупа</v>
      </c>
      <c r="J923" s="31" t="str">
        <f>VLOOKUP(B923,товар!$A$1:$C$433,3)</f>
        <v>Мистраль</v>
      </c>
      <c r="K923" s="39">
        <f>AVERAGEIF(продажи!$I$2:$I$1001,продажи!$I$2:$I$1001,продажи!$C$2:$C$1001)</f>
        <v>255.11627906976744</v>
      </c>
      <c r="L923" s="40">
        <f>продажи!$C923/продажи!$K923-1</f>
        <v>-0.22388331814038287</v>
      </c>
      <c r="M923" s="33">
        <f t="shared" si="28"/>
        <v>3254</v>
      </c>
      <c r="N923" s="24">
        <f>Таблица1[[#This Row],[цена за шт в рублях]]/Таблица1[[#This Row],[средняя стоимость в категории по поставщику.]]-1</f>
        <v>-0.93915181315304241</v>
      </c>
      <c r="O923" s="26">
        <f>VLOOKUP(Таблица1[[#This Row],[id клиента]],клиенты!$A$2:$E$435,5,0)</f>
        <v>44701</v>
      </c>
      <c r="P923">
        <f>Таблица1[[#This Row],[дата создания чека]]-Таблица1[[#This Row],[Дата регистрации клента]]</f>
        <v>496</v>
      </c>
      <c r="Q923" s="26">
        <f t="shared" ca="1" si="29"/>
        <v>46059</v>
      </c>
      <c r="R923" s="51">
        <f ca="1">(TODAY()-Таблица1[[#This Row],[Дата регистрации клента]])/30</f>
        <v>45.266666666666666</v>
      </c>
      <c r="S923" s="63" t="str">
        <f>VLOOKUP(Таблица1[[#This Row],[id клиента]],Таблица8[[id клиента]:[Страна]],7,0)</f>
        <v>Беларусь</v>
      </c>
      <c r="T923" s="26"/>
    </row>
    <row r="924" spans="1:20" ht="19.5" x14ac:dyDescent="0.4">
      <c r="A924" s="41">
        <v>923</v>
      </c>
      <c r="B924" s="42">
        <v>465</v>
      </c>
      <c r="C924" s="42">
        <v>71</v>
      </c>
      <c r="D924" s="42">
        <v>5</v>
      </c>
      <c r="E924" s="42">
        <v>355</v>
      </c>
      <c r="F924" s="43">
        <v>45253</v>
      </c>
      <c r="G924" s="42" t="s">
        <v>16</v>
      </c>
      <c r="H924" s="42">
        <v>321</v>
      </c>
      <c r="I924" s="42" t="str">
        <f>VLOOKUP(продажи!$B924,товар!$A$1:$C$433,2)</f>
        <v>Йогурт</v>
      </c>
      <c r="J924" s="42" t="str">
        <f>VLOOKUP(B924,товар!$A$1:$C$433,3)</f>
        <v>Ростагроэкспорт</v>
      </c>
      <c r="K924" s="44">
        <f>AVERAGEIF(продажи!$I$2:$I$1001,продажи!$I$2:$I$1001,продажи!$C$2:$C$1001)</f>
        <v>263.25423728813558</v>
      </c>
      <c r="L924" s="45">
        <f>продажи!$C924/продажи!$K924-1</f>
        <v>-0.73029873808910639</v>
      </c>
      <c r="M924" s="33">
        <f t="shared" si="28"/>
        <v>5929</v>
      </c>
      <c r="N924" s="24">
        <f>Таблица1[[#This Row],[цена за шт в рублях]]/Таблица1[[#This Row],[средняя стоимость в категории по поставщику.]]-1</f>
        <v>-0.98802496205093604</v>
      </c>
      <c r="O924" s="26">
        <f>VLOOKUP(Таблица1[[#This Row],[id клиента]],клиенты!$A$2:$E$435,5,0)</f>
        <v>44756</v>
      </c>
      <c r="P924">
        <f>Таблица1[[#This Row],[дата создания чека]]-Таблица1[[#This Row],[Дата регистрации клента]]</f>
        <v>497</v>
      </c>
      <c r="Q924" s="26">
        <f t="shared" ca="1" si="29"/>
        <v>46059</v>
      </c>
      <c r="R924" s="51">
        <f ca="1">(TODAY()-Таблица1[[#This Row],[Дата регистрации клента]])/30</f>
        <v>43.43333333333333</v>
      </c>
      <c r="S924" s="63" t="str">
        <f>VLOOKUP(Таблица1[[#This Row],[id клиента]],Таблица8[[id клиента]:[Страна]],7,0)</f>
        <v>Таджикистан</v>
      </c>
      <c r="T924" s="26"/>
    </row>
    <row r="925" spans="1:20" ht="19.5" x14ac:dyDescent="0.4">
      <c r="A925" s="37">
        <v>924</v>
      </c>
      <c r="B925" s="31">
        <v>114</v>
      </c>
      <c r="C925" s="31">
        <v>228</v>
      </c>
      <c r="D925" s="31">
        <v>2</v>
      </c>
      <c r="E925" s="31">
        <v>456</v>
      </c>
      <c r="F925" s="38">
        <v>45175</v>
      </c>
      <c r="G925" s="31" t="s">
        <v>22</v>
      </c>
      <c r="H925" s="31">
        <v>50</v>
      </c>
      <c r="I925" s="31" t="str">
        <f>VLOOKUP(продажи!$B925,товар!$A$1:$C$433,2)</f>
        <v>Сыр</v>
      </c>
      <c r="J925" s="31" t="str">
        <f>VLOOKUP(B925,товар!$A$1:$C$433,3)</f>
        <v>Сырная долина</v>
      </c>
      <c r="K925" s="39">
        <f>AVERAGEIF(продажи!$I$2:$I$1001,продажи!$I$2:$I$1001,продажи!$C$2:$C$1001)</f>
        <v>261.03225806451616</v>
      </c>
      <c r="L925" s="40">
        <f>продажи!$C925/продажи!$K925-1</f>
        <v>-0.12654473554127543</v>
      </c>
      <c r="M925" s="33">
        <f t="shared" si="28"/>
        <v>8943</v>
      </c>
      <c r="N925" s="24">
        <f>Таблица1[[#This Row],[цена за шт в рублях]]/Таблица1[[#This Row],[средняя стоимость в категории по поставщику.]]-1</f>
        <v>-0.97450519959745052</v>
      </c>
      <c r="O925" s="26">
        <f>VLOOKUP(Таблица1[[#This Row],[id клиента]],клиенты!$A$2:$E$435,5,0)</f>
        <v>44576</v>
      </c>
      <c r="P925">
        <f>Таблица1[[#This Row],[дата создания чека]]-Таблица1[[#This Row],[Дата регистрации клента]]</f>
        <v>599</v>
      </c>
      <c r="Q925" s="26">
        <f t="shared" ca="1" si="29"/>
        <v>46059</v>
      </c>
      <c r="R925" s="51">
        <f ca="1">(TODAY()-Таблица1[[#This Row],[Дата регистрации клента]])/30</f>
        <v>49.43333333333333</v>
      </c>
      <c r="S925" s="63" t="str">
        <f>VLOOKUP(Таблица1[[#This Row],[id клиента]],Таблица8[[id клиента]:[Страна]],7,0)</f>
        <v>Узбекистан</v>
      </c>
      <c r="T925" s="26"/>
    </row>
    <row r="926" spans="1:20" ht="19.5" x14ac:dyDescent="0.4">
      <c r="A926" s="41">
        <v>925</v>
      </c>
      <c r="B926" s="42">
        <v>46</v>
      </c>
      <c r="C926" s="42">
        <v>290</v>
      </c>
      <c r="D926" s="42">
        <v>3</v>
      </c>
      <c r="E926" s="42">
        <v>870</v>
      </c>
      <c r="F926" s="43">
        <v>45059</v>
      </c>
      <c r="G926" s="42" t="s">
        <v>13</v>
      </c>
      <c r="H926" s="42">
        <v>460</v>
      </c>
      <c r="I926" s="42" t="str">
        <f>VLOOKUP(продажи!$B926,товар!$A$1:$C$433,2)</f>
        <v>Йогурт</v>
      </c>
      <c r="J926" s="42" t="str">
        <f>VLOOKUP(B926,товар!$A$1:$C$433,3)</f>
        <v>Активиа</v>
      </c>
      <c r="K926" s="44">
        <f>AVERAGEIF(продажи!$I$2:$I$1001,продажи!$I$2:$I$1001,продажи!$C$2:$C$1001)</f>
        <v>263.25423728813558</v>
      </c>
      <c r="L926" s="45">
        <f>продажи!$C926/продажи!$K926-1</f>
        <v>0.10159670357970652</v>
      </c>
      <c r="M926" s="33">
        <f t="shared" si="28"/>
        <v>1762</v>
      </c>
      <c r="N926" s="24">
        <f>Таблица1[[#This Row],[цена за шт в рублях]]/Таблица1[[#This Row],[средняя стоимость в категории по поставщику.]]-1</f>
        <v>-0.8354143019296254</v>
      </c>
      <c r="O926" s="26">
        <f>VLOOKUP(Таблица1[[#This Row],[id клиента]],клиенты!$A$2:$E$435,5,0)</f>
        <v>44821</v>
      </c>
      <c r="P926">
        <f>Таблица1[[#This Row],[дата создания чека]]-Таблица1[[#This Row],[Дата регистрации клента]]</f>
        <v>238</v>
      </c>
      <c r="Q926" s="26">
        <f t="shared" ca="1" si="29"/>
        <v>46059</v>
      </c>
      <c r="R926" s="51">
        <f ca="1">(TODAY()-Таблица1[[#This Row],[Дата регистрации клента]])/30</f>
        <v>41.266666666666666</v>
      </c>
      <c r="S926" s="63" t="str">
        <f>VLOOKUP(Таблица1[[#This Row],[id клиента]],Таблица8[[id клиента]:[Страна]],7,0)</f>
        <v>Россия</v>
      </c>
      <c r="T926" s="26"/>
    </row>
    <row r="927" spans="1:20" ht="19.5" x14ac:dyDescent="0.4">
      <c r="A927" s="41">
        <v>157</v>
      </c>
      <c r="B927" s="42">
        <v>498</v>
      </c>
      <c r="C927" s="42">
        <v>430</v>
      </c>
      <c r="D927" s="42">
        <v>5</v>
      </c>
      <c r="E927" s="42">
        <v>2150</v>
      </c>
      <c r="F927" s="58">
        <v>45106</v>
      </c>
      <c r="G927" s="42" t="s">
        <v>25</v>
      </c>
      <c r="H927" s="56">
        <v>250</v>
      </c>
      <c r="I927" s="42" t="str">
        <f>VLOOKUP(продажи!$B158,товар!$A$1:$C$433,2)</f>
        <v>Молоко</v>
      </c>
      <c r="J927" s="42" t="str">
        <f>VLOOKUP(B927,товар!$A$1:$C$433,3)</f>
        <v>Домик в деревне</v>
      </c>
      <c r="K927" s="44">
        <f>AVERAGEIF(продажи!$I$2:$I$1001,продажи!$I$2:$I$1001,продажи!$C$2:$C$1001)</f>
        <v>294.95238095238096</v>
      </c>
      <c r="L927" s="45">
        <f>продажи!$C158/продажи!$K158-1</f>
        <v>-0.43041653212786568</v>
      </c>
      <c r="M927" s="53">
        <f t="shared" si="28"/>
        <v>4946</v>
      </c>
      <c r="N927" s="24">
        <f>Таблица1[[#This Row],[цена за шт в рублях]]/Таблица1[[#This Row],[средняя стоимость в категории по поставщику.]]-1</f>
        <v>-0.91306105944197335</v>
      </c>
      <c r="O927" s="26">
        <f>VLOOKUP(Таблица1[[#This Row],[id клиента]],клиенты!$A$2:$E$435,5,0)</f>
        <v>44856</v>
      </c>
      <c r="P927">
        <f>Таблица1[[#This Row],[дата создания чека]]-Таблица1[[#This Row],[Дата регистрации клента]]</f>
        <v>250</v>
      </c>
      <c r="Q927" s="26">
        <f t="shared" ca="1" si="29"/>
        <v>46059</v>
      </c>
      <c r="R927" s="51">
        <f ca="1">(TODAY()-Таблица1[[#This Row],[Дата регистрации клента]])/30</f>
        <v>40.1</v>
      </c>
      <c r="S927" s="63" t="str">
        <f>VLOOKUP(Таблица1[[#This Row],[id клиента]],Таблица8[[id клиента]:[Страна]],7,0)</f>
        <v>Россия</v>
      </c>
      <c r="T927" s="26"/>
    </row>
    <row r="928" spans="1:20" ht="19.5" x14ac:dyDescent="0.4">
      <c r="A928" s="41">
        <v>927</v>
      </c>
      <c r="B928" s="42">
        <v>210</v>
      </c>
      <c r="C928" s="42">
        <v>374</v>
      </c>
      <c r="D928" s="42">
        <v>2</v>
      </c>
      <c r="E928" s="42">
        <v>748</v>
      </c>
      <c r="F928" s="43">
        <v>45052</v>
      </c>
      <c r="G928" s="42" t="s">
        <v>16</v>
      </c>
      <c r="H928" s="42">
        <v>209</v>
      </c>
      <c r="I928" s="42" t="str">
        <f>VLOOKUP(продажи!$B928,товар!$A$1:$C$433,2)</f>
        <v>Колбаса</v>
      </c>
      <c r="J928" s="42" t="str">
        <f>VLOOKUP(B928,товар!$A$1:$C$433,3)</f>
        <v>Окраина</v>
      </c>
      <c r="K928" s="44">
        <f>AVERAGEIF(продажи!$I$2:$I$1001,продажи!$I$2:$I$1001,продажи!$C$2:$C$1001)</f>
        <v>286.92307692307691</v>
      </c>
      <c r="L928" s="45">
        <f>продажи!$C928/продажи!$K928-1</f>
        <v>0.30348525469168908</v>
      </c>
      <c r="M928" s="33">
        <f t="shared" si="28"/>
        <v>3283</v>
      </c>
      <c r="N928" s="24">
        <f>Таблица1[[#This Row],[цена за шт в рублях]]/Таблица1[[#This Row],[средняя стоимость в категории по поставщику.]]-1</f>
        <v>-0.88607980505635087</v>
      </c>
      <c r="O928" s="26">
        <f>VLOOKUP(Таблица1[[#This Row],[id клиента]],клиенты!$A$2:$E$435,5,0)</f>
        <v>44628</v>
      </c>
      <c r="P928">
        <f>Таблица1[[#This Row],[дата создания чека]]-Таблица1[[#This Row],[Дата регистрации клента]]</f>
        <v>424</v>
      </c>
      <c r="Q928" s="26">
        <f t="shared" ca="1" si="29"/>
        <v>46059</v>
      </c>
      <c r="R928" s="51">
        <f ca="1">(TODAY()-Таблица1[[#This Row],[Дата регистрации клента]])/30</f>
        <v>47.7</v>
      </c>
      <c r="S928" s="63" t="str">
        <f>VLOOKUP(Таблица1[[#This Row],[id клиента]],Таблица8[[id клиента]:[Страна]],7,0)</f>
        <v>Россия</v>
      </c>
      <c r="T928" s="26"/>
    </row>
    <row r="929" spans="1:20" ht="19.5" x14ac:dyDescent="0.4">
      <c r="A929" s="37">
        <v>928</v>
      </c>
      <c r="B929" s="31">
        <v>399</v>
      </c>
      <c r="C929" s="31">
        <v>67</v>
      </c>
      <c r="D929" s="31">
        <v>2</v>
      </c>
      <c r="E929" s="31">
        <v>134</v>
      </c>
      <c r="F929" s="38">
        <v>44951</v>
      </c>
      <c r="G929" s="31" t="s">
        <v>26</v>
      </c>
      <c r="H929" s="31">
        <v>451</v>
      </c>
      <c r="I929" s="31" t="str">
        <f>VLOOKUP(продажи!$B929,товар!$A$1:$C$433,2)</f>
        <v>Хлеб</v>
      </c>
      <c r="J929" s="31" t="str">
        <f>VLOOKUP(B929,товар!$A$1:$C$433,3)</f>
        <v>Хлебный Дом</v>
      </c>
      <c r="K929" s="39">
        <f>AVERAGEIF(продажи!$I$2:$I$1001,продажи!$I$2:$I$1001,продажи!$C$2:$C$1001)</f>
        <v>300.31818181818181</v>
      </c>
      <c r="L929" s="40">
        <f>продажи!$C929/продажи!$K929-1</f>
        <v>-0.77690328439533829</v>
      </c>
      <c r="M929" s="33">
        <f t="shared" si="28"/>
        <v>4226</v>
      </c>
      <c r="N929" s="24">
        <f>Таблица1[[#This Row],[цена за шт в рублях]]/Таблица1[[#This Row],[средняя стоимость в категории по поставщику.]]-1</f>
        <v>-0.98414576431613821</v>
      </c>
      <c r="O929" s="26">
        <f>VLOOKUP(Таблица1[[#This Row],[id клиента]],клиенты!$A$2:$E$435,5,0)</f>
        <v>44584</v>
      </c>
      <c r="P929">
        <f>Таблица1[[#This Row],[дата создания чека]]-Таблица1[[#This Row],[Дата регистрации клента]]</f>
        <v>367</v>
      </c>
      <c r="Q929" s="26">
        <f t="shared" ca="1" si="29"/>
        <v>46059</v>
      </c>
      <c r="R929" s="51">
        <f ca="1">(TODAY()-Таблица1[[#This Row],[Дата регистрации клента]])/30</f>
        <v>49.166666666666664</v>
      </c>
      <c r="S929" s="63" t="str">
        <f>VLOOKUP(Таблица1[[#This Row],[id клиента]],Таблица8[[id клиента]:[Страна]],7,0)</f>
        <v>Россия</v>
      </c>
      <c r="T929" s="26"/>
    </row>
    <row r="930" spans="1:20" ht="19.5" x14ac:dyDescent="0.4">
      <c r="A930" s="37">
        <v>724</v>
      </c>
      <c r="B930" s="31">
        <v>400</v>
      </c>
      <c r="C930" s="31">
        <v>358</v>
      </c>
      <c r="D930" s="31">
        <v>4</v>
      </c>
      <c r="E930" s="31">
        <v>1432</v>
      </c>
      <c r="F930" s="57">
        <v>45103</v>
      </c>
      <c r="G930" s="31" t="s">
        <v>10</v>
      </c>
      <c r="H930" s="55">
        <v>9</v>
      </c>
      <c r="I930" s="31" t="str">
        <f>VLOOKUP(продажи!$B725,товар!$A$1:$C$433,2)</f>
        <v>Молоко</v>
      </c>
      <c r="J930" s="31" t="str">
        <f>VLOOKUP(B930,товар!$A$1:$C$433,3)</f>
        <v>Беллакт</v>
      </c>
      <c r="K930" s="39">
        <f>AVERAGEIF(продажи!$I$2:$I$1001,продажи!$I$2:$I$1001,продажи!$C$2:$C$1001)</f>
        <v>294.95238095238096</v>
      </c>
      <c r="L930" s="40">
        <f>продажи!$C725/продажи!$K725-1</f>
        <v>-0.47788182111721023</v>
      </c>
      <c r="M930" s="53">
        <f t="shared" si="28"/>
        <v>3548</v>
      </c>
      <c r="N930" s="24">
        <f>Таблица1[[#This Row],[цена за шт в рублях]]/Таблица1[[#This Row],[средняя стоимость в категории по поставщику.]]-1</f>
        <v>-0.89909808342728303</v>
      </c>
      <c r="O930" s="26">
        <f>VLOOKUP(Таблица1[[#This Row],[id клиента]],клиенты!$A$2:$E$435,5,0)</f>
        <v>44900</v>
      </c>
      <c r="P930">
        <f>Таблица1[[#This Row],[дата создания чека]]-Таблица1[[#This Row],[Дата регистрации клента]]</f>
        <v>203</v>
      </c>
      <c r="Q930" s="26">
        <f t="shared" ca="1" si="29"/>
        <v>46059</v>
      </c>
      <c r="R930" s="51">
        <f ca="1">(TODAY()-Таблица1[[#This Row],[Дата регистрации клента]])/30</f>
        <v>38.633333333333333</v>
      </c>
      <c r="S930" s="63" t="str">
        <f>VLOOKUP(Таблица1[[#This Row],[id клиента]],Таблица8[[id клиента]:[Страна]],7,0)</f>
        <v>Таджикистан</v>
      </c>
      <c r="T930" s="26"/>
    </row>
    <row r="931" spans="1:20" ht="19.5" x14ac:dyDescent="0.4">
      <c r="A931" s="37">
        <v>930</v>
      </c>
      <c r="B931" s="31">
        <v>170</v>
      </c>
      <c r="C931" s="31">
        <v>312</v>
      </c>
      <c r="D931" s="31">
        <v>1</v>
      </c>
      <c r="E931" s="31">
        <v>312</v>
      </c>
      <c r="F931" s="38">
        <v>45072</v>
      </c>
      <c r="G931" s="31" t="s">
        <v>19</v>
      </c>
      <c r="H931" s="31">
        <v>162</v>
      </c>
      <c r="I931" s="31" t="str">
        <f>VLOOKUP(продажи!$B931,товар!$A$1:$C$433,2)</f>
        <v>Конфеты</v>
      </c>
      <c r="J931" s="31" t="str">
        <f>VLOOKUP(B931,товар!$A$1:$C$433,3)</f>
        <v>Славянка</v>
      </c>
      <c r="K931" s="39">
        <f>AVERAGEIF(продажи!$I$2:$I$1001,продажи!$I$2:$I$1001,продажи!$C$2:$C$1001)</f>
        <v>267.85483870967744</v>
      </c>
      <c r="L931" s="40">
        <f>продажи!$C931/продажи!$K931-1</f>
        <v>0.16481001987113864</v>
      </c>
      <c r="M931" s="33">
        <f t="shared" si="28"/>
        <v>1608</v>
      </c>
      <c r="N931" s="24">
        <f>Таблица1[[#This Row],[цена за шт в рублях]]/Таблица1[[#This Row],[средняя стоимость в категории по поставщику.]]-1</f>
        <v>-0.80597014925373134</v>
      </c>
      <c r="O931" s="26">
        <f>VLOOKUP(Таблица1[[#This Row],[id клиента]],клиенты!$A$2:$E$435,5,0)</f>
        <v>44639</v>
      </c>
      <c r="P931">
        <f>Таблица1[[#This Row],[дата создания чека]]-Таблица1[[#This Row],[Дата регистрации клента]]</f>
        <v>433</v>
      </c>
      <c r="Q931" s="26">
        <f t="shared" ca="1" si="29"/>
        <v>46059</v>
      </c>
      <c r="R931" s="51">
        <f ca="1">(TODAY()-Таблица1[[#This Row],[Дата регистрации клента]])/30</f>
        <v>47.333333333333336</v>
      </c>
      <c r="S931" s="63" t="str">
        <f>VLOOKUP(Таблица1[[#This Row],[id клиента]],Таблица8[[id клиента]:[Страна]],7,0)</f>
        <v>Таджикистан</v>
      </c>
      <c r="T931" s="26"/>
    </row>
    <row r="932" spans="1:20" ht="19.5" x14ac:dyDescent="0.4">
      <c r="A932" s="41">
        <v>931</v>
      </c>
      <c r="B932" s="42">
        <v>205</v>
      </c>
      <c r="C932" s="42">
        <v>212</v>
      </c>
      <c r="D932" s="42">
        <v>4</v>
      </c>
      <c r="E932" s="42">
        <v>848</v>
      </c>
      <c r="F932" s="43">
        <v>45020</v>
      </c>
      <c r="G932" s="42" t="s">
        <v>17</v>
      </c>
      <c r="H932" s="42">
        <v>414</v>
      </c>
      <c r="I932" s="42" t="str">
        <f>VLOOKUP(продажи!$B932,товар!$A$1:$C$433,2)</f>
        <v>Макароны</v>
      </c>
      <c r="J932" s="42" t="str">
        <f>VLOOKUP(B932,товар!$A$1:$C$433,3)</f>
        <v>Борилла</v>
      </c>
      <c r="K932" s="44">
        <f>AVERAGEIF(продажи!$I$2:$I$1001,продажи!$I$2:$I$1001,продажи!$C$2:$C$1001)</f>
        <v>265.47674418604652</v>
      </c>
      <c r="L932" s="45">
        <f>продажи!$C932/продажи!$K932-1</f>
        <v>-0.20143664316061494</v>
      </c>
      <c r="M932" s="33">
        <f t="shared" si="28"/>
        <v>6852</v>
      </c>
      <c r="N932" s="24">
        <f>Таблица1[[#This Row],[цена за шт в рублях]]/Таблица1[[#This Row],[средняя стоимость в категории по поставщику.]]-1</f>
        <v>-0.96906012842965561</v>
      </c>
      <c r="O932" s="26">
        <f>VLOOKUP(Таблица1[[#This Row],[id клиента]],клиенты!$A$2:$E$435,5,0)</f>
        <v>44794</v>
      </c>
      <c r="P932">
        <f>Таблица1[[#This Row],[дата создания чека]]-Таблица1[[#This Row],[Дата регистрации клента]]</f>
        <v>226</v>
      </c>
      <c r="Q932" s="26">
        <f t="shared" ca="1" si="29"/>
        <v>46059</v>
      </c>
      <c r="R932" s="51">
        <f ca="1">(TODAY()-Таблица1[[#This Row],[Дата регистрации клента]])/30</f>
        <v>42.166666666666664</v>
      </c>
      <c r="S932" s="63" t="str">
        <f>VLOOKUP(Таблица1[[#This Row],[id клиента]],Таблица8[[id клиента]:[Страна]],7,0)</f>
        <v>Беларусь</v>
      </c>
      <c r="T932" s="26"/>
    </row>
    <row r="933" spans="1:20" ht="19.5" x14ac:dyDescent="0.4">
      <c r="A933" s="41">
        <v>695</v>
      </c>
      <c r="B933" s="42">
        <v>400</v>
      </c>
      <c r="C933" s="42">
        <v>474</v>
      </c>
      <c r="D933" s="42">
        <v>4</v>
      </c>
      <c r="E933" s="42">
        <v>1896</v>
      </c>
      <c r="F933" s="58">
        <v>44992</v>
      </c>
      <c r="G933" s="42" t="s">
        <v>17</v>
      </c>
      <c r="H933" s="56">
        <v>191</v>
      </c>
      <c r="I933" s="42" t="str">
        <f>VLOOKUP(продажи!$B696,товар!$A$1:$C$433,2)</f>
        <v>Молоко</v>
      </c>
      <c r="J933" s="42" t="str">
        <f>VLOOKUP(B933,товар!$A$1:$C$433,3)</f>
        <v>Беллакт</v>
      </c>
      <c r="K933" s="44">
        <f>AVERAGEIF(продажи!$I$2:$I$1001,продажи!$I$2:$I$1001,продажи!$C$2:$C$1001)</f>
        <v>294.95238095238096</v>
      </c>
      <c r="L933" s="45">
        <f>продажи!$C696/продажи!$K696-1</f>
        <v>0.61381982563771387</v>
      </c>
      <c r="M933" s="53">
        <f t="shared" si="28"/>
        <v>3548</v>
      </c>
      <c r="N933" s="24">
        <f>Таблица1[[#This Row],[цена за шт в рублях]]/Таблица1[[#This Row],[средняя стоимость в категории по поставщику.]]-1</f>
        <v>-0.86640360766629088</v>
      </c>
      <c r="O933" s="26">
        <f>VLOOKUP(Таблица1[[#This Row],[id клиента]],клиенты!$A$2:$E$435,5,0)</f>
        <v>44866</v>
      </c>
      <c r="P933">
        <f>Таблица1[[#This Row],[дата создания чека]]-Таблица1[[#This Row],[Дата регистрации клента]]</f>
        <v>126</v>
      </c>
      <c r="Q933" s="26">
        <f t="shared" ca="1" si="29"/>
        <v>46059</v>
      </c>
      <c r="R933" s="51">
        <f ca="1">(TODAY()-Таблица1[[#This Row],[Дата регистрации клента]])/30</f>
        <v>39.766666666666666</v>
      </c>
      <c r="S933" s="63" t="str">
        <f>VLOOKUP(Таблица1[[#This Row],[id клиента]],Таблица8[[id клиента]:[Страна]],7,0)</f>
        <v>Украина</v>
      </c>
      <c r="T933" s="26"/>
    </row>
    <row r="934" spans="1:20" ht="19.5" x14ac:dyDescent="0.4">
      <c r="A934" s="41">
        <v>933</v>
      </c>
      <c r="B934" s="42">
        <v>246</v>
      </c>
      <c r="C934" s="42">
        <v>400</v>
      </c>
      <c r="D934" s="42">
        <v>4</v>
      </c>
      <c r="E934" s="42">
        <v>1600</v>
      </c>
      <c r="F934" s="43">
        <v>45376</v>
      </c>
      <c r="G934" s="42" t="s">
        <v>23</v>
      </c>
      <c r="H934" s="42">
        <v>191</v>
      </c>
      <c r="I934" s="42" t="str">
        <f>VLOOKUP(продажи!$B934,товар!$A$1:$C$433,2)</f>
        <v>Сыр</v>
      </c>
      <c r="J934" s="42" t="str">
        <f>VLOOKUP(B934,товар!$A$1:$C$433,3)</f>
        <v>President</v>
      </c>
      <c r="K934" s="44">
        <f>AVERAGEIF(продажи!$I$2:$I$1001,продажи!$I$2:$I$1001,продажи!$C$2:$C$1001)</f>
        <v>261.03225806451616</v>
      </c>
      <c r="L934" s="45">
        <f>продажи!$C934/продажи!$K934-1</f>
        <v>0.53237765694513084</v>
      </c>
      <c r="M934" s="33">
        <f t="shared" si="28"/>
        <v>3935</v>
      </c>
      <c r="N934" s="24">
        <f>Таблица1[[#This Row],[цена за шт в рублях]]/Таблица1[[#This Row],[средняя стоимость в категории по поставщику.]]-1</f>
        <v>-0.8983481575603558</v>
      </c>
      <c r="O934" s="26">
        <f>VLOOKUP(Таблица1[[#This Row],[id клиента]],клиенты!$A$2:$E$435,5,0)</f>
        <v>44866</v>
      </c>
      <c r="P934">
        <f>Таблица1[[#This Row],[дата создания чека]]-Таблица1[[#This Row],[Дата регистрации клента]]</f>
        <v>510</v>
      </c>
      <c r="Q934" s="26">
        <f t="shared" ca="1" si="29"/>
        <v>46059</v>
      </c>
      <c r="R934" s="51">
        <f ca="1">(TODAY()-Таблица1[[#This Row],[Дата регистрации клента]])/30</f>
        <v>39.766666666666666</v>
      </c>
      <c r="S934" s="63" t="str">
        <f>VLOOKUP(Таблица1[[#This Row],[id клиента]],Таблица8[[id клиента]:[Страна]],7,0)</f>
        <v>Украина</v>
      </c>
      <c r="T934" s="26"/>
    </row>
    <row r="935" spans="1:20" ht="19.5" x14ac:dyDescent="0.4">
      <c r="A935" s="37">
        <v>934</v>
      </c>
      <c r="B935" s="31">
        <v>187</v>
      </c>
      <c r="C935" s="31">
        <v>168</v>
      </c>
      <c r="D935" s="31">
        <v>3</v>
      </c>
      <c r="E935" s="31">
        <v>504</v>
      </c>
      <c r="F935" s="38">
        <v>44946</v>
      </c>
      <c r="G935" s="31" t="s">
        <v>22</v>
      </c>
      <c r="H935" s="31">
        <v>126</v>
      </c>
      <c r="I935" s="31" t="str">
        <f>VLOOKUP(продажи!$B935,товар!$A$1:$C$433,2)</f>
        <v>Макароны</v>
      </c>
      <c r="J935" s="31" t="str">
        <f>VLOOKUP(B935,товар!$A$1:$C$433,3)</f>
        <v>Паста Зара</v>
      </c>
      <c r="K935" s="39">
        <f>AVERAGEIF(продажи!$I$2:$I$1001,продажи!$I$2:$I$1001,продажи!$C$2:$C$1001)</f>
        <v>265.47674418604652</v>
      </c>
      <c r="L935" s="40">
        <f>продажи!$C935/продажи!$K935-1</f>
        <v>-0.36717620778765714</v>
      </c>
      <c r="M935" s="33">
        <f t="shared" si="28"/>
        <v>10237</v>
      </c>
      <c r="N935" s="24">
        <f>Таблица1[[#This Row],[цена за шт в рублях]]/Таблица1[[#This Row],[средняя стоимость в категории по поставщику.]]-1</f>
        <v>-0.98358894207287295</v>
      </c>
      <c r="O935" s="26">
        <f>VLOOKUP(Таблица1[[#This Row],[id клиента]],клиенты!$A$2:$E$435,5,0)</f>
        <v>44822</v>
      </c>
      <c r="P935">
        <f>Таблица1[[#This Row],[дата создания чека]]-Таблица1[[#This Row],[Дата регистрации клента]]</f>
        <v>124</v>
      </c>
      <c r="Q935" s="26">
        <f t="shared" ca="1" si="29"/>
        <v>46059</v>
      </c>
      <c r="R935" s="51">
        <f ca="1">(TODAY()-Таблица1[[#This Row],[Дата регистрации клента]])/30</f>
        <v>41.233333333333334</v>
      </c>
      <c r="S935" s="63" t="str">
        <f>VLOOKUP(Таблица1[[#This Row],[id клиента]],Таблица8[[id клиента]:[Страна]],7,0)</f>
        <v>Узбекистан</v>
      </c>
      <c r="T935" s="26"/>
    </row>
    <row r="936" spans="1:20" ht="19.5" x14ac:dyDescent="0.4">
      <c r="A936" s="41">
        <v>935</v>
      </c>
      <c r="B936" s="42">
        <v>9</v>
      </c>
      <c r="C936" s="42">
        <v>321</v>
      </c>
      <c r="D936" s="42">
        <v>1</v>
      </c>
      <c r="E936" s="42">
        <v>321</v>
      </c>
      <c r="F936" s="43">
        <v>45173</v>
      </c>
      <c r="G936" s="42" t="s">
        <v>23</v>
      </c>
      <c r="H936" s="42">
        <v>217</v>
      </c>
      <c r="I936" s="42" t="str">
        <f>VLOOKUP(продажи!$B936,товар!$A$1:$C$433,2)</f>
        <v>Йогурт</v>
      </c>
      <c r="J936" s="42" t="str">
        <f>VLOOKUP(B936,товар!$A$1:$C$433,3)</f>
        <v>Чудо</v>
      </c>
      <c r="K936" s="44">
        <f>AVERAGEIF(продажи!$I$2:$I$1001,продажи!$I$2:$I$1001,продажи!$C$2:$C$1001)</f>
        <v>263.25423728813558</v>
      </c>
      <c r="L936" s="45">
        <f>продажи!$C936/продажи!$K936-1</f>
        <v>0.21935359258305431</v>
      </c>
      <c r="M936" s="33">
        <f t="shared" si="28"/>
        <v>2871</v>
      </c>
      <c r="N936" s="24">
        <f>Таблица1[[#This Row],[цена за шт в рублях]]/Таблица1[[#This Row],[средняя стоимость в категории по поставщику.]]-1</f>
        <v>-0.88819226750261238</v>
      </c>
      <c r="O936" s="26">
        <f>VLOOKUP(Таблица1[[#This Row],[id клиента]],клиенты!$A$2:$E$435,5,0)</f>
        <v>44826</v>
      </c>
      <c r="P936">
        <f>Таблица1[[#This Row],[дата создания чека]]-Таблица1[[#This Row],[Дата регистрации клента]]</f>
        <v>347</v>
      </c>
      <c r="Q936" s="26">
        <f t="shared" ca="1" si="29"/>
        <v>46059</v>
      </c>
      <c r="R936" s="51">
        <f ca="1">(TODAY()-Таблица1[[#This Row],[Дата регистрации клента]])/30</f>
        <v>41.1</v>
      </c>
      <c r="S936" s="63" t="str">
        <f>VLOOKUP(Таблица1[[#This Row],[id клиента]],Таблица8[[id клиента]:[Страна]],7,0)</f>
        <v>Россия</v>
      </c>
      <c r="T936" s="26"/>
    </row>
    <row r="937" spans="1:20" ht="19.5" x14ac:dyDescent="0.4">
      <c r="A937" s="37">
        <v>384</v>
      </c>
      <c r="B937" s="31">
        <v>480</v>
      </c>
      <c r="C937" s="31">
        <v>70</v>
      </c>
      <c r="D937" s="31">
        <v>1</v>
      </c>
      <c r="E937" s="31">
        <v>70</v>
      </c>
      <c r="F937" s="57">
        <v>44945</v>
      </c>
      <c r="G937" s="31" t="s">
        <v>10</v>
      </c>
      <c r="H937" s="55">
        <v>464</v>
      </c>
      <c r="I937" s="31" t="str">
        <f>VLOOKUP(продажи!$B385,товар!$A$1:$C$433,2)</f>
        <v>Молоко</v>
      </c>
      <c r="J937" s="31" t="str">
        <f>VLOOKUP(B937,товар!$A$1:$C$433,3)</f>
        <v>Беллакт</v>
      </c>
      <c r="K937" s="39">
        <f>AVERAGEIF(продажи!$I$2:$I$1001,продажи!$I$2:$I$1001,продажи!$C$2:$C$1001)</f>
        <v>294.95238095238096</v>
      </c>
      <c r="L937" s="40">
        <f>продажи!$C385/продажи!$K385-1</f>
        <v>-0.17274782047142401</v>
      </c>
      <c r="M937" s="53">
        <f t="shared" si="28"/>
        <v>3548</v>
      </c>
      <c r="N937" s="24">
        <f>Таблица1[[#This Row],[цена за шт в рублях]]/Таблица1[[#This Row],[средняя стоимость в категории по поставщику.]]-1</f>
        <v>-0.98027057497181513</v>
      </c>
      <c r="O937" s="26">
        <f>VLOOKUP(Таблица1[[#This Row],[id клиента]],клиенты!$A$2:$E$435,5,0)</f>
        <v>44827</v>
      </c>
      <c r="P937">
        <f>Таблица1[[#This Row],[дата создания чека]]-Таблица1[[#This Row],[Дата регистрации клента]]</f>
        <v>118</v>
      </c>
      <c r="Q937" s="26">
        <f t="shared" ca="1" si="29"/>
        <v>46059</v>
      </c>
      <c r="R937" s="51">
        <f ca="1">(TODAY()-Таблица1[[#This Row],[Дата регистрации клента]])/30</f>
        <v>41.06666666666667</v>
      </c>
      <c r="S937" s="63" t="str">
        <f>VLOOKUP(Таблица1[[#This Row],[id клиента]],Таблица8[[id клиента]:[Страна]],7,0)</f>
        <v>Россия</v>
      </c>
      <c r="T937" s="26"/>
    </row>
    <row r="938" spans="1:20" ht="19.5" x14ac:dyDescent="0.4">
      <c r="A938" s="41">
        <v>937</v>
      </c>
      <c r="B938" s="42">
        <v>166</v>
      </c>
      <c r="C938" s="42">
        <v>166</v>
      </c>
      <c r="D938" s="42">
        <v>5</v>
      </c>
      <c r="E938" s="42">
        <v>830</v>
      </c>
      <c r="F938" s="43">
        <v>45252</v>
      </c>
      <c r="G938" s="42" t="s">
        <v>12</v>
      </c>
      <c r="H938" s="42">
        <v>407</v>
      </c>
      <c r="I938" s="42" t="str">
        <f>VLOOKUP(продажи!$B938,товар!$A$1:$C$433,2)</f>
        <v>Сок</v>
      </c>
      <c r="J938" s="42" t="str">
        <f>VLOOKUP(B938,товар!$A$1:$C$433,3)</f>
        <v>Добрый</v>
      </c>
      <c r="K938" s="44">
        <f>AVERAGEIF(продажи!$I$2:$I$1001,продажи!$I$2:$I$1001,продажи!$C$2:$C$1001)</f>
        <v>268.60344827586209</v>
      </c>
      <c r="L938" s="45">
        <f>продажи!$C938/продажи!$K938-1</f>
        <v>-0.38198857436292455</v>
      </c>
      <c r="M938" s="33">
        <f t="shared" si="28"/>
        <v>2671</v>
      </c>
      <c r="N938" s="24">
        <f>Таблица1[[#This Row],[цена за шт в рублях]]/Таблица1[[#This Row],[средняя стоимость в категории по поставщику.]]-1</f>
        <v>-0.93785099213777612</v>
      </c>
      <c r="O938" s="26">
        <f>VLOOKUP(Таблица1[[#This Row],[id клиента]],клиенты!$A$2:$E$435,5,0)</f>
        <v>44621</v>
      </c>
      <c r="P938">
        <f>Таблица1[[#This Row],[дата создания чека]]-Таблица1[[#This Row],[Дата регистрации клента]]</f>
        <v>631</v>
      </c>
      <c r="Q938" s="26">
        <f t="shared" ca="1" si="29"/>
        <v>46059</v>
      </c>
      <c r="R938" s="51">
        <f ca="1">(TODAY()-Таблица1[[#This Row],[Дата регистрации клента]])/30</f>
        <v>47.93333333333333</v>
      </c>
      <c r="S938" s="63" t="str">
        <f>VLOOKUP(Таблица1[[#This Row],[id клиента]],Таблица8[[id клиента]:[Страна]],7,0)</f>
        <v>Беларусь</v>
      </c>
      <c r="T938" s="26"/>
    </row>
    <row r="939" spans="1:20" ht="19.5" x14ac:dyDescent="0.4">
      <c r="A939" s="37">
        <v>938</v>
      </c>
      <c r="B939" s="31">
        <v>329</v>
      </c>
      <c r="C939" s="31">
        <v>71</v>
      </c>
      <c r="D939" s="31">
        <v>2</v>
      </c>
      <c r="E939" s="31">
        <v>142</v>
      </c>
      <c r="F939" s="38">
        <v>45138</v>
      </c>
      <c r="G939" s="31" t="s">
        <v>12</v>
      </c>
      <c r="H939" s="31">
        <v>117</v>
      </c>
      <c r="I939" s="31" t="str">
        <f>VLOOKUP(продажи!$B939,товар!$A$1:$C$433,2)</f>
        <v>Соль</v>
      </c>
      <c r="J939" s="31" t="str">
        <f>VLOOKUP(B939,товар!$A$1:$C$433,3)</f>
        <v>Славянская</v>
      </c>
      <c r="K939" s="39">
        <f>AVERAGEIF(продажи!$I$2:$I$1001,продажи!$I$2:$I$1001,продажи!$C$2:$C$1001)</f>
        <v>264.8679245283019</v>
      </c>
      <c r="L939" s="40">
        <f>продажи!$C939/продажи!$K939-1</f>
        <v>-0.73194187206154726</v>
      </c>
      <c r="M939" s="33">
        <f t="shared" si="28"/>
        <v>2843</v>
      </c>
      <c r="N939" s="24">
        <f>Таблица1[[#This Row],[цена за шт в рублях]]/Таблица1[[#This Row],[средняя стоимость в категории по поставщику.]]-1</f>
        <v>-0.97502638058389024</v>
      </c>
      <c r="O939" s="26">
        <f>VLOOKUP(Таблица1[[#This Row],[id клиента]],клиенты!$A$2:$E$435,5,0)</f>
        <v>44706</v>
      </c>
      <c r="P939">
        <f>Таблица1[[#This Row],[дата создания чека]]-Таблица1[[#This Row],[Дата регистрации клента]]</f>
        <v>432</v>
      </c>
      <c r="Q939" s="26">
        <f t="shared" ca="1" si="29"/>
        <v>46059</v>
      </c>
      <c r="R939" s="51">
        <f ca="1">(TODAY()-Таблица1[[#This Row],[Дата регистрации клента]])/30</f>
        <v>45.1</v>
      </c>
      <c r="S939" s="63" t="str">
        <f>VLOOKUP(Таблица1[[#This Row],[id клиента]],Таблица8[[id клиента]:[Страна]],7,0)</f>
        <v>Украина</v>
      </c>
      <c r="T939" s="26"/>
    </row>
    <row r="940" spans="1:20" ht="19.5" x14ac:dyDescent="0.4">
      <c r="A940" s="41">
        <v>939</v>
      </c>
      <c r="B940" s="42">
        <v>35</v>
      </c>
      <c r="C940" s="42">
        <v>345</v>
      </c>
      <c r="D940" s="42">
        <v>2</v>
      </c>
      <c r="E940" s="42">
        <v>690</v>
      </c>
      <c r="F940" s="43">
        <v>45078</v>
      </c>
      <c r="G940" s="42" t="s">
        <v>19</v>
      </c>
      <c r="H940" s="42">
        <v>91</v>
      </c>
      <c r="I940" s="42" t="str">
        <f>VLOOKUP(продажи!$B940,товар!$A$1:$C$433,2)</f>
        <v>Крупа</v>
      </c>
      <c r="J940" s="42" t="str">
        <f>VLOOKUP(B940,товар!$A$1:$C$433,3)</f>
        <v>Мистраль</v>
      </c>
      <c r="K940" s="44">
        <f>AVERAGEIF(продажи!$I$2:$I$1001,продажи!$I$2:$I$1001,продажи!$C$2:$C$1001)</f>
        <v>255.11627906976744</v>
      </c>
      <c r="L940" s="45">
        <f>продажи!$C940/продажи!$K940-1</f>
        <v>0.35232452142206006</v>
      </c>
      <c r="M940" s="33">
        <f t="shared" si="28"/>
        <v>3254</v>
      </c>
      <c r="N940" s="24">
        <f>Таблица1[[#This Row],[цена за шт в рублях]]/Таблица1[[#This Row],[средняя стоимость в категории по поставщику.]]-1</f>
        <v>-0.8939766441303012</v>
      </c>
      <c r="O940" s="26">
        <f>VLOOKUP(Таблица1[[#This Row],[id клиента]],клиенты!$A$2:$E$435,5,0)</f>
        <v>44687</v>
      </c>
      <c r="P940">
        <f>Таблица1[[#This Row],[дата создания чека]]-Таблица1[[#This Row],[Дата регистрации клента]]</f>
        <v>391</v>
      </c>
      <c r="Q940" s="26">
        <f t="shared" ca="1" si="29"/>
        <v>46059</v>
      </c>
      <c r="R940" s="51">
        <f ca="1">(TODAY()-Таблица1[[#This Row],[Дата регистрации клента]])/30</f>
        <v>45.733333333333334</v>
      </c>
      <c r="S940" s="63" t="str">
        <f>VLOOKUP(Таблица1[[#This Row],[id клиента]],Таблица8[[id клиента]:[Страна]],7,0)</f>
        <v>Россия</v>
      </c>
      <c r="T940" s="26"/>
    </row>
    <row r="941" spans="1:20" ht="19.5" x14ac:dyDescent="0.4">
      <c r="A941" s="37">
        <v>940</v>
      </c>
      <c r="B941" s="31">
        <v>342</v>
      </c>
      <c r="C941" s="31">
        <v>259</v>
      </c>
      <c r="D941" s="31">
        <v>5</v>
      </c>
      <c r="E941" s="31">
        <v>1295</v>
      </c>
      <c r="F941" s="38">
        <v>45349</v>
      </c>
      <c r="G941" s="31" t="s">
        <v>17</v>
      </c>
      <c r="H941" s="31">
        <v>380</v>
      </c>
      <c r="I941" s="31" t="str">
        <f>VLOOKUP(продажи!$B941,товар!$A$1:$C$433,2)</f>
        <v>Овощи</v>
      </c>
      <c r="J941" s="31" t="str">
        <f>VLOOKUP(B941,товар!$A$1:$C$433,3)</f>
        <v>Овощной ряд</v>
      </c>
      <c r="K941" s="39">
        <f>AVERAGEIF(продажи!$I$2:$I$1001,продажи!$I$2:$I$1001,продажи!$C$2:$C$1001)</f>
        <v>250.48780487804879</v>
      </c>
      <c r="L941" s="40">
        <f>продажи!$C941/продажи!$K941-1</f>
        <v>3.3982473222979426E-2</v>
      </c>
      <c r="M941" s="33">
        <f t="shared" si="28"/>
        <v>5165</v>
      </c>
      <c r="N941" s="24">
        <f>Таблица1[[#This Row],[цена за шт в рублях]]/Таблица1[[#This Row],[средняя стоимость в категории по поставщику.]]-1</f>
        <v>-0.94985479186834465</v>
      </c>
      <c r="O941" s="26">
        <f>VLOOKUP(Таблица1[[#This Row],[id клиента]],клиенты!$A$2:$E$435,5,0)</f>
        <v>44563</v>
      </c>
      <c r="P941">
        <f>Таблица1[[#This Row],[дата создания чека]]-Таблица1[[#This Row],[Дата регистрации клента]]</f>
        <v>786</v>
      </c>
      <c r="Q941" s="26">
        <f t="shared" ca="1" si="29"/>
        <v>46059</v>
      </c>
      <c r="R941" s="51">
        <f ca="1">(TODAY()-Таблица1[[#This Row],[Дата регистрации клента]])/30</f>
        <v>49.866666666666667</v>
      </c>
      <c r="S941" s="63" t="str">
        <f>VLOOKUP(Таблица1[[#This Row],[id клиента]],Таблица8[[id клиента]:[Страна]],7,0)</f>
        <v>Россия</v>
      </c>
      <c r="T941" s="26"/>
    </row>
    <row r="942" spans="1:20" ht="19.5" x14ac:dyDescent="0.4">
      <c r="A942" s="37">
        <v>830</v>
      </c>
      <c r="B942" s="31">
        <v>44</v>
      </c>
      <c r="C942" s="31">
        <v>310</v>
      </c>
      <c r="D942" s="31">
        <v>3</v>
      </c>
      <c r="E942" s="31">
        <v>930</v>
      </c>
      <c r="F942" s="57">
        <v>44971</v>
      </c>
      <c r="G942" s="31" t="s">
        <v>15</v>
      </c>
      <c r="H942" s="55">
        <v>48</v>
      </c>
      <c r="I942" s="31" t="str">
        <f>VLOOKUP(продажи!$B831,товар!$A$1:$C$433,2)</f>
        <v>Молоко</v>
      </c>
      <c r="J942" s="31" t="str">
        <f>VLOOKUP(B942,товар!$A$1:$C$433,3)</f>
        <v>Беллакт</v>
      </c>
      <c r="K942" s="39">
        <f>AVERAGEIF(продажи!$I$2:$I$1001,продажи!$I$2:$I$1001,продажи!$C$2:$C$1001)</f>
        <v>294.95238095238096</v>
      </c>
      <c r="L942" s="40">
        <f>продажи!$C831/продажи!$K831-1</f>
        <v>-0.23377462060058118</v>
      </c>
      <c r="M942" s="53">
        <f t="shared" si="28"/>
        <v>3548</v>
      </c>
      <c r="N942" s="24">
        <f>Таблица1[[#This Row],[цена за шт в рублях]]/Таблица1[[#This Row],[средняя стоимость в категории по поставщику.]]-1</f>
        <v>-0.91262683201803829</v>
      </c>
      <c r="O942" s="26">
        <f>VLOOKUP(Таблица1[[#This Row],[id клиента]],клиенты!$A$2:$E$435,5,0)</f>
        <v>44856</v>
      </c>
      <c r="P942">
        <f>Таблица1[[#This Row],[дата создания чека]]-Таблица1[[#This Row],[Дата регистрации клента]]</f>
        <v>115</v>
      </c>
      <c r="Q942" s="26">
        <f t="shared" ca="1" si="29"/>
        <v>46059</v>
      </c>
      <c r="R942" s="51">
        <f ca="1">(TODAY()-Таблица1[[#This Row],[Дата регистрации клента]])/30</f>
        <v>40.1</v>
      </c>
      <c r="S942" s="63" t="str">
        <f>VLOOKUP(Таблица1[[#This Row],[id клиента]],Таблица8[[id клиента]:[Страна]],7,0)</f>
        <v>Узбекистан</v>
      </c>
      <c r="T942" s="26"/>
    </row>
    <row r="943" spans="1:20" ht="19.5" x14ac:dyDescent="0.4">
      <c r="A943" s="37">
        <v>942</v>
      </c>
      <c r="B943" s="31">
        <v>128</v>
      </c>
      <c r="C943" s="31">
        <v>246</v>
      </c>
      <c r="D943" s="31">
        <v>4</v>
      </c>
      <c r="E943" s="31">
        <v>984</v>
      </c>
      <c r="F943" s="38">
        <v>45310</v>
      </c>
      <c r="G943" s="31" t="s">
        <v>10</v>
      </c>
      <c r="H943" s="31">
        <v>479</v>
      </c>
      <c r="I943" s="31" t="str">
        <f>VLOOKUP(продажи!$B943,товар!$A$1:$C$433,2)</f>
        <v>Мясо</v>
      </c>
      <c r="J943" s="31" t="str">
        <f>VLOOKUP(B943,товар!$A$1:$C$433,3)</f>
        <v>Мираторг</v>
      </c>
      <c r="K943" s="39">
        <f>AVERAGEIF(продажи!$I$2:$I$1001,продажи!$I$2:$I$1001,продажи!$C$2:$C$1001)</f>
        <v>271.74545454545455</v>
      </c>
      <c r="L943" s="40">
        <f>продажи!$C943/продажи!$K943-1</f>
        <v>-9.4741067844239302E-2</v>
      </c>
      <c r="M943" s="33">
        <f t="shared" si="28"/>
        <v>3799</v>
      </c>
      <c r="N943" s="24">
        <f>Таблица1[[#This Row],[цена за шт в рублях]]/Таблица1[[#This Row],[средняя стоимость в категории по поставщику.]]-1</f>
        <v>-0.93524611739931562</v>
      </c>
      <c r="O943" s="26">
        <f>VLOOKUP(Таблица1[[#This Row],[id клиента]],клиенты!$A$2:$E$435,5,0)</f>
        <v>44793</v>
      </c>
      <c r="P943">
        <f>Таблица1[[#This Row],[дата создания чека]]-Таблица1[[#This Row],[Дата регистрации клента]]</f>
        <v>517</v>
      </c>
      <c r="Q943" s="26">
        <f t="shared" ca="1" si="29"/>
        <v>46059</v>
      </c>
      <c r="R943" s="51">
        <f ca="1">(TODAY()-Таблица1[[#This Row],[Дата регистрации клента]])/30</f>
        <v>42.2</v>
      </c>
      <c r="S943" s="63" t="str">
        <f>VLOOKUP(Таблица1[[#This Row],[id клиента]],Таблица8[[id клиента]:[Страна]],7,0)</f>
        <v>Россия</v>
      </c>
      <c r="T943" s="26"/>
    </row>
    <row r="944" spans="1:20" ht="19.5" x14ac:dyDescent="0.4">
      <c r="A944" s="41">
        <v>943</v>
      </c>
      <c r="B944" s="42">
        <v>447</v>
      </c>
      <c r="C944" s="42">
        <v>118</v>
      </c>
      <c r="D944" s="42">
        <v>3</v>
      </c>
      <c r="E944" s="42">
        <v>354</v>
      </c>
      <c r="F944" s="43">
        <v>45337</v>
      </c>
      <c r="G944" s="42" t="s">
        <v>16</v>
      </c>
      <c r="H944" s="42">
        <v>9</v>
      </c>
      <c r="I944" s="42" t="str">
        <f>VLOOKUP(продажи!$B944,товар!$A$1:$C$433,2)</f>
        <v>Йогурт</v>
      </c>
      <c r="J944" s="42" t="str">
        <f>VLOOKUP(B944,товар!$A$1:$C$433,3)</f>
        <v>Эрманн</v>
      </c>
      <c r="K944" s="44">
        <f>AVERAGEIF(продажи!$I$2:$I$1001,продажи!$I$2:$I$1001,продажи!$C$2:$C$1001)</f>
        <v>263.25423728813558</v>
      </c>
      <c r="L944" s="45">
        <f>продажи!$C944/продажи!$K944-1</f>
        <v>-0.55176409992274011</v>
      </c>
      <c r="M944" s="33">
        <f t="shared" si="28"/>
        <v>4970</v>
      </c>
      <c r="N944" s="24">
        <f>Таблица1[[#This Row],[цена за шт в рублях]]/Таблица1[[#This Row],[средняя стоимость в категории по поставщику.]]-1</f>
        <v>-0.97625754527162978</v>
      </c>
      <c r="O944" s="26">
        <f>VLOOKUP(Таблица1[[#This Row],[id клиента]],клиенты!$A$2:$E$435,5,0)</f>
        <v>44900</v>
      </c>
      <c r="P944">
        <f>Таблица1[[#This Row],[дата создания чека]]-Таблица1[[#This Row],[Дата регистрации клента]]</f>
        <v>437</v>
      </c>
      <c r="Q944" s="26">
        <f t="shared" ca="1" si="29"/>
        <v>46059</v>
      </c>
      <c r="R944" s="51">
        <f ca="1">(TODAY()-Таблица1[[#This Row],[Дата регистрации клента]])/30</f>
        <v>38.633333333333333</v>
      </c>
      <c r="S944" s="63" t="str">
        <f>VLOOKUP(Таблица1[[#This Row],[id клиента]],Таблица8[[id клиента]:[Страна]],7,0)</f>
        <v>Таджикистан</v>
      </c>
      <c r="T944" s="26"/>
    </row>
    <row r="945" spans="1:20" ht="19.5" x14ac:dyDescent="0.4">
      <c r="A945" s="37">
        <v>944</v>
      </c>
      <c r="B945" s="31">
        <v>48</v>
      </c>
      <c r="C945" s="31">
        <v>116</v>
      </c>
      <c r="D945" s="31">
        <v>5</v>
      </c>
      <c r="E945" s="31">
        <v>580</v>
      </c>
      <c r="F945" s="38">
        <v>45034</v>
      </c>
      <c r="G945" s="31" t="s">
        <v>25</v>
      </c>
      <c r="H945" s="31">
        <v>477</v>
      </c>
      <c r="I945" s="31" t="str">
        <f>VLOOKUP(продажи!$B945,товар!$A$1:$C$433,2)</f>
        <v>Фрукты</v>
      </c>
      <c r="J945" s="31" t="str">
        <f>VLOOKUP(B945,товар!$A$1:$C$433,3)</f>
        <v>Фруктовый Рай</v>
      </c>
      <c r="K945" s="39">
        <f>AVERAGEIF(продажи!$I$2:$I$1001,продажи!$I$2:$I$1001,продажи!$C$2:$C$1001)</f>
        <v>274.16279069767444</v>
      </c>
      <c r="L945" s="40">
        <f>продажи!$C945/продажи!$K945-1</f>
        <v>-0.57689371447959958</v>
      </c>
      <c r="M945" s="33">
        <f t="shared" si="28"/>
        <v>3358</v>
      </c>
      <c r="N945" s="24">
        <f>Таблица1[[#This Row],[цена за шт в рублях]]/Таблица1[[#This Row],[средняя стоимость в категории по поставщику.]]-1</f>
        <v>-0.96545562835020848</v>
      </c>
      <c r="O945" s="26">
        <f>VLOOKUP(Таблица1[[#This Row],[id клиента]],клиенты!$A$2:$E$435,5,0)</f>
        <v>44738</v>
      </c>
      <c r="P945">
        <f>Таблица1[[#This Row],[дата создания чека]]-Таблица1[[#This Row],[Дата регистрации клента]]</f>
        <v>296</v>
      </c>
      <c r="Q945" s="26">
        <f t="shared" ca="1" si="29"/>
        <v>46059</v>
      </c>
      <c r="R945" s="51">
        <f ca="1">(TODAY()-Таблица1[[#This Row],[Дата регистрации клента]])/30</f>
        <v>44.033333333333331</v>
      </c>
      <c r="S945" s="63" t="str">
        <f>VLOOKUP(Таблица1[[#This Row],[id клиента]],Таблица8[[id клиента]:[Страна]],7,0)</f>
        <v>Узбекистан</v>
      </c>
      <c r="T945" s="26"/>
    </row>
    <row r="946" spans="1:20" ht="19.5" x14ac:dyDescent="0.4">
      <c r="A946" s="41">
        <v>945</v>
      </c>
      <c r="B946" s="42">
        <v>415</v>
      </c>
      <c r="C946" s="42">
        <v>307</v>
      </c>
      <c r="D946" s="42">
        <v>3</v>
      </c>
      <c r="E946" s="42">
        <v>921</v>
      </c>
      <c r="F946" s="43">
        <v>45290</v>
      </c>
      <c r="G946" s="42" t="s">
        <v>26</v>
      </c>
      <c r="H946" s="42">
        <v>498</v>
      </c>
      <c r="I946" s="42" t="str">
        <f>VLOOKUP(продажи!$B946,товар!$A$1:$C$433,2)</f>
        <v>Чипсы</v>
      </c>
      <c r="J946" s="42" t="str">
        <f>VLOOKUP(B946,товар!$A$1:$C$433,3)</f>
        <v>Pringles</v>
      </c>
      <c r="K946" s="44">
        <f>AVERAGEIF(продажи!$I$2:$I$1001,продажи!$I$2:$I$1001,продажи!$C$2:$C$1001)</f>
        <v>273.72549019607845</v>
      </c>
      <c r="L946" s="45">
        <f>продажи!$C946/продажи!$K946-1</f>
        <v>0.12156160458452714</v>
      </c>
      <c r="M946" s="33">
        <f t="shared" si="28"/>
        <v>5885</v>
      </c>
      <c r="N946" s="24">
        <f>Таблица1[[#This Row],[цена за шт в рублях]]/Таблица1[[#This Row],[средняя стоимость в категории по поставщику.]]-1</f>
        <v>-0.94783347493627867</v>
      </c>
      <c r="O946" s="26">
        <f>VLOOKUP(Таблица1[[#This Row],[id клиента]],клиенты!$A$2:$E$435,5,0)</f>
        <v>44721</v>
      </c>
      <c r="P946">
        <f>Таблица1[[#This Row],[дата создания чека]]-Таблица1[[#This Row],[Дата регистрации клента]]</f>
        <v>569</v>
      </c>
      <c r="Q946" s="26">
        <f t="shared" ca="1" si="29"/>
        <v>46059</v>
      </c>
      <c r="R946" s="51">
        <f ca="1">(TODAY()-Таблица1[[#This Row],[Дата регистрации клента]])/30</f>
        <v>44.6</v>
      </c>
      <c r="S946" s="63" t="str">
        <f>VLOOKUP(Таблица1[[#This Row],[id клиента]],Таблица8[[id клиента]:[Страна]],7,0)</f>
        <v>Украина</v>
      </c>
      <c r="T946" s="26"/>
    </row>
    <row r="947" spans="1:20" ht="19.5" x14ac:dyDescent="0.4">
      <c r="A947" s="37">
        <v>946</v>
      </c>
      <c r="B947" s="31">
        <v>298</v>
      </c>
      <c r="C947" s="31">
        <v>84</v>
      </c>
      <c r="D947" s="31">
        <v>5</v>
      </c>
      <c r="E947" s="31">
        <v>420</v>
      </c>
      <c r="F947" s="38">
        <v>45335</v>
      </c>
      <c r="G947" s="31" t="s">
        <v>10</v>
      </c>
      <c r="H947" s="31">
        <v>93</v>
      </c>
      <c r="I947" s="31" t="str">
        <f>VLOOKUP(продажи!$B947,товар!$A$1:$C$433,2)</f>
        <v>Крупа</v>
      </c>
      <c r="J947" s="31" t="str">
        <f>VLOOKUP(B947,товар!$A$1:$C$433,3)</f>
        <v>Увелка</v>
      </c>
      <c r="K947" s="39">
        <f>AVERAGEIF(продажи!$I$2:$I$1001,продажи!$I$2:$I$1001,продажи!$C$2:$C$1001)</f>
        <v>255.11627906976744</v>
      </c>
      <c r="L947" s="40">
        <f>продажи!$C947/продажи!$K947-1</f>
        <v>-0.67073837739288966</v>
      </c>
      <c r="M947" s="33">
        <f t="shared" si="28"/>
        <v>3023</v>
      </c>
      <c r="N947" s="24">
        <f>Таблица1[[#This Row],[цена за шт в рублях]]/Таблица1[[#This Row],[средняя стоимость в категории по поставщику.]]-1</f>
        <v>-0.97221303341051934</v>
      </c>
      <c r="O947" s="26">
        <f>VLOOKUP(Таблица1[[#This Row],[id клиента]],клиенты!$A$2:$E$435,5,0)</f>
        <v>44905</v>
      </c>
      <c r="P947">
        <f>Таблица1[[#This Row],[дата создания чека]]-Таблица1[[#This Row],[Дата регистрации клента]]</f>
        <v>430</v>
      </c>
      <c r="Q947" s="26">
        <f t="shared" ca="1" si="29"/>
        <v>46059</v>
      </c>
      <c r="R947" s="51">
        <f ca="1">(TODAY()-Таблица1[[#This Row],[Дата регистрации клента]])/30</f>
        <v>38.466666666666669</v>
      </c>
      <c r="S947" s="63" t="str">
        <f>VLOOKUP(Таблица1[[#This Row],[id клиента]],Таблица8[[id клиента]:[Страна]],7,0)</f>
        <v>Украина</v>
      </c>
      <c r="T947" s="26"/>
    </row>
    <row r="948" spans="1:20" ht="19.5" x14ac:dyDescent="0.4">
      <c r="A948" s="41">
        <v>947</v>
      </c>
      <c r="B948" s="42">
        <v>3</v>
      </c>
      <c r="C948" s="42">
        <v>180</v>
      </c>
      <c r="D948" s="42">
        <v>3</v>
      </c>
      <c r="E948" s="42">
        <v>540</v>
      </c>
      <c r="F948" s="43">
        <v>44940</v>
      </c>
      <c r="G948" s="42" t="s">
        <v>18</v>
      </c>
      <c r="H948" s="42">
        <v>200</v>
      </c>
      <c r="I948" s="42" t="str">
        <f>VLOOKUP(продажи!$B948,товар!$A$1:$C$433,2)</f>
        <v>Крупа</v>
      </c>
      <c r="J948" s="42" t="str">
        <f>VLOOKUP(B948,товар!$A$1:$C$433,3)</f>
        <v>Ярмарка</v>
      </c>
      <c r="K948" s="44">
        <f>AVERAGEIF(продажи!$I$2:$I$1001,продажи!$I$2:$I$1001,продажи!$C$2:$C$1001)</f>
        <v>255.11627906976744</v>
      </c>
      <c r="L948" s="45">
        <f>продажи!$C948/продажи!$K948-1</f>
        <v>-0.29443938012762083</v>
      </c>
      <c r="M948" s="33">
        <f t="shared" si="28"/>
        <v>2773</v>
      </c>
      <c r="N948" s="24">
        <f>Таблица1[[#This Row],[цена за шт в рублях]]/Таблица1[[#This Row],[средняя стоимость в категории по поставщику.]]-1</f>
        <v>-0.93508835196538043</v>
      </c>
      <c r="O948" s="26">
        <f>VLOOKUP(Таблица1[[#This Row],[id клиента]],клиенты!$A$2:$E$435,5,0)</f>
        <v>44783</v>
      </c>
      <c r="P948">
        <f>Таблица1[[#This Row],[дата создания чека]]-Таблица1[[#This Row],[Дата регистрации клента]]</f>
        <v>157</v>
      </c>
      <c r="Q948" s="26">
        <f t="shared" ca="1" si="29"/>
        <v>46059</v>
      </c>
      <c r="R948" s="51">
        <f ca="1">(TODAY()-Таблица1[[#This Row],[Дата регистрации клента]])/30</f>
        <v>42.533333333333331</v>
      </c>
      <c r="S948" s="63" t="str">
        <f>VLOOKUP(Таблица1[[#This Row],[id клиента]],Таблица8[[id клиента]:[Страна]],7,0)</f>
        <v>Узбекистан</v>
      </c>
      <c r="T948" s="26"/>
    </row>
    <row r="949" spans="1:20" ht="19.5" x14ac:dyDescent="0.4">
      <c r="A949" s="37">
        <v>948</v>
      </c>
      <c r="B949" s="31">
        <v>60</v>
      </c>
      <c r="C949" s="31">
        <v>334</v>
      </c>
      <c r="D949" s="31">
        <v>1</v>
      </c>
      <c r="E949" s="31">
        <v>334</v>
      </c>
      <c r="F949" s="38">
        <v>45196</v>
      </c>
      <c r="G949" s="31" t="s">
        <v>25</v>
      </c>
      <c r="H949" s="31">
        <v>381</v>
      </c>
      <c r="I949" s="31" t="str">
        <f>VLOOKUP(продажи!$B949,товар!$A$1:$C$433,2)</f>
        <v>Кофе</v>
      </c>
      <c r="J949" s="31" t="str">
        <f>VLOOKUP(B949,товар!$A$1:$C$433,3)</f>
        <v>Jacobs</v>
      </c>
      <c r="K949" s="39">
        <f>AVERAGEIF(продажи!$I$2:$I$1001,продажи!$I$2:$I$1001,продажи!$C$2:$C$1001)</f>
        <v>249.02380952380952</v>
      </c>
      <c r="L949" s="40">
        <f>продажи!$C949/продажи!$K949-1</f>
        <v>0.34123721197055179</v>
      </c>
      <c r="M949" s="33">
        <f t="shared" si="28"/>
        <v>5248</v>
      </c>
      <c r="N949" s="24">
        <f>Таблица1[[#This Row],[цена за шт в рублях]]/Таблица1[[#This Row],[средняя стоимость в категории по поставщику.]]-1</f>
        <v>-0.93635670731707321</v>
      </c>
      <c r="O949" s="26">
        <f>VLOOKUP(Таблица1[[#This Row],[id клиента]],клиенты!$A$2:$E$435,5,0)</f>
        <v>44714</v>
      </c>
      <c r="P949">
        <f>Таблица1[[#This Row],[дата создания чека]]-Таблица1[[#This Row],[Дата регистрации клента]]</f>
        <v>482</v>
      </c>
      <c r="Q949" s="26">
        <f t="shared" ca="1" si="29"/>
        <v>46059</v>
      </c>
      <c r="R949" s="51">
        <f ca="1">(TODAY()-Таблица1[[#This Row],[Дата регистрации клента]])/30</f>
        <v>44.833333333333336</v>
      </c>
      <c r="S949" s="63" t="str">
        <f>VLOOKUP(Таблица1[[#This Row],[id клиента]],Таблица8[[id клиента]:[Страна]],7,0)</f>
        <v>Узбекистан</v>
      </c>
      <c r="T949" s="26"/>
    </row>
    <row r="950" spans="1:20" ht="19.5" x14ac:dyDescent="0.4">
      <c r="A950" s="41">
        <v>949</v>
      </c>
      <c r="B950" s="42">
        <v>59</v>
      </c>
      <c r="C950" s="42">
        <v>234</v>
      </c>
      <c r="D950" s="42">
        <v>2</v>
      </c>
      <c r="E950" s="42">
        <v>468</v>
      </c>
      <c r="F950" s="43">
        <v>45101</v>
      </c>
      <c r="G950" s="42" t="s">
        <v>14</v>
      </c>
      <c r="H950" s="42">
        <v>18</v>
      </c>
      <c r="I950" s="42" t="str">
        <f>VLOOKUP(продажи!$B950,товар!$A$1:$C$433,2)</f>
        <v>Сахар</v>
      </c>
      <c r="J950" s="42" t="str">
        <f>VLOOKUP(B950,товар!$A$1:$C$433,3)</f>
        <v>Продимекс</v>
      </c>
      <c r="K950" s="44">
        <f>AVERAGEIF(продажи!$I$2:$I$1001,продажи!$I$2:$I$1001,продажи!$C$2:$C$1001)</f>
        <v>254.58333333333334</v>
      </c>
      <c r="L950" s="45">
        <f>продажи!$C950/продажи!$K950-1</f>
        <v>-8.085106382978724E-2</v>
      </c>
      <c r="M950" s="33">
        <f t="shared" si="28"/>
        <v>5172</v>
      </c>
      <c r="N950" s="24">
        <f>Таблица1[[#This Row],[цена за шт в рублях]]/Таблица1[[#This Row],[средняя стоимость в категории по поставщику.]]-1</f>
        <v>-0.95475638051044087</v>
      </c>
      <c r="O950" s="26">
        <f>VLOOKUP(Таблица1[[#This Row],[id клиента]],клиенты!$A$2:$E$435,5,0)</f>
        <v>44578</v>
      </c>
      <c r="P950">
        <f>Таблица1[[#This Row],[дата создания чека]]-Таблица1[[#This Row],[Дата регистрации клента]]</f>
        <v>523</v>
      </c>
      <c r="Q950" s="26">
        <f t="shared" ca="1" si="29"/>
        <v>46059</v>
      </c>
      <c r="R950" s="51">
        <f ca="1">(TODAY()-Таблица1[[#This Row],[Дата регистрации клента]])/30</f>
        <v>49.366666666666667</v>
      </c>
      <c r="S950" s="63" t="str">
        <f>VLOOKUP(Таблица1[[#This Row],[id клиента]],Таблица8[[id клиента]:[Страна]],7,0)</f>
        <v>Украина</v>
      </c>
      <c r="T950" s="26"/>
    </row>
    <row r="951" spans="1:20" ht="19.5" x14ac:dyDescent="0.4">
      <c r="A951" s="37">
        <v>950</v>
      </c>
      <c r="B951" s="31">
        <v>119</v>
      </c>
      <c r="C951" s="31">
        <v>426</v>
      </c>
      <c r="D951" s="31">
        <v>1</v>
      </c>
      <c r="E951" s="31">
        <v>426</v>
      </c>
      <c r="F951" s="38">
        <v>45094</v>
      </c>
      <c r="G951" s="31" t="s">
        <v>15</v>
      </c>
      <c r="H951" s="31">
        <v>327</v>
      </c>
      <c r="I951" s="31" t="str">
        <f>VLOOKUP(продажи!$B951,товар!$A$1:$C$433,2)</f>
        <v>Печенье</v>
      </c>
      <c r="J951" s="31" t="str">
        <f>VLOOKUP(B951,товар!$A$1:$C$433,3)</f>
        <v>КДВ</v>
      </c>
      <c r="K951" s="39">
        <f>AVERAGEIF(продажи!$I$2:$I$1001,продажи!$I$2:$I$1001,продажи!$C$2:$C$1001)</f>
        <v>283.468085106383</v>
      </c>
      <c r="L951" s="40">
        <f>продажи!$C951/продажи!$K951-1</f>
        <v>0.50281468137806784</v>
      </c>
      <c r="M951" s="33">
        <f t="shared" si="28"/>
        <v>4200</v>
      </c>
      <c r="N951" s="24">
        <f>Таблица1[[#This Row],[цена за шт в рублях]]/Таблица1[[#This Row],[средняя стоимость в категории по поставщику.]]-1</f>
        <v>-0.89857142857142858</v>
      </c>
      <c r="O951" s="26">
        <f>VLOOKUP(Таблица1[[#This Row],[id клиента]],клиенты!$A$2:$E$435,5,0)</f>
        <v>44565</v>
      </c>
      <c r="P951">
        <f>Таблица1[[#This Row],[дата создания чека]]-Таблица1[[#This Row],[Дата регистрации клента]]</f>
        <v>529</v>
      </c>
      <c r="Q951" s="26">
        <f t="shared" ca="1" si="29"/>
        <v>46059</v>
      </c>
      <c r="R951" s="51">
        <f ca="1">(TODAY()-Таблица1[[#This Row],[Дата регистрации клента]])/30</f>
        <v>49.8</v>
      </c>
      <c r="S951" s="63" t="str">
        <f>VLOOKUP(Таблица1[[#This Row],[id клиента]],Таблица8[[id клиента]:[Страна]],7,0)</f>
        <v>Таджикистан</v>
      </c>
      <c r="T951" s="26"/>
    </row>
    <row r="952" spans="1:20" ht="19.5" x14ac:dyDescent="0.4">
      <c r="A952" s="41">
        <v>951</v>
      </c>
      <c r="B952" s="42">
        <v>199</v>
      </c>
      <c r="C952" s="42">
        <v>494</v>
      </c>
      <c r="D952" s="42">
        <v>1</v>
      </c>
      <c r="E952" s="42">
        <v>494</v>
      </c>
      <c r="F952" s="43">
        <v>45252</v>
      </c>
      <c r="G952" s="42" t="s">
        <v>10</v>
      </c>
      <c r="H952" s="42">
        <v>340</v>
      </c>
      <c r="I952" s="42" t="str">
        <f>VLOOKUP(продажи!$B952,товар!$A$1:$C$433,2)</f>
        <v>Макароны</v>
      </c>
      <c r="J952" s="42" t="str">
        <f>VLOOKUP(B952,товар!$A$1:$C$433,3)</f>
        <v>Борилла</v>
      </c>
      <c r="K952" s="44">
        <f>AVERAGEIF(продажи!$I$2:$I$1001,продажи!$I$2:$I$1001,продажи!$C$2:$C$1001)</f>
        <v>265.47674418604652</v>
      </c>
      <c r="L952" s="45">
        <f>продажи!$C952/продажи!$K952-1</f>
        <v>0.86080329376724629</v>
      </c>
      <c r="M952" s="33">
        <f t="shared" si="28"/>
        <v>6852</v>
      </c>
      <c r="N952" s="24">
        <f>Таблица1[[#This Row],[цена за шт в рублях]]/Таблица1[[#This Row],[средняя стоимость в категории по поставщику.]]-1</f>
        <v>-0.92790426152948047</v>
      </c>
      <c r="O952" s="26">
        <f>VLOOKUP(Таблица1[[#This Row],[id клиента]],клиенты!$A$2:$E$435,5,0)</f>
        <v>44896</v>
      </c>
      <c r="P952">
        <f>Таблица1[[#This Row],[дата создания чека]]-Таблица1[[#This Row],[Дата регистрации клента]]</f>
        <v>356</v>
      </c>
      <c r="Q952" s="26">
        <f t="shared" ca="1" si="29"/>
        <v>46059</v>
      </c>
      <c r="R952" s="51">
        <f ca="1">(TODAY()-Таблица1[[#This Row],[Дата регистрации клента]])/30</f>
        <v>38.766666666666666</v>
      </c>
      <c r="S952" s="63" t="str">
        <f>VLOOKUP(Таблица1[[#This Row],[id клиента]],Таблица8[[id клиента]:[Страна]],7,0)</f>
        <v>Россия</v>
      </c>
      <c r="T952" s="26"/>
    </row>
    <row r="953" spans="1:20" ht="19.5" x14ac:dyDescent="0.4">
      <c r="A953" s="37">
        <v>952</v>
      </c>
      <c r="B953" s="31">
        <v>272</v>
      </c>
      <c r="C953" s="31">
        <v>353</v>
      </c>
      <c r="D953" s="31">
        <v>3</v>
      </c>
      <c r="E953" s="31">
        <v>1059</v>
      </c>
      <c r="F953" s="38">
        <v>44989</v>
      </c>
      <c r="G953" s="31" t="s">
        <v>23</v>
      </c>
      <c r="H953" s="31">
        <v>490</v>
      </c>
      <c r="I953" s="31" t="str">
        <f>VLOOKUP(продажи!$B953,товар!$A$1:$C$433,2)</f>
        <v>Крупа</v>
      </c>
      <c r="J953" s="31" t="str">
        <f>VLOOKUP(B953,товар!$A$1:$C$433,3)</f>
        <v>Ярмарка</v>
      </c>
      <c r="K953" s="39">
        <f>AVERAGEIF(продажи!$I$2:$I$1001,продажи!$I$2:$I$1001,продажи!$C$2:$C$1001)</f>
        <v>255.11627906976744</v>
      </c>
      <c r="L953" s="40">
        <f>продажи!$C953/продажи!$K953-1</f>
        <v>0.38368277119416594</v>
      </c>
      <c r="M953" s="33">
        <f t="shared" si="28"/>
        <v>2773</v>
      </c>
      <c r="N953" s="24">
        <f>Таблица1[[#This Row],[цена за шт в рублях]]/Таблица1[[#This Row],[средняя стоимость в категории по поставщику.]]-1</f>
        <v>-0.87270104579877383</v>
      </c>
      <c r="O953" s="26">
        <f>VLOOKUP(Таблица1[[#This Row],[id клиента]],клиенты!$A$2:$E$435,5,0)</f>
        <v>44603</v>
      </c>
      <c r="P953">
        <f>Таблица1[[#This Row],[дата создания чека]]-Таблица1[[#This Row],[Дата регистрации клента]]</f>
        <v>386</v>
      </c>
      <c r="Q953" s="26">
        <f t="shared" ca="1" si="29"/>
        <v>46059</v>
      </c>
      <c r="R953" s="51">
        <f ca="1">(TODAY()-Таблица1[[#This Row],[Дата регистрации клента]])/30</f>
        <v>48.533333333333331</v>
      </c>
      <c r="S953" s="63" t="str">
        <f>VLOOKUP(Таблица1[[#This Row],[id клиента]],Таблица8[[id клиента]:[Страна]],7,0)</f>
        <v>Россия</v>
      </c>
      <c r="T953" s="26"/>
    </row>
    <row r="954" spans="1:20" ht="19.5" x14ac:dyDescent="0.4">
      <c r="A954" s="41">
        <v>953</v>
      </c>
      <c r="B954" s="42">
        <v>386</v>
      </c>
      <c r="C954" s="42">
        <v>288</v>
      </c>
      <c r="D954" s="42">
        <v>2</v>
      </c>
      <c r="E954" s="42">
        <v>576</v>
      </c>
      <c r="F954" s="43">
        <v>45285</v>
      </c>
      <c r="G954" s="42" t="s">
        <v>22</v>
      </c>
      <c r="H954" s="42">
        <v>67</v>
      </c>
      <c r="I954" s="42" t="str">
        <f>VLOOKUP(продажи!$B954,товар!$A$1:$C$433,2)</f>
        <v>Крупа</v>
      </c>
      <c r="J954" s="42" t="str">
        <f>VLOOKUP(B954,товар!$A$1:$C$433,3)</f>
        <v>Увелка</v>
      </c>
      <c r="K954" s="44">
        <f>AVERAGEIF(продажи!$I$2:$I$1001,продажи!$I$2:$I$1001,продажи!$C$2:$C$1001)</f>
        <v>255.11627906976744</v>
      </c>
      <c r="L954" s="45">
        <f>продажи!$C954/продажи!$K954-1</f>
        <v>0.12889699179580671</v>
      </c>
      <c r="M954" s="33">
        <f t="shared" si="28"/>
        <v>3023</v>
      </c>
      <c r="N954" s="24">
        <f>Таблица1[[#This Row],[цена за шт в рублях]]/Таблица1[[#This Row],[средняя стоимость в категории по поставщику.]]-1</f>
        <v>-0.9047304002646378</v>
      </c>
      <c r="O954" s="26">
        <f>VLOOKUP(Таблица1[[#This Row],[id клиента]],клиенты!$A$2:$E$435,5,0)</f>
        <v>44731</v>
      </c>
      <c r="P954">
        <f>Таблица1[[#This Row],[дата создания чека]]-Таблица1[[#This Row],[Дата регистрации клента]]</f>
        <v>554</v>
      </c>
      <c r="Q954" s="26">
        <f t="shared" ca="1" si="29"/>
        <v>46059</v>
      </c>
      <c r="R954" s="51">
        <f ca="1">(TODAY()-Таблица1[[#This Row],[Дата регистрации клента]])/30</f>
        <v>44.266666666666666</v>
      </c>
      <c r="S954" s="63" t="str">
        <f>VLOOKUP(Таблица1[[#This Row],[id клиента]],Таблица8[[id клиента]:[Страна]],7,0)</f>
        <v>Узбекистан</v>
      </c>
      <c r="T954" s="26"/>
    </row>
    <row r="955" spans="1:20" ht="19.5" x14ac:dyDescent="0.4">
      <c r="A955" s="37">
        <v>954</v>
      </c>
      <c r="B955" s="31">
        <v>464</v>
      </c>
      <c r="C955" s="31">
        <v>430</v>
      </c>
      <c r="D955" s="31">
        <v>2</v>
      </c>
      <c r="E955" s="31">
        <v>860</v>
      </c>
      <c r="F955" s="38">
        <v>45148</v>
      </c>
      <c r="G955" s="31" t="s">
        <v>26</v>
      </c>
      <c r="H955" s="31">
        <v>132</v>
      </c>
      <c r="I955" s="31" t="str">
        <f>VLOOKUP(продажи!$B955,товар!$A$1:$C$433,2)</f>
        <v>Сыр</v>
      </c>
      <c r="J955" s="31" t="str">
        <f>VLOOKUP(B955,товар!$A$1:$C$433,3)</f>
        <v>Сырная долина</v>
      </c>
      <c r="K955" s="39">
        <f>AVERAGEIF(продажи!$I$2:$I$1001,продажи!$I$2:$I$1001,продажи!$C$2:$C$1001)</f>
        <v>261.03225806451616</v>
      </c>
      <c r="L955" s="40">
        <f>продажи!$C955/продажи!$K955-1</f>
        <v>0.64730598121601557</v>
      </c>
      <c r="M955" s="33">
        <f t="shared" si="28"/>
        <v>8943</v>
      </c>
      <c r="N955" s="24">
        <f>Таблица1[[#This Row],[цена за шт в рублях]]/Таблица1[[#This Row],[средняя стоимость в категории по поставщику.]]-1</f>
        <v>-0.9519177009951918</v>
      </c>
      <c r="O955" s="26">
        <f>VLOOKUP(Таблица1[[#This Row],[id клиента]],клиенты!$A$2:$E$435,5,0)</f>
        <v>44601</v>
      </c>
      <c r="P955">
        <f>Таблица1[[#This Row],[дата создания чека]]-Таблица1[[#This Row],[Дата регистрации клента]]</f>
        <v>547</v>
      </c>
      <c r="Q955" s="26">
        <f t="shared" ca="1" si="29"/>
        <v>46059</v>
      </c>
      <c r="R955" s="51">
        <f ca="1">(TODAY()-Таблица1[[#This Row],[Дата регистрации клента]])/30</f>
        <v>48.6</v>
      </c>
      <c r="S955" s="63" t="str">
        <f>VLOOKUP(Таблица1[[#This Row],[id клиента]],Таблица8[[id клиента]:[Страна]],7,0)</f>
        <v>Украина</v>
      </c>
      <c r="T955" s="26"/>
    </row>
    <row r="956" spans="1:20" ht="19.5" x14ac:dyDescent="0.4">
      <c r="A956" s="41">
        <v>955</v>
      </c>
      <c r="B956" s="42">
        <v>494</v>
      </c>
      <c r="C956" s="42">
        <v>471</v>
      </c>
      <c r="D956" s="42">
        <v>5</v>
      </c>
      <c r="E956" s="42">
        <v>2355</v>
      </c>
      <c r="F956" s="43">
        <v>45289</v>
      </c>
      <c r="G956" s="42" t="s">
        <v>8</v>
      </c>
      <c r="H956" s="42">
        <v>95</v>
      </c>
      <c r="I956" s="42" t="str">
        <f>VLOOKUP(продажи!$B956,товар!$A$1:$C$433,2)</f>
        <v>Сыр</v>
      </c>
      <c r="J956" s="42" t="str">
        <f>VLOOKUP(B956,товар!$A$1:$C$433,3)</f>
        <v>Сырная долина</v>
      </c>
      <c r="K956" s="44">
        <f>AVERAGEIF(продажи!$I$2:$I$1001,продажи!$I$2:$I$1001,продажи!$C$2:$C$1001)</f>
        <v>261.03225806451616</v>
      </c>
      <c r="L956" s="45">
        <f>продажи!$C956/продажи!$K956-1</f>
        <v>0.8043746910528915</v>
      </c>
      <c r="M956" s="33">
        <f t="shared" si="28"/>
        <v>8943</v>
      </c>
      <c r="N956" s="24">
        <f>Таблица1[[#This Row],[цена за шт в рублях]]/Таблица1[[#This Row],[средняя стоимость в категории по поставщику.]]-1</f>
        <v>-0.94733310969473328</v>
      </c>
      <c r="O956" s="26">
        <f>VLOOKUP(Таблица1[[#This Row],[id клиента]],клиенты!$A$2:$E$435,5,0)</f>
        <v>44704</v>
      </c>
      <c r="P956">
        <f>Таблица1[[#This Row],[дата создания чека]]-Таблица1[[#This Row],[Дата регистрации клента]]</f>
        <v>585</v>
      </c>
      <c r="Q956" s="26">
        <f t="shared" ca="1" si="29"/>
        <v>46059</v>
      </c>
      <c r="R956" s="51">
        <f ca="1">(TODAY()-Таблица1[[#This Row],[Дата регистрации клента]])/30</f>
        <v>45.166666666666664</v>
      </c>
      <c r="S956" s="63" t="str">
        <f>VLOOKUP(Таблица1[[#This Row],[id клиента]],Таблица8[[id клиента]:[Страна]],7,0)</f>
        <v>Узбекистан</v>
      </c>
      <c r="T956" s="26"/>
    </row>
    <row r="957" spans="1:20" ht="19.5" x14ac:dyDescent="0.4">
      <c r="A957" s="37">
        <v>956</v>
      </c>
      <c r="B957" s="31">
        <v>242</v>
      </c>
      <c r="C957" s="31">
        <v>313</v>
      </c>
      <c r="D957" s="31">
        <v>3</v>
      </c>
      <c r="E957" s="31">
        <v>939</v>
      </c>
      <c r="F957" s="38">
        <v>45249</v>
      </c>
      <c r="G957" s="31" t="s">
        <v>25</v>
      </c>
      <c r="H957" s="31">
        <v>75</v>
      </c>
      <c r="I957" s="31" t="str">
        <f>VLOOKUP(продажи!$B957,товар!$A$1:$C$433,2)</f>
        <v>Овощи</v>
      </c>
      <c r="J957" s="31" t="str">
        <f>VLOOKUP(B957,товар!$A$1:$C$433,3)</f>
        <v>Овощной ряд</v>
      </c>
      <c r="K957" s="39">
        <f>AVERAGEIF(продажи!$I$2:$I$1001,продажи!$I$2:$I$1001,продажи!$C$2:$C$1001)</f>
        <v>250.48780487804879</v>
      </c>
      <c r="L957" s="40">
        <f>продажи!$C957/продажи!$K957-1</f>
        <v>0.24956183057448866</v>
      </c>
      <c r="M957" s="33">
        <f t="shared" si="28"/>
        <v>5165</v>
      </c>
      <c r="N957" s="24">
        <f>Таблица1[[#This Row],[цена за шт в рублях]]/Таблица1[[#This Row],[средняя стоимость в категории по поставщику.]]-1</f>
        <v>-0.93939980638915777</v>
      </c>
      <c r="O957" s="26">
        <f>VLOOKUP(Таблица1[[#This Row],[id клиента]],клиенты!$A$2:$E$435,5,0)</f>
        <v>44796</v>
      </c>
      <c r="P957">
        <f>Таблица1[[#This Row],[дата создания чека]]-Таблица1[[#This Row],[Дата регистрации клента]]</f>
        <v>453</v>
      </c>
      <c r="Q957" s="26">
        <f t="shared" ca="1" si="29"/>
        <v>46059</v>
      </c>
      <c r="R957" s="51">
        <f ca="1">(TODAY()-Таблица1[[#This Row],[Дата регистрации клента]])/30</f>
        <v>42.1</v>
      </c>
      <c r="S957" s="63" t="str">
        <f>VLOOKUP(Таблица1[[#This Row],[id клиента]],Таблица8[[id клиента]:[Страна]],7,0)</f>
        <v>Украина</v>
      </c>
      <c r="T957" s="26"/>
    </row>
    <row r="958" spans="1:20" ht="19.5" x14ac:dyDescent="0.4">
      <c r="A958" s="41">
        <v>957</v>
      </c>
      <c r="B958" s="42">
        <v>434</v>
      </c>
      <c r="C958" s="42">
        <v>340</v>
      </c>
      <c r="D958" s="42">
        <v>4</v>
      </c>
      <c r="E958" s="42">
        <v>1360</v>
      </c>
      <c r="F958" s="43">
        <v>44937</v>
      </c>
      <c r="G958" s="42" t="s">
        <v>17</v>
      </c>
      <c r="H958" s="42">
        <v>419</v>
      </c>
      <c r="I958" s="42" t="str">
        <f>VLOOKUP(продажи!$B958,товар!$A$1:$C$433,2)</f>
        <v>Сыр</v>
      </c>
      <c r="J958" s="42" t="str">
        <f>VLOOKUP(B958,товар!$A$1:$C$433,3)</f>
        <v>Сырная долина</v>
      </c>
      <c r="K958" s="44">
        <f>AVERAGEIF(продажи!$I$2:$I$1001,продажи!$I$2:$I$1001,продажи!$C$2:$C$1001)</f>
        <v>261.03225806451616</v>
      </c>
      <c r="L958" s="45">
        <f>продажи!$C958/продажи!$K958-1</f>
        <v>0.30252100840336116</v>
      </c>
      <c r="M958" s="33">
        <f t="shared" si="28"/>
        <v>8943</v>
      </c>
      <c r="N958" s="24">
        <f>Таблица1[[#This Row],[цена за шт в рублях]]/Таблица1[[#This Row],[средняя стоимость в категории по поставщику.]]-1</f>
        <v>-0.96198143799619817</v>
      </c>
      <c r="O958" s="26">
        <f>VLOOKUP(Таблица1[[#This Row],[id клиента]],клиенты!$A$2:$E$435,5,0)</f>
        <v>44869</v>
      </c>
      <c r="P958">
        <f>Таблица1[[#This Row],[дата создания чека]]-Таблица1[[#This Row],[Дата регистрации клента]]</f>
        <v>68</v>
      </c>
      <c r="Q958" s="26">
        <f t="shared" ca="1" si="29"/>
        <v>46059</v>
      </c>
      <c r="R958" s="51">
        <f ca="1">(TODAY()-Таблица1[[#This Row],[Дата регистрации клента]])/30</f>
        <v>39.666666666666664</v>
      </c>
      <c r="S958" s="63" t="str">
        <f>VLOOKUP(Таблица1[[#This Row],[id клиента]],Таблица8[[id клиента]:[Страна]],7,0)</f>
        <v>Таджикистан</v>
      </c>
      <c r="T958" s="26"/>
    </row>
    <row r="959" spans="1:20" ht="19.5" x14ac:dyDescent="0.4">
      <c r="A959" s="37">
        <v>958</v>
      </c>
      <c r="B959" s="31">
        <v>110</v>
      </c>
      <c r="C959" s="31">
        <v>148</v>
      </c>
      <c r="D959" s="31">
        <v>2</v>
      </c>
      <c r="E959" s="31">
        <v>296</v>
      </c>
      <c r="F959" s="38">
        <v>44995</v>
      </c>
      <c r="G959" s="31" t="s">
        <v>10</v>
      </c>
      <c r="H959" s="31">
        <v>42</v>
      </c>
      <c r="I959" s="31" t="str">
        <f>VLOOKUP(продажи!$B959,товар!$A$1:$C$433,2)</f>
        <v>Макароны</v>
      </c>
      <c r="J959" s="31" t="str">
        <f>VLOOKUP(B959,товар!$A$1:$C$433,3)</f>
        <v>Паста Зара</v>
      </c>
      <c r="K959" s="39">
        <f>AVERAGEIF(продажи!$I$2:$I$1001,продажи!$I$2:$I$1001,продажи!$C$2:$C$1001)</f>
        <v>265.47674418604652</v>
      </c>
      <c r="L959" s="40">
        <f>продажи!$C959/продажи!$K959-1</f>
        <v>-0.44251237352722173</v>
      </c>
      <c r="M959" s="33">
        <f t="shared" si="28"/>
        <v>10237</v>
      </c>
      <c r="N959" s="24">
        <f>Таблица1[[#This Row],[цена за шт в рублях]]/Таблица1[[#This Row],[средняя стоимость в категории по поставщику.]]-1</f>
        <v>-0.98554263944514997</v>
      </c>
      <c r="O959" s="26">
        <f>VLOOKUP(Таблица1[[#This Row],[id клиента]],клиенты!$A$2:$E$435,5,0)</f>
        <v>44783</v>
      </c>
      <c r="P959">
        <f>Таблица1[[#This Row],[дата создания чека]]-Таблица1[[#This Row],[Дата регистрации клента]]</f>
        <v>212</v>
      </c>
      <c r="Q959" s="26">
        <f t="shared" ca="1" si="29"/>
        <v>46059</v>
      </c>
      <c r="R959" s="51">
        <f ca="1">(TODAY()-Таблица1[[#This Row],[Дата регистрации клента]])/30</f>
        <v>42.533333333333331</v>
      </c>
      <c r="S959" s="63" t="str">
        <f>VLOOKUP(Таблица1[[#This Row],[id клиента]],Таблица8[[id клиента]:[Страна]],7,0)</f>
        <v>Таджикистан</v>
      </c>
      <c r="T959" s="26"/>
    </row>
    <row r="960" spans="1:20" ht="19.5" x14ac:dyDescent="0.4">
      <c r="A960" s="41">
        <v>959</v>
      </c>
      <c r="B960" s="42">
        <v>168</v>
      </c>
      <c r="C960" s="42">
        <v>391</v>
      </c>
      <c r="D960" s="42">
        <v>2</v>
      </c>
      <c r="E960" s="42">
        <v>782</v>
      </c>
      <c r="F960" s="43">
        <v>45143</v>
      </c>
      <c r="G960" s="42" t="s">
        <v>26</v>
      </c>
      <c r="H960" s="42">
        <v>316</v>
      </c>
      <c r="I960" s="42" t="str">
        <f>VLOOKUP(продажи!$B960,товар!$A$1:$C$433,2)</f>
        <v>Крупа</v>
      </c>
      <c r="J960" s="42" t="str">
        <f>VLOOKUP(B960,товар!$A$1:$C$433,3)</f>
        <v>Ярмарка</v>
      </c>
      <c r="K960" s="44">
        <f>AVERAGEIF(продажи!$I$2:$I$1001,продажи!$I$2:$I$1001,продажи!$C$2:$C$1001)</f>
        <v>255.11627906976744</v>
      </c>
      <c r="L960" s="45">
        <f>продажи!$C960/продажи!$K960-1</f>
        <v>0.53263445761166817</v>
      </c>
      <c r="M960" s="33">
        <f t="shared" si="28"/>
        <v>2773</v>
      </c>
      <c r="N960" s="24">
        <f>Таблица1[[#This Row],[цена за шт в рублях]]/Таблица1[[#This Row],[средняя стоимость в категории по поставщику.]]-1</f>
        <v>-0.858997475658132</v>
      </c>
      <c r="O960" s="26">
        <f>VLOOKUP(Таблица1[[#This Row],[id клиента]],клиенты!$A$2:$E$435,5,0)</f>
        <v>44787</v>
      </c>
      <c r="P960">
        <f>Таблица1[[#This Row],[дата создания чека]]-Таблица1[[#This Row],[Дата регистрации клента]]</f>
        <v>356</v>
      </c>
      <c r="Q960" s="26">
        <f t="shared" ca="1" si="29"/>
        <v>46059</v>
      </c>
      <c r="R960" s="51">
        <f ca="1">(TODAY()-Таблица1[[#This Row],[Дата регистрации клента]])/30</f>
        <v>42.4</v>
      </c>
      <c r="S960" s="63" t="str">
        <f>VLOOKUP(Таблица1[[#This Row],[id клиента]],Таблица8[[id клиента]:[Страна]],7,0)</f>
        <v>Таджикистан</v>
      </c>
      <c r="T960" s="26"/>
    </row>
    <row r="961" spans="1:20" ht="19.5" x14ac:dyDescent="0.4">
      <c r="A961" s="37">
        <v>960</v>
      </c>
      <c r="B961" s="31">
        <v>13</v>
      </c>
      <c r="C961" s="31">
        <v>181</v>
      </c>
      <c r="D961" s="31">
        <v>4</v>
      </c>
      <c r="E961" s="31">
        <v>724</v>
      </c>
      <c r="F961" s="38">
        <v>45398</v>
      </c>
      <c r="G961" s="31" t="s">
        <v>23</v>
      </c>
      <c r="H961" s="31">
        <v>117</v>
      </c>
      <c r="I961" s="31" t="str">
        <f>VLOOKUP(продажи!$B961,товар!$A$1:$C$433,2)</f>
        <v>Макароны</v>
      </c>
      <c r="J961" s="31" t="str">
        <f>VLOOKUP(B961,товар!$A$1:$C$433,3)</f>
        <v>Паста Зара</v>
      </c>
      <c r="K961" s="39">
        <f>AVERAGEIF(продажи!$I$2:$I$1001,продажи!$I$2:$I$1001,продажи!$C$2:$C$1001)</f>
        <v>265.47674418604652</v>
      </c>
      <c r="L961" s="40">
        <f>продажи!$C961/продажи!$K961-1</f>
        <v>-0.3182077000569401</v>
      </c>
      <c r="M961" s="33">
        <f t="shared" si="28"/>
        <v>10237</v>
      </c>
      <c r="N961" s="24">
        <f>Таблица1[[#This Row],[цена за шт в рублях]]/Таблица1[[#This Row],[средняя стоимость в категории по поставщику.]]-1</f>
        <v>-0.98231903878089288</v>
      </c>
      <c r="O961" s="26">
        <f>VLOOKUP(Таблица1[[#This Row],[id клиента]],клиенты!$A$2:$E$435,5,0)</f>
        <v>44706</v>
      </c>
      <c r="P961">
        <f>Таблица1[[#This Row],[дата создания чека]]-Таблица1[[#This Row],[Дата регистрации клента]]</f>
        <v>692</v>
      </c>
      <c r="Q961" s="26">
        <f t="shared" ca="1" si="29"/>
        <v>46059</v>
      </c>
      <c r="R961" s="51">
        <f ca="1">(TODAY()-Таблица1[[#This Row],[Дата регистрации клента]])/30</f>
        <v>45.1</v>
      </c>
      <c r="S961" s="63" t="str">
        <f>VLOOKUP(Таблица1[[#This Row],[id клиента]],Таблица8[[id клиента]:[Страна]],7,0)</f>
        <v>Украина</v>
      </c>
      <c r="T961" s="26"/>
    </row>
    <row r="962" spans="1:20" ht="19.5" x14ac:dyDescent="0.4">
      <c r="A962" s="41">
        <v>961</v>
      </c>
      <c r="B962" s="42">
        <v>141</v>
      </c>
      <c r="C962" s="42">
        <v>279</v>
      </c>
      <c r="D962" s="42">
        <v>1</v>
      </c>
      <c r="E962" s="42">
        <v>279</v>
      </c>
      <c r="F962" s="43">
        <v>45324</v>
      </c>
      <c r="G962" s="42" t="s">
        <v>10</v>
      </c>
      <c r="H962" s="42">
        <v>243</v>
      </c>
      <c r="I962" s="42" t="str">
        <f>VLOOKUP(продажи!$B962,товар!$A$1:$C$433,2)</f>
        <v>Фрукты</v>
      </c>
      <c r="J962" s="42" t="str">
        <f>VLOOKUP(B962,товар!$A$1:$C$433,3)</f>
        <v>Фруктовый Рай</v>
      </c>
      <c r="K962" s="44">
        <f>AVERAGEIF(продажи!$I$2:$I$1001,продажи!$I$2:$I$1001,продажи!$C$2:$C$1001)</f>
        <v>274.16279069767444</v>
      </c>
      <c r="L962" s="45">
        <f>продажи!$C962/продажи!$K962-1</f>
        <v>1.7643566036135372E-2</v>
      </c>
      <c r="M962" s="33">
        <f t="shared" ref="M962:M1001" si="30">SUMIFS($C$2:$C$1001,$I$2:$I$1001,I962,$J$2:$J$1001,J962)</f>
        <v>3358</v>
      </c>
      <c r="N962" s="24">
        <f>Таблица1[[#This Row],[цена за шт в рублях]]/Таблица1[[#This Row],[средняя стоимость в категории по поставщику.]]-1</f>
        <v>-0.91691483025610476</v>
      </c>
      <c r="O962" s="26">
        <f>VLOOKUP(Таблица1[[#This Row],[id клиента]],клиенты!$A$2:$E$435,5,0)</f>
        <v>44681</v>
      </c>
      <c r="P962">
        <f>Таблица1[[#This Row],[дата создания чека]]-Таблица1[[#This Row],[Дата регистрации клента]]</f>
        <v>643</v>
      </c>
      <c r="Q962" s="26">
        <f t="shared" ref="Q962:Q1001" ca="1" si="31">TODAY()</f>
        <v>46059</v>
      </c>
      <c r="R962" s="51">
        <f ca="1">(TODAY()-Таблица1[[#This Row],[Дата регистрации клента]])/30</f>
        <v>45.93333333333333</v>
      </c>
      <c r="S962" s="63" t="str">
        <f>VLOOKUP(Таблица1[[#This Row],[id клиента]],Таблица8[[id клиента]:[Страна]],7,0)</f>
        <v>Россия</v>
      </c>
      <c r="T962" s="26"/>
    </row>
    <row r="963" spans="1:20" ht="19.5" x14ac:dyDescent="0.4">
      <c r="A963" s="37">
        <v>962</v>
      </c>
      <c r="B963" s="31">
        <v>120</v>
      </c>
      <c r="C963" s="31">
        <v>229</v>
      </c>
      <c r="D963" s="31">
        <v>5</v>
      </c>
      <c r="E963" s="31">
        <v>1145</v>
      </c>
      <c r="F963" s="38">
        <v>44930</v>
      </c>
      <c r="G963" s="31" t="s">
        <v>25</v>
      </c>
      <c r="H963" s="31">
        <v>6</v>
      </c>
      <c r="I963" s="31" t="str">
        <f>VLOOKUP(продажи!$B963,товар!$A$1:$C$433,2)</f>
        <v>Хлеб</v>
      </c>
      <c r="J963" s="31" t="str">
        <f>VLOOKUP(B963,товар!$A$1:$C$433,3)</f>
        <v>Дарница</v>
      </c>
      <c r="K963" s="39">
        <f>AVERAGEIF(продажи!$I$2:$I$1001,продажи!$I$2:$I$1001,продажи!$C$2:$C$1001)</f>
        <v>300.31818181818181</v>
      </c>
      <c r="L963" s="40">
        <f>продажи!$C963/продажи!$K963-1</f>
        <v>-0.23747540487361884</v>
      </c>
      <c r="M963" s="33">
        <f t="shared" si="30"/>
        <v>1848</v>
      </c>
      <c r="N963" s="24">
        <f>Таблица1[[#This Row],[цена за шт в рублях]]/Таблица1[[#This Row],[средняя стоимость в категории по поставщику.]]-1</f>
        <v>-0.87608225108225113</v>
      </c>
      <c r="O963" s="26">
        <f>VLOOKUP(Таблица1[[#This Row],[id клиента]],клиенты!$A$2:$E$435,5,0)</f>
        <v>44710</v>
      </c>
      <c r="P963">
        <f>Таблица1[[#This Row],[дата создания чека]]-Таблица1[[#This Row],[Дата регистрации клента]]</f>
        <v>220</v>
      </c>
      <c r="Q963" s="26">
        <f t="shared" ca="1" si="31"/>
        <v>46059</v>
      </c>
      <c r="R963" s="51">
        <f ca="1">(TODAY()-Таблица1[[#This Row],[Дата регистрации клента]])/30</f>
        <v>44.966666666666669</v>
      </c>
      <c r="S963" s="63" t="str">
        <f>VLOOKUP(Таблица1[[#This Row],[id клиента]],Таблица8[[id клиента]:[Страна]],7,0)</f>
        <v>Украина</v>
      </c>
      <c r="T963" s="26"/>
    </row>
    <row r="964" spans="1:20" ht="19.5" x14ac:dyDescent="0.4">
      <c r="A964" s="41">
        <v>963</v>
      </c>
      <c r="B964" s="42">
        <v>316</v>
      </c>
      <c r="C964" s="42">
        <v>97</v>
      </c>
      <c r="D964" s="42">
        <v>4</v>
      </c>
      <c r="E964" s="42">
        <v>388</v>
      </c>
      <c r="F964" s="43">
        <v>44932</v>
      </c>
      <c r="G964" s="42" t="s">
        <v>17</v>
      </c>
      <c r="H964" s="42">
        <v>283</v>
      </c>
      <c r="I964" s="42" t="str">
        <f>VLOOKUP(продажи!$B964,товар!$A$1:$C$433,2)</f>
        <v>Макароны</v>
      </c>
      <c r="J964" s="42" t="str">
        <f>VLOOKUP(B964,товар!$A$1:$C$433,3)</f>
        <v>Борилла</v>
      </c>
      <c r="K964" s="44">
        <f>AVERAGEIF(продажи!$I$2:$I$1001,продажи!$I$2:$I$1001,продажи!$C$2:$C$1001)</f>
        <v>265.47674418604652</v>
      </c>
      <c r="L964" s="45">
        <f>продажи!$C964/продажи!$K964-1</f>
        <v>-0.63461959616311159</v>
      </c>
      <c r="M964" s="33">
        <f t="shared" si="30"/>
        <v>6852</v>
      </c>
      <c r="N964" s="24">
        <f>Таблица1[[#This Row],[цена за шт в рублях]]/Таблица1[[#This Row],[средняя стоимость в категории по поставщику.]]-1</f>
        <v>-0.98584354932866314</v>
      </c>
      <c r="O964" s="26">
        <f>VLOOKUP(Таблица1[[#This Row],[id клиента]],клиенты!$A$2:$E$435,5,0)</f>
        <v>44889</v>
      </c>
      <c r="P964">
        <f>Таблица1[[#This Row],[дата создания чека]]-Таблица1[[#This Row],[Дата регистрации клента]]</f>
        <v>43</v>
      </c>
      <c r="Q964" s="26">
        <f t="shared" ca="1" si="31"/>
        <v>46059</v>
      </c>
      <c r="R964" s="51">
        <f ca="1">(TODAY()-Таблица1[[#This Row],[Дата регистрации клента]])/30</f>
        <v>39</v>
      </c>
      <c r="S964" s="63" t="str">
        <f>VLOOKUP(Таблица1[[#This Row],[id клиента]],Таблица8[[id клиента]:[Страна]],7,0)</f>
        <v>Таджикистан</v>
      </c>
      <c r="T964" s="26"/>
    </row>
    <row r="965" spans="1:20" ht="19.5" x14ac:dyDescent="0.4">
      <c r="A965" s="37">
        <v>964</v>
      </c>
      <c r="B965" s="31">
        <v>448</v>
      </c>
      <c r="C965" s="31">
        <v>484</v>
      </c>
      <c r="D965" s="31">
        <v>1</v>
      </c>
      <c r="E965" s="31">
        <v>484</v>
      </c>
      <c r="F965" s="38">
        <v>45301</v>
      </c>
      <c r="G965" s="31" t="s">
        <v>10</v>
      </c>
      <c r="H965" s="31">
        <v>404</v>
      </c>
      <c r="I965" s="31" t="str">
        <f>VLOOKUP(продажи!$B965,товар!$A$1:$C$433,2)</f>
        <v>Йогурт</v>
      </c>
      <c r="J965" s="31" t="str">
        <f>VLOOKUP(B965,товар!$A$1:$C$433,3)</f>
        <v>Ростагроэкспорт</v>
      </c>
      <c r="K965" s="39">
        <f>AVERAGEIF(продажи!$I$2:$I$1001,продажи!$I$2:$I$1001,продажи!$C$2:$C$1001)</f>
        <v>263.25423728813558</v>
      </c>
      <c r="L965" s="40">
        <f>продажи!$C965/продажи!$K965-1</f>
        <v>0.83852691218130326</v>
      </c>
      <c r="M965" s="33">
        <f t="shared" si="30"/>
        <v>5929</v>
      </c>
      <c r="N965" s="24">
        <f>Таблица1[[#This Row],[цена за шт в рублях]]/Таблица1[[#This Row],[средняя стоимость в категории по поставщику.]]-1</f>
        <v>-0.91836734693877553</v>
      </c>
      <c r="O965" s="26">
        <f>VLOOKUP(Таблица1[[#This Row],[id клиента]],клиенты!$A$2:$E$435,5,0)</f>
        <v>44913</v>
      </c>
      <c r="P965">
        <f>Таблица1[[#This Row],[дата создания чека]]-Таблица1[[#This Row],[Дата регистрации клента]]</f>
        <v>388</v>
      </c>
      <c r="Q965" s="26">
        <f t="shared" ca="1" si="31"/>
        <v>46059</v>
      </c>
      <c r="R965" s="51">
        <f ca="1">(TODAY()-Таблица1[[#This Row],[Дата регистрации клента]])/30</f>
        <v>38.200000000000003</v>
      </c>
      <c r="S965" s="63" t="str">
        <f>VLOOKUP(Таблица1[[#This Row],[id клиента]],Таблица8[[id клиента]:[Страна]],7,0)</f>
        <v>Украина</v>
      </c>
      <c r="T965" s="26"/>
    </row>
    <row r="966" spans="1:20" ht="19.5" x14ac:dyDescent="0.4">
      <c r="A966" s="41">
        <v>965</v>
      </c>
      <c r="B966" s="42">
        <v>143</v>
      </c>
      <c r="C966" s="42">
        <v>200</v>
      </c>
      <c r="D966" s="42">
        <v>4</v>
      </c>
      <c r="E966" s="42">
        <v>800</v>
      </c>
      <c r="F966" s="43">
        <v>45306</v>
      </c>
      <c r="G966" s="42" t="s">
        <v>8</v>
      </c>
      <c r="H966" s="42">
        <v>379</v>
      </c>
      <c r="I966" s="42" t="str">
        <f>VLOOKUP(продажи!$B966,товар!$A$1:$C$433,2)</f>
        <v>Сахар</v>
      </c>
      <c r="J966" s="42" t="str">
        <f>VLOOKUP(B966,товар!$A$1:$C$433,3)</f>
        <v>Агросахар</v>
      </c>
      <c r="K966" s="44">
        <f>AVERAGEIF(продажи!$I$2:$I$1001,продажи!$I$2:$I$1001,продажи!$C$2:$C$1001)</f>
        <v>254.58333333333334</v>
      </c>
      <c r="L966" s="45">
        <f>продажи!$C966/продажи!$K966-1</f>
        <v>-0.21440261865793786</v>
      </c>
      <c r="M966" s="33">
        <f t="shared" si="30"/>
        <v>1511</v>
      </c>
      <c r="N966" s="24">
        <f>Таблица1[[#This Row],[цена за шт в рублях]]/Таблица1[[#This Row],[средняя стоимость в категории по поставщику.]]-1</f>
        <v>-0.86763732627399071</v>
      </c>
      <c r="O966" s="26">
        <f>VLOOKUP(Таблица1[[#This Row],[id клиента]],клиенты!$A$2:$E$435,5,0)</f>
        <v>44581</v>
      </c>
      <c r="P966">
        <f>Таблица1[[#This Row],[дата создания чека]]-Таблица1[[#This Row],[Дата регистрации клента]]</f>
        <v>725</v>
      </c>
      <c r="Q966" s="26">
        <f t="shared" ca="1" si="31"/>
        <v>46059</v>
      </c>
      <c r="R966" s="51">
        <f ca="1">(TODAY()-Таблица1[[#This Row],[Дата регистрации клента]])/30</f>
        <v>49.266666666666666</v>
      </c>
      <c r="S966" s="63" t="str">
        <f>VLOOKUP(Таблица1[[#This Row],[id клиента]],Таблица8[[id клиента]:[Страна]],7,0)</f>
        <v>Таджикистан</v>
      </c>
      <c r="T966" s="26"/>
    </row>
    <row r="967" spans="1:20" ht="19.5" x14ac:dyDescent="0.4">
      <c r="A967" s="37">
        <v>966</v>
      </c>
      <c r="B967" s="31">
        <v>168</v>
      </c>
      <c r="C967" s="31">
        <v>206</v>
      </c>
      <c r="D967" s="31">
        <v>4</v>
      </c>
      <c r="E967" s="31">
        <v>824</v>
      </c>
      <c r="F967" s="38">
        <v>45243</v>
      </c>
      <c r="G967" s="31" t="s">
        <v>22</v>
      </c>
      <c r="H967" s="31">
        <v>136</v>
      </c>
      <c r="I967" s="31" t="str">
        <f>VLOOKUP(продажи!$B967,товар!$A$1:$C$433,2)</f>
        <v>Крупа</v>
      </c>
      <c r="J967" s="31" t="str">
        <f>VLOOKUP(B967,товар!$A$1:$C$433,3)</f>
        <v>Ярмарка</v>
      </c>
      <c r="K967" s="39">
        <f>AVERAGEIF(продажи!$I$2:$I$1001,продажи!$I$2:$I$1001,продажи!$C$2:$C$1001)</f>
        <v>255.11627906976744</v>
      </c>
      <c r="L967" s="40">
        <f>продажи!$C967/продажи!$K967-1</f>
        <v>-0.1925250683682771</v>
      </c>
      <c r="M967" s="33">
        <f t="shared" si="30"/>
        <v>2773</v>
      </c>
      <c r="N967" s="24">
        <f>Таблица1[[#This Row],[цена за шт в рублях]]/Таблица1[[#This Row],[средняя стоимость в категории по поставщику.]]-1</f>
        <v>-0.92571222502704653</v>
      </c>
      <c r="O967" s="26">
        <f>VLOOKUP(Таблица1[[#This Row],[id клиента]],клиенты!$A$2:$E$435,5,0)</f>
        <v>44860</v>
      </c>
      <c r="P967">
        <f>Таблица1[[#This Row],[дата создания чека]]-Таблица1[[#This Row],[Дата регистрации клента]]</f>
        <v>383</v>
      </c>
      <c r="Q967" s="26">
        <f t="shared" ca="1" si="31"/>
        <v>46059</v>
      </c>
      <c r="R967" s="51">
        <f ca="1">(TODAY()-Таблица1[[#This Row],[Дата регистрации клента]])/30</f>
        <v>39.966666666666669</v>
      </c>
      <c r="S967" s="63" t="str">
        <f>VLOOKUP(Таблица1[[#This Row],[id клиента]],Таблица8[[id клиента]:[Страна]],7,0)</f>
        <v>Украина</v>
      </c>
      <c r="T967" s="26"/>
    </row>
    <row r="968" spans="1:20" ht="19.5" x14ac:dyDescent="0.4">
      <c r="A968" s="41">
        <v>967</v>
      </c>
      <c r="B968" s="42">
        <v>435</v>
      </c>
      <c r="C968" s="42">
        <v>116</v>
      </c>
      <c r="D968" s="42">
        <v>4</v>
      </c>
      <c r="E968" s="42">
        <v>464</v>
      </c>
      <c r="F968" s="43">
        <v>45037</v>
      </c>
      <c r="G968" s="42" t="s">
        <v>22</v>
      </c>
      <c r="H968" s="42">
        <v>20</v>
      </c>
      <c r="I968" s="42" t="str">
        <f>VLOOKUP(продажи!$B968,товар!$A$1:$C$433,2)</f>
        <v>Мясо</v>
      </c>
      <c r="J968" s="42" t="str">
        <f>VLOOKUP(B968,товар!$A$1:$C$433,3)</f>
        <v>Снежана</v>
      </c>
      <c r="K968" s="44">
        <f>AVERAGEIF(продажи!$I$2:$I$1001,продажи!$I$2:$I$1001,продажи!$C$2:$C$1001)</f>
        <v>271.74545454545455</v>
      </c>
      <c r="L968" s="45">
        <f>продажи!$C968/продажи!$K968-1</f>
        <v>-0.57312993443061688</v>
      </c>
      <c r="M968" s="33">
        <f t="shared" si="30"/>
        <v>4630</v>
      </c>
      <c r="N968" s="24">
        <f>Таблица1[[#This Row],[цена за шт в рублях]]/Таблица1[[#This Row],[средняя стоимость в категории по поставщику.]]-1</f>
        <v>-0.97494600431965439</v>
      </c>
      <c r="O968" s="26">
        <f>VLOOKUP(Таблица1[[#This Row],[id клиента]],клиенты!$A$2:$E$435,5,0)</f>
        <v>44691</v>
      </c>
      <c r="P968">
        <f>Таблица1[[#This Row],[дата создания чека]]-Таблица1[[#This Row],[Дата регистрации клента]]</f>
        <v>346</v>
      </c>
      <c r="Q968" s="26">
        <f t="shared" ca="1" si="31"/>
        <v>46059</v>
      </c>
      <c r="R968" s="51">
        <f ca="1">(TODAY()-Таблица1[[#This Row],[Дата регистрации клента]])/30</f>
        <v>45.6</v>
      </c>
      <c r="S968" s="63" t="str">
        <f>VLOOKUP(Таблица1[[#This Row],[id клиента]],Таблица8[[id клиента]:[Страна]],7,0)</f>
        <v>Узбекистан</v>
      </c>
      <c r="T968" s="26"/>
    </row>
    <row r="969" spans="1:20" ht="19.5" x14ac:dyDescent="0.4">
      <c r="A969" s="37">
        <v>968</v>
      </c>
      <c r="B969" s="31">
        <v>375</v>
      </c>
      <c r="C969" s="31">
        <v>212</v>
      </c>
      <c r="D969" s="31">
        <v>3</v>
      </c>
      <c r="E969" s="31">
        <v>636</v>
      </c>
      <c r="F969" s="38">
        <v>45009</v>
      </c>
      <c r="G969" s="31" t="s">
        <v>27</v>
      </c>
      <c r="H969" s="31">
        <v>369</v>
      </c>
      <c r="I969" s="31" t="str">
        <f>VLOOKUP(продажи!$B969,товар!$A$1:$C$433,2)</f>
        <v>Макароны</v>
      </c>
      <c r="J969" s="31" t="str">
        <f>VLOOKUP(B969,товар!$A$1:$C$433,3)</f>
        <v>Борилла</v>
      </c>
      <c r="K969" s="39">
        <f>AVERAGEIF(продажи!$I$2:$I$1001,продажи!$I$2:$I$1001,продажи!$C$2:$C$1001)</f>
        <v>265.47674418604652</v>
      </c>
      <c r="L969" s="40">
        <f>продажи!$C969/продажи!$K969-1</f>
        <v>-0.20143664316061494</v>
      </c>
      <c r="M969" s="33">
        <f t="shared" si="30"/>
        <v>6852</v>
      </c>
      <c r="N969" s="24">
        <f>Таблица1[[#This Row],[цена за шт в рублях]]/Таблица1[[#This Row],[средняя стоимость в категории по поставщику.]]-1</f>
        <v>-0.96906012842965561</v>
      </c>
      <c r="O969" s="26">
        <f>VLOOKUP(Таблица1[[#This Row],[id клиента]],клиенты!$A$2:$E$435,5,0)</f>
        <v>44678</v>
      </c>
      <c r="P969">
        <f>Таблица1[[#This Row],[дата создания чека]]-Таблица1[[#This Row],[Дата регистрации клента]]</f>
        <v>331</v>
      </c>
      <c r="Q969" s="26">
        <f t="shared" ca="1" si="31"/>
        <v>46059</v>
      </c>
      <c r="R969" s="51">
        <f ca="1">(TODAY()-Таблица1[[#This Row],[Дата регистрации клента]])/30</f>
        <v>46.033333333333331</v>
      </c>
      <c r="S969" s="63" t="str">
        <f>VLOOKUP(Таблица1[[#This Row],[id клиента]],Таблица8[[id клиента]:[Страна]],7,0)</f>
        <v>Россия</v>
      </c>
      <c r="T969" s="26"/>
    </row>
    <row r="970" spans="1:20" ht="19.5" x14ac:dyDescent="0.4">
      <c r="A970" s="41">
        <v>969</v>
      </c>
      <c r="B970" s="42">
        <v>416</v>
      </c>
      <c r="C970" s="42">
        <v>202</v>
      </c>
      <c r="D970" s="42">
        <v>4</v>
      </c>
      <c r="E970" s="42">
        <v>808</v>
      </c>
      <c r="F970" s="43">
        <v>45285</v>
      </c>
      <c r="G970" s="42" t="s">
        <v>11</v>
      </c>
      <c r="H970" s="42">
        <v>499</v>
      </c>
      <c r="I970" s="42" t="str">
        <f>VLOOKUP(продажи!$B970,товар!$A$1:$C$433,2)</f>
        <v>Рыба</v>
      </c>
      <c r="J970" s="42" t="str">
        <f>VLOOKUP(B970,товар!$A$1:$C$433,3)</f>
        <v>Меридиан</v>
      </c>
      <c r="K970" s="44">
        <f>AVERAGEIF(продажи!$I$2:$I$1001,продажи!$I$2:$I$1001,продажи!$C$2:$C$1001)</f>
        <v>258.5128205128205</v>
      </c>
      <c r="L970" s="45">
        <f>продажи!$C970/продажи!$K970-1</f>
        <v>-0.21860741916286441</v>
      </c>
      <c r="M970" s="33">
        <f t="shared" si="30"/>
        <v>4431</v>
      </c>
      <c r="N970" s="24">
        <f>Таблица1[[#This Row],[цена за шт в рублях]]/Таблица1[[#This Row],[средняя стоимость в категории по поставщику.]]-1</f>
        <v>-0.95441209659219139</v>
      </c>
      <c r="O970" s="26">
        <f>VLOOKUP(Таблица1[[#This Row],[id клиента]],клиенты!$A$2:$E$435,5,0)</f>
        <v>44798</v>
      </c>
      <c r="P970">
        <f>Таблица1[[#This Row],[дата создания чека]]-Таблица1[[#This Row],[Дата регистрации клента]]</f>
        <v>487</v>
      </c>
      <c r="Q970" s="26">
        <f t="shared" ca="1" si="31"/>
        <v>46059</v>
      </c>
      <c r="R970" s="51">
        <f ca="1">(TODAY()-Таблица1[[#This Row],[Дата регистрации клента]])/30</f>
        <v>42.033333333333331</v>
      </c>
      <c r="S970" s="63" t="str">
        <f>VLOOKUP(Таблица1[[#This Row],[id клиента]],Таблица8[[id клиента]:[Страна]],7,0)</f>
        <v>Беларусь</v>
      </c>
      <c r="T970" s="26"/>
    </row>
    <row r="971" spans="1:20" ht="19.5" x14ac:dyDescent="0.4">
      <c r="A971" s="37">
        <v>970</v>
      </c>
      <c r="B971" s="31">
        <v>25</v>
      </c>
      <c r="C971" s="31">
        <v>332</v>
      </c>
      <c r="D971" s="31">
        <v>3</v>
      </c>
      <c r="E971" s="31">
        <v>996</v>
      </c>
      <c r="F971" s="38">
        <v>45164</v>
      </c>
      <c r="G971" s="31" t="s">
        <v>17</v>
      </c>
      <c r="H971" s="31">
        <v>153</v>
      </c>
      <c r="I971" s="31" t="str">
        <f>VLOOKUP(продажи!$B971,товар!$A$1:$C$433,2)</f>
        <v>Чипсы</v>
      </c>
      <c r="J971" s="31" t="str">
        <f>VLOOKUP(B971,товар!$A$1:$C$433,3)</f>
        <v>Русская картошка</v>
      </c>
      <c r="K971" s="39">
        <f>AVERAGEIF(продажи!$I$2:$I$1001,продажи!$I$2:$I$1001,продажи!$C$2:$C$1001)</f>
        <v>273.72549019607845</v>
      </c>
      <c r="L971" s="40">
        <f>продажи!$C971/продажи!$K971-1</f>
        <v>0.21289398280802274</v>
      </c>
      <c r="M971" s="33">
        <f t="shared" si="30"/>
        <v>2902</v>
      </c>
      <c r="N971" s="24">
        <f>Таблица1[[#This Row],[цена за шт в рублях]]/Таблица1[[#This Row],[средняя стоимость в категории по поставщику.]]-1</f>
        <v>-0.88559614059269465</v>
      </c>
      <c r="O971" s="26">
        <f>VLOOKUP(Таблица1[[#This Row],[id клиента]],клиенты!$A$2:$E$435,5,0)</f>
        <v>44802</v>
      </c>
      <c r="P971">
        <f>Таблица1[[#This Row],[дата создания чека]]-Таблица1[[#This Row],[Дата регистрации клента]]</f>
        <v>362</v>
      </c>
      <c r="Q971" s="26">
        <f t="shared" ca="1" si="31"/>
        <v>46059</v>
      </c>
      <c r="R971" s="51">
        <f ca="1">(TODAY()-Таблица1[[#This Row],[Дата регистрации клента]])/30</f>
        <v>41.9</v>
      </c>
      <c r="S971" s="63" t="str">
        <f>VLOOKUP(Таблица1[[#This Row],[id клиента]],Таблица8[[id клиента]:[Страна]],7,0)</f>
        <v>Россия</v>
      </c>
      <c r="T971" s="26"/>
    </row>
    <row r="972" spans="1:20" ht="19.5" x14ac:dyDescent="0.4">
      <c r="A972" s="41">
        <v>971</v>
      </c>
      <c r="B972" s="42">
        <v>236</v>
      </c>
      <c r="C972" s="42">
        <v>420</v>
      </c>
      <c r="D972" s="42">
        <v>5</v>
      </c>
      <c r="E972" s="42">
        <v>2100</v>
      </c>
      <c r="F972" s="43">
        <v>45260</v>
      </c>
      <c r="G972" s="42" t="s">
        <v>18</v>
      </c>
      <c r="H972" s="42">
        <v>34</v>
      </c>
      <c r="I972" s="42" t="str">
        <f>VLOOKUP(продажи!$B972,товар!$A$1:$C$433,2)</f>
        <v>Печенье</v>
      </c>
      <c r="J972" s="42" t="str">
        <f>VLOOKUP(B972,товар!$A$1:$C$433,3)</f>
        <v>Посиделкино</v>
      </c>
      <c r="K972" s="44">
        <f>AVERAGEIF(продажи!$I$2:$I$1001,продажи!$I$2:$I$1001,продажи!$C$2:$C$1001)</f>
        <v>283.468085106383</v>
      </c>
      <c r="L972" s="45">
        <f>продажи!$C972/продажи!$K972-1</f>
        <v>0.48164827741499661</v>
      </c>
      <c r="M972" s="33">
        <f t="shared" si="30"/>
        <v>3538</v>
      </c>
      <c r="N972" s="24">
        <f>Таблица1[[#This Row],[цена за шт в рублях]]/Таблица1[[#This Row],[средняя стоимость в категории по поставщику.]]-1</f>
        <v>-0.88128886376483884</v>
      </c>
      <c r="O972" s="26">
        <f>VLOOKUP(Таблица1[[#This Row],[id клиента]],клиенты!$A$2:$E$435,5,0)</f>
        <v>44654</v>
      </c>
      <c r="P972">
        <f>Таблица1[[#This Row],[дата создания чека]]-Таблица1[[#This Row],[Дата регистрации клента]]</f>
        <v>606</v>
      </c>
      <c r="Q972" s="26">
        <f t="shared" ca="1" si="31"/>
        <v>46059</v>
      </c>
      <c r="R972" s="51">
        <f ca="1">(TODAY()-Таблица1[[#This Row],[Дата регистрации клента]])/30</f>
        <v>46.833333333333336</v>
      </c>
      <c r="S972" s="63" t="str">
        <f>VLOOKUP(Таблица1[[#This Row],[id клиента]],Таблица8[[id клиента]:[Страна]],7,0)</f>
        <v>Таджикистан</v>
      </c>
      <c r="T972" s="26"/>
    </row>
    <row r="973" spans="1:20" ht="19.5" x14ac:dyDescent="0.4">
      <c r="A973" s="37">
        <v>972</v>
      </c>
      <c r="B973" s="31">
        <v>418</v>
      </c>
      <c r="C973" s="31">
        <v>139</v>
      </c>
      <c r="D973" s="31">
        <v>2</v>
      </c>
      <c r="E973" s="31">
        <v>278</v>
      </c>
      <c r="F973" s="38">
        <v>45395</v>
      </c>
      <c r="G973" s="31" t="s">
        <v>25</v>
      </c>
      <c r="H973" s="31">
        <v>337</v>
      </c>
      <c r="I973" s="31" t="str">
        <f>VLOOKUP(продажи!$B973,товар!$A$1:$C$433,2)</f>
        <v>Фрукты</v>
      </c>
      <c r="J973" s="31" t="str">
        <f>VLOOKUP(B973,товар!$A$1:$C$433,3)</f>
        <v>Green Garden</v>
      </c>
      <c r="K973" s="39">
        <f>AVERAGEIF(продажи!$I$2:$I$1001,продажи!$I$2:$I$1001,продажи!$C$2:$C$1001)</f>
        <v>274.16279069767444</v>
      </c>
      <c r="L973" s="40">
        <f>продажи!$C973/продажи!$K973-1</f>
        <v>-0.49300195097124444</v>
      </c>
      <c r="M973" s="33">
        <f t="shared" si="30"/>
        <v>1846</v>
      </c>
      <c r="N973" s="24">
        <f>Таблица1[[#This Row],[цена за шт в рублях]]/Таблица1[[#This Row],[средняя стоимость в категории по поставщику.]]-1</f>
        <v>-0.92470205850487541</v>
      </c>
      <c r="O973" s="26">
        <f>VLOOKUP(Таблица1[[#This Row],[id клиента]],клиенты!$A$2:$E$435,5,0)</f>
        <v>44875</v>
      </c>
      <c r="P973">
        <f>Таблица1[[#This Row],[дата создания чека]]-Таблица1[[#This Row],[Дата регистрации клента]]</f>
        <v>520</v>
      </c>
      <c r="Q973" s="26">
        <f t="shared" ca="1" si="31"/>
        <v>46059</v>
      </c>
      <c r="R973" s="51">
        <f ca="1">(TODAY()-Таблица1[[#This Row],[Дата регистрации клента]])/30</f>
        <v>39.466666666666669</v>
      </c>
      <c r="S973" s="63" t="str">
        <f>VLOOKUP(Таблица1[[#This Row],[id клиента]],Таблица8[[id клиента]:[Страна]],7,0)</f>
        <v>Россия</v>
      </c>
      <c r="T973" s="26"/>
    </row>
    <row r="974" spans="1:20" ht="19.5" x14ac:dyDescent="0.4">
      <c r="A974" s="41">
        <v>973</v>
      </c>
      <c r="B974" s="42">
        <v>141</v>
      </c>
      <c r="C974" s="42">
        <v>112</v>
      </c>
      <c r="D974" s="42">
        <v>4</v>
      </c>
      <c r="E974" s="42">
        <v>448</v>
      </c>
      <c r="F974" s="43">
        <v>45032</v>
      </c>
      <c r="G974" s="42" t="s">
        <v>21</v>
      </c>
      <c r="H974" s="42">
        <v>200</v>
      </c>
      <c r="I974" s="42" t="str">
        <f>VLOOKUP(продажи!$B974,товар!$A$1:$C$433,2)</f>
        <v>Фрукты</v>
      </c>
      <c r="J974" s="42" t="str">
        <f>VLOOKUP(B974,товар!$A$1:$C$433,3)</f>
        <v>Фруктовый Рай</v>
      </c>
      <c r="K974" s="44">
        <f>AVERAGEIF(продажи!$I$2:$I$1001,продажи!$I$2:$I$1001,продажи!$C$2:$C$1001)</f>
        <v>274.16279069767444</v>
      </c>
      <c r="L974" s="45">
        <f>продажи!$C974/продажи!$K974-1</f>
        <v>-0.59148358639409615</v>
      </c>
      <c r="M974" s="33">
        <f t="shared" si="30"/>
        <v>3358</v>
      </c>
      <c r="N974" s="24">
        <f>Таблица1[[#This Row],[цена за шт в рублях]]/Таблица1[[#This Row],[средняя стоимость в категории по поставщику.]]-1</f>
        <v>-0.96664681357951165</v>
      </c>
      <c r="O974" s="26">
        <f>VLOOKUP(Таблица1[[#This Row],[id клиента]],клиенты!$A$2:$E$435,5,0)</f>
        <v>44783</v>
      </c>
      <c r="P974">
        <f>Таблица1[[#This Row],[дата создания чека]]-Таблица1[[#This Row],[Дата регистрации клента]]</f>
        <v>249</v>
      </c>
      <c r="Q974" s="26">
        <f t="shared" ca="1" si="31"/>
        <v>46059</v>
      </c>
      <c r="R974" s="51">
        <f ca="1">(TODAY()-Таблица1[[#This Row],[Дата регистрации клента]])/30</f>
        <v>42.533333333333331</v>
      </c>
      <c r="S974" s="63" t="str">
        <f>VLOOKUP(Таблица1[[#This Row],[id клиента]],Таблица8[[id клиента]:[Страна]],7,0)</f>
        <v>Узбекистан</v>
      </c>
      <c r="T974" s="26"/>
    </row>
    <row r="975" spans="1:20" ht="19.5" x14ac:dyDescent="0.4">
      <c r="A975" s="37">
        <v>974</v>
      </c>
      <c r="B975" s="31">
        <v>294</v>
      </c>
      <c r="C975" s="31">
        <v>485</v>
      </c>
      <c r="D975" s="31">
        <v>3</v>
      </c>
      <c r="E975" s="31">
        <v>1455</v>
      </c>
      <c r="F975" s="38">
        <v>45330</v>
      </c>
      <c r="G975" s="31" t="s">
        <v>26</v>
      </c>
      <c r="H975" s="31">
        <v>8</v>
      </c>
      <c r="I975" s="31" t="str">
        <f>VLOOKUP(продажи!$B975,товар!$A$1:$C$433,2)</f>
        <v>Сок</v>
      </c>
      <c r="J975" s="31" t="str">
        <f>VLOOKUP(B975,товар!$A$1:$C$433,3)</f>
        <v>Фруктовый сад</v>
      </c>
      <c r="K975" s="39">
        <f>AVERAGEIF(продажи!$I$2:$I$1001,продажи!$I$2:$I$1001,продажи!$C$2:$C$1001)</f>
        <v>268.60344827586209</v>
      </c>
      <c r="L975" s="40">
        <f>продажи!$C975/продажи!$K975-1</f>
        <v>0.80563579177097355</v>
      </c>
      <c r="M975" s="33">
        <f t="shared" si="30"/>
        <v>9023</v>
      </c>
      <c r="N975" s="24">
        <f>Таблица1[[#This Row],[цена за шт в рублях]]/Таблица1[[#This Row],[средняя стоимость в категории по поставщику.]]-1</f>
        <v>-0.94624847611659091</v>
      </c>
      <c r="O975" s="26">
        <f>VLOOKUP(Таблица1[[#This Row],[id клиента]],клиенты!$A$2:$E$435,5,0)</f>
        <v>44883</v>
      </c>
      <c r="P975">
        <f>Таблица1[[#This Row],[дата создания чека]]-Таблица1[[#This Row],[Дата регистрации клента]]</f>
        <v>447</v>
      </c>
      <c r="Q975" s="26">
        <f t="shared" ca="1" si="31"/>
        <v>46059</v>
      </c>
      <c r="R975" s="51">
        <f ca="1">(TODAY()-Таблица1[[#This Row],[Дата регистрации клента]])/30</f>
        <v>39.200000000000003</v>
      </c>
      <c r="S975" s="63" t="str">
        <f>VLOOKUP(Таблица1[[#This Row],[id клиента]],Таблица8[[id клиента]:[Страна]],7,0)</f>
        <v>Беларусь</v>
      </c>
      <c r="T975" s="26"/>
    </row>
    <row r="976" spans="1:20" ht="19.5" x14ac:dyDescent="0.4">
      <c r="A976" s="41">
        <v>975</v>
      </c>
      <c r="B976" s="42">
        <v>497</v>
      </c>
      <c r="C976" s="42">
        <v>120</v>
      </c>
      <c r="D976" s="42">
        <v>1</v>
      </c>
      <c r="E976" s="42">
        <v>120</v>
      </c>
      <c r="F976" s="43">
        <v>45284</v>
      </c>
      <c r="G976" s="42" t="s">
        <v>22</v>
      </c>
      <c r="H976" s="42">
        <v>280</v>
      </c>
      <c r="I976" s="42" t="str">
        <f>VLOOKUP(продажи!$B976,товар!$A$1:$C$433,2)</f>
        <v>Конфеты</v>
      </c>
      <c r="J976" s="42" t="str">
        <f>VLOOKUP(B976,товар!$A$1:$C$433,3)</f>
        <v>Бабаевский</v>
      </c>
      <c r="K976" s="44">
        <f>AVERAGEIF(продажи!$I$2:$I$1001,продажи!$I$2:$I$1001,продажи!$C$2:$C$1001)</f>
        <v>267.85483870967744</v>
      </c>
      <c r="L976" s="45">
        <f>продажи!$C976/продажи!$K976-1</f>
        <v>-0.5519961462034082</v>
      </c>
      <c r="M976" s="33">
        <f t="shared" si="30"/>
        <v>6757</v>
      </c>
      <c r="N976" s="24">
        <f>Таблица1[[#This Row],[цена за шт в рублях]]/Таблица1[[#This Row],[средняя стоимость в категории по поставщику.]]-1</f>
        <v>-0.98224063933698391</v>
      </c>
      <c r="O976" s="26">
        <f>VLOOKUP(Таблица1[[#This Row],[id клиента]],клиенты!$A$2:$E$435,5,0)</f>
        <v>44563</v>
      </c>
      <c r="P976">
        <f>Таблица1[[#This Row],[дата создания чека]]-Таблица1[[#This Row],[Дата регистрации клента]]</f>
        <v>721</v>
      </c>
      <c r="Q976" s="26">
        <f t="shared" ca="1" si="31"/>
        <v>46059</v>
      </c>
      <c r="R976" s="51">
        <f ca="1">(TODAY()-Таблица1[[#This Row],[Дата регистрации клента]])/30</f>
        <v>49.866666666666667</v>
      </c>
      <c r="S976" s="63" t="str">
        <f>VLOOKUP(Таблица1[[#This Row],[id клиента]],Таблица8[[id клиента]:[Страна]],7,0)</f>
        <v>Россия</v>
      </c>
      <c r="T976" s="26"/>
    </row>
    <row r="977" spans="1:20" ht="19.5" x14ac:dyDescent="0.4">
      <c r="A977" s="37">
        <v>976</v>
      </c>
      <c r="B977" s="31">
        <v>359</v>
      </c>
      <c r="C977" s="31">
        <v>359</v>
      </c>
      <c r="D977" s="31">
        <v>4</v>
      </c>
      <c r="E977" s="31">
        <v>1436</v>
      </c>
      <c r="F977" s="38">
        <v>45382</v>
      </c>
      <c r="G977" s="31" t="s">
        <v>13</v>
      </c>
      <c r="H977" s="31">
        <v>94</v>
      </c>
      <c r="I977" s="31" t="str">
        <f>VLOOKUP(продажи!$B977,товар!$A$1:$C$433,2)</f>
        <v>Мясо</v>
      </c>
      <c r="J977" s="31" t="str">
        <f>VLOOKUP(B977,товар!$A$1:$C$433,3)</f>
        <v>Мираторг</v>
      </c>
      <c r="K977" s="39">
        <f>AVERAGEIF(продажи!$I$2:$I$1001,продажи!$I$2:$I$1001,продажи!$C$2:$C$1001)</f>
        <v>271.74545454545455</v>
      </c>
      <c r="L977" s="40">
        <f>продажи!$C977/продажи!$K977-1</f>
        <v>0.32108925465007365</v>
      </c>
      <c r="M977" s="33">
        <f t="shared" si="30"/>
        <v>3799</v>
      </c>
      <c r="N977" s="24">
        <f>Таблица1[[#This Row],[цена за шт в рублях]]/Таблица1[[#This Row],[средняя стоимость в категории по поставщику.]]-1</f>
        <v>-0.90550144774940777</v>
      </c>
      <c r="O977" s="26">
        <f>VLOOKUP(Таблица1[[#This Row],[id клиента]],клиенты!$A$2:$E$435,5,0)</f>
        <v>44723</v>
      </c>
      <c r="P977">
        <f>Таблица1[[#This Row],[дата создания чека]]-Таблица1[[#This Row],[Дата регистрации клента]]</f>
        <v>659</v>
      </c>
      <c r="Q977" s="26">
        <f t="shared" ca="1" si="31"/>
        <v>46059</v>
      </c>
      <c r="R977" s="51">
        <f ca="1">(TODAY()-Таблица1[[#This Row],[Дата регистрации клента]])/30</f>
        <v>44.533333333333331</v>
      </c>
      <c r="S977" s="63" t="str">
        <f>VLOOKUP(Таблица1[[#This Row],[id клиента]],Таблица8[[id клиента]:[Страна]],7,0)</f>
        <v>Украина</v>
      </c>
      <c r="T977" s="26"/>
    </row>
    <row r="978" spans="1:20" ht="19.5" x14ac:dyDescent="0.4">
      <c r="A978" s="41">
        <v>977</v>
      </c>
      <c r="B978" s="42">
        <v>175</v>
      </c>
      <c r="C978" s="42">
        <v>198</v>
      </c>
      <c r="D978" s="42">
        <v>3</v>
      </c>
      <c r="E978" s="42">
        <v>594</v>
      </c>
      <c r="F978" s="43">
        <v>45145</v>
      </c>
      <c r="G978" s="42" t="s">
        <v>11</v>
      </c>
      <c r="H978" s="42">
        <v>331</v>
      </c>
      <c r="I978" s="42" t="str">
        <f>VLOOKUP(продажи!$B978,товар!$A$1:$C$433,2)</f>
        <v>Овощи</v>
      </c>
      <c r="J978" s="42" t="str">
        <f>VLOOKUP(B978,товар!$A$1:$C$433,3)</f>
        <v>Семко</v>
      </c>
      <c r="K978" s="44">
        <f>AVERAGEIF(продажи!$I$2:$I$1001,продажи!$I$2:$I$1001,продажи!$C$2:$C$1001)</f>
        <v>250.48780487804879</v>
      </c>
      <c r="L978" s="45">
        <f>продажи!$C978/продажи!$K978-1</f>
        <v>-0.2095423563777995</v>
      </c>
      <c r="M978" s="33">
        <f t="shared" si="30"/>
        <v>2080</v>
      </c>
      <c r="N978" s="24">
        <f>Таблица1[[#This Row],[цена за шт в рублях]]/Таблица1[[#This Row],[средняя стоимость в категории по поставщику.]]-1</f>
        <v>-0.90480769230769231</v>
      </c>
      <c r="O978" s="26">
        <f>VLOOKUP(Таблица1[[#This Row],[id клиента]],клиенты!$A$2:$E$435,5,0)</f>
        <v>44813</v>
      </c>
      <c r="P978">
        <f>Таблица1[[#This Row],[дата создания чека]]-Таблица1[[#This Row],[Дата регистрации клента]]</f>
        <v>332</v>
      </c>
      <c r="Q978" s="26">
        <f t="shared" ca="1" si="31"/>
        <v>46059</v>
      </c>
      <c r="R978" s="51">
        <f ca="1">(TODAY()-Таблица1[[#This Row],[Дата регистрации клента]])/30</f>
        <v>41.533333333333331</v>
      </c>
      <c r="S978" s="63" t="str">
        <f>VLOOKUP(Таблица1[[#This Row],[id клиента]],Таблица8[[id клиента]:[Страна]],7,0)</f>
        <v>Узбекистан</v>
      </c>
      <c r="T978" s="26"/>
    </row>
    <row r="979" spans="1:20" ht="19.5" x14ac:dyDescent="0.4">
      <c r="A979" s="37">
        <v>978</v>
      </c>
      <c r="B979" s="31">
        <v>236</v>
      </c>
      <c r="C979" s="31">
        <v>363</v>
      </c>
      <c r="D979" s="31">
        <v>4</v>
      </c>
      <c r="E979" s="31">
        <v>1452</v>
      </c>
      <c r="F979" s="38">
        <v>45168</v>
      </c>
      <c r="G979" s="31" t="s">
        <v>9</v>
      </c>
      <c r="H979" s="31">
        <v>405</v>
      </c>
      <c r="I979" s="31" t="str">
        <f>VLOOKUP(продажи!$B979,товар!$A$1:$C$433,2)</f>
        <v>Печенье</v>
      </c>
      <c r="J979" s="31" t="str">
        <f>VLOOKUP(B979,товар!$A$1:$C$433,3)</f>
        <v>Посиделкино</v>
      </c>
      <c r="K979" s="39">
        <f>AVERAGEIF(продажи!$I$2:$I$1001,продажи!$I$2:$I$1001,продажи!$C$2:$C$1001)</f>
        <v>283.468085106383</v>
      </c>
      <c r="L979" s="40">
        <f>продажи!$C979/продажи!$K979-1</f>
        <v>0.28056743976581844</v>
      </c>
      <c r="M979" s="33">
        <f t="shared" si="30"/>
        <v>3538</v>
      </c>
      <c r="N979" s="24">
        <f>Таблица1[[#This Row],[цена за шт в рублях]]/Таблица1[[#This Row],[средняя стоимость в категории по поставщику.]]-1</f>
        <v>-0.89739966082532507</v>
      </c>
      <c r="O979" s="26">
        <f>VLOOKUP(Таблица1[[#This Row],[id клиента]],клиенты!$A$2:$E$435,5,0)</f>
        <v>44798</v>
      </c>
      <c r="P979">
        <f>Таблица1[[#This Row],[дата создания чека]]-Таблица1[[#This Row],[Дата регистрации клента]]</f>
        <v>370</v>
      </c>
      <c r="Q979" s="26">
        <f t="shared" ca="1" si="31"/>
        <v>46059</v>
      </c>
      <c r="R979" s="51">
        <f ca="1">(TODAY()-Таблица1[[#This Row],[Дата регистрации клента]])/30</f>
        <v>42.033333333333331</v>
      </c>
      <c r="S979" s="63" t="str">
        <f>VLOOKUP(Таблица1[[#This Row],[id клиента]],Таблица8[[id клиента]:[Страна]],7,0)</f>
        <v>Украина</v>
      </c>
      <c r="T979" s="26"/>
    </row>
    <row r="980" spans="1:20" ht="19.5" x14ac:dyDescent="0.4">
      <c r="A980" s="41">
        <v>979</v>
      </c>
      <c r="B980" s="42">
        <v>195</v>
      </c>
      <c r="C980" s="42">
        <v>103</v>
      </c>
      <c r="D980" s="42">
        <v>1</v>
      </c>
      <c r="E980" s="42">
        <v>103</v>
      </c>
      <c r="F980" s="43">
        <v>44997</v>
      </c>
      <c r="G980" s="42" t="s">
        <v>15</v>
      </c>
      <c r="H980" s="42">
        <v>42</v>
      </c>
      <c r="I980" s="42" t="str">
        <f>VLOOKUP(продажи!$B980,товар!$A$1:$C$433,2)</f>
        <v>Хлеб</v>
      </c>
      <c r="J980" s="42" t="str">
        <f>VLOOKUP(B980,товар!$A$1:$C$433,3)</f>
        <v>Каравай</v>
      </c>
      <c r="K980" s="44">
        <f>AVERAGEIF(продажи!$I$2:$I$1001,продажи!$I$2:$I$1001,продажи!$C$2:$C$1001)</f>
        <v>300.31818181818181</v>
      </c>
      <c r="L980" s="45">
        <f>продажи!$C980/продажи!$K980-1</f>
        <v>-0.65703042227940056</v>
      </c>
      <c r="M980" s="33">
        <f t="shared" si="30"/>
        <v>3974</v>
      </c>
      <c r="N980" s="24">
        <f>Таблица1[[#This Row],[цена за шт в рублях]]/Таблица1[[#This Row],[средняя стоимость в категории по поставщику.]]-1</f>
        <v>-0.97408152994464015</v>
      </c>
      <c r="O980" s="26">
        <f>VLOOKUP(Таблица1[[#This Row],[id клиента]],клиенты!$A$2:$E$435,5,0)</f>
        <v>44783</v>
      </c>
      <c r="P980">
        <f>Таблица1[[#This Row],[дата создания чека]]-Таблица1[[#This Row],[Дата регистрации клента]]</f>
        <v>214</v>
      </c>
      <c r="Q980" s="26">
        <f t="shared" ca="1" si="31"/>
        <v>46059</v>
      </c>
      <c r="R980" s="51">
        <f ca="1">(TODAY()-Таблица1[[#This Row],[Дата регистрации клента]])/30</f>
        <v>42.533333333333331</v>
      </c>
      <c r="S980" s="63" t="str">
        <f>VLOOKUP(Таблица1[[#This Row],[id клиента]],Таблица8[[id клиента]:[Страна]],7,0)</f>
        <v>Таджикистан</v>
      </c>
      <c r="T980" s="26"/>
    </row>
    <row r="981" spans="1:20" ht="19.5" x14ac:dyDescent="0.4">
      <c r="A981" s="37">
        <v>980</v>
      </c>
      <c r="B981" s="31">
        <v>364</v>
      </c>
      <c r="C981" s="31">
        <v>401</v>
      </c>
      <c r="D981" s="31">
        <v>2</v>
      </c>
      <c r="E981" s="31">
        <v>802</v>
      </c>
      <c r="F981" s="38">
        <v>45081</v>
      </c>
      <c r="G981" s="31" t="s">
        <v>25</v>
      </c>
      <c r="H981" s="31">
        <v>271</v>
      </c>
      <c r="I981" s="31" t="str">
        <f>VLOOKUP(продажи!$B981,товар!$A$1:$C$433,2)</f>
        <v>Сахар</v>
      </c>
      <c r="J981" s="31" t="str">
        <f>VLOOKUP(B981,товар!$A$1:$C$433,3)</f>
        <v>Русский сахар</v>
      </c>
      <c r="K981" s="39">
        <f>AVERAGEIF(продажи!$I$2:$I$1001,продажи!$I$2:$I$1001,продажи!$C$2:$C$1001)</f>
        <v>254.58333333333334</v>
      </c>
      <c r="L981" s="40">
        <f>продажи!$C981/продажи!$K981-1</f>
        <v>0.57512274959083465</v>
      </c>
      <c r="M981" s="33">
        <f t="shared" si="30"/>
        <v>4988</v>
      </c>
      <c r="N981" s="24">
        <f>Таблица1[[#This Row],[цена за шт в рублях]]/Таблица1[[#This Row],[средняя стоимость в категории по поставщику.]]-1</f>
        <v>-0.9196070569366479</v>
      </c>
      <c r="O981" s="26">
        <f>VLOOKUP(Таблица1[[#This Row],[id клиента]],клиенты!$A$2:$E$435,5,0)</f>
        <v>44892</v>
      </c>
      <c r="P981">
        <f>Таблица1[[#This Row],[дата создания чека]]-Таблица1[[#This Row],[Дата регистрации клента]]</f>
        <v>189</v>
      </c>
      <c r="Q981" s="26">
        <f t="shared" ca="1" si="31"/>
        <v>46059</v>
      </c>
      <c r="R981" s="51">
        <f ca="1">(TODAY()-Таблица1[[#This Row],[Дата регистрации клента]])/30</f>
        <v>38.9</v>
      </c>
      <c r="S981" s="63" t="str">
        <f>VLOOKUP(Таблица1[[#This Row],[id клиента]],Таблица8[[id клиента]:[Страна]],7,0)</f>
        <v>Беларусь</v>
      </c>
      <c r="T981" s="26"/>
    </row>
    <row r="982" spans="1:20" ht="19.5" x14ac:dyDescent="0.4">
      <c r="A982" s="41">
        <v>981</v>
      </c>
      <c r="B982" s="42">
        <v>347</v>
      </c>
      <c r="C982" s="42">
        <v>139</v>
      </c>
      <c r="D982" s="42">
        <v>1</v>
      </c>
      <c r="E982" s="42">
        <v>139</v>
      </c>
      <c r="F982" s="43">
        <v>45318</v>
      </c>
      <c r="G982" s="42" t="s">
        <v>21</v>
      </c>
      <c r="H982" s="42">
        <v>56</v>
      </c>
      <c r="I982" s="42" t="str">
        <f>VLOOKUP(продажи!$B982,товар!$A$1:$C$433,2)</f>
        <v>Макароны</v>
      </c>
      <c r="J982" s="42" t="str">
        <f>VLOOKUP(B982,товар!$A$1:$C$433,3)</f>
        <v>Паста Зара</v>
      </c>
      <c r="K982" s="44">
        <f>AVERAGEIF(продажи!$I$2:$I$1001,продажи!$I$2:$I$1001,продажи!$C$2:$C$1001)</f>
        <v>265.47674418604652</v>
      </c>
      <c r="L982" s="45">
        <f>продажи!$C982/продажи!$K982-1</f>
        <v>-0.47641364811002584</v>
      </c>
      <c r="M982" s="33">
        <f t="shared" si="30"/>
        <v>10237</v>
      </c>
      <c r="N982" s="24">
        <f>Таблица1[[#This Row],[цена за шт в рублях]]/Таблица1[[#This Row],[средняя стоимость в категории по поставщику.]]-1</f>
        <v>-0.98642180326267459</v>
      </c>
      <c r="O982" s="26">
        <f>VLOOKUP(Таблица1[[#This Row],[id клиента]],клиенты!$A$2:$E$435,5,0)</f>
        <v>44662</v>
      </c>
      <c r="P982">
        <f>Таблица1[[#This Row],[дата создания чека]]-Таблица1[[#This Row],[Дата регистрации клента]]</f>
        <v>656</v>
      </c>
      <c r="Q982" s="26">
        <f t="shared" ca="1" si="31"/>
        <v>46059</v>
      </c>
      <c r="R982" s="51">
        <f ca="1">(TODAY()-Таблица1[[#This Row],[Дата регистрации клента]])/30</f>
        <v>46.56666666666667</v>
      </c>
      <c r="S982" s="63" t="str">
        <f>VLOOKUP(Таблица1[[#This Row],[id клиента]],Таблица8[[id клиента]:[Страна]],7,0)</f>
        <v>Таджикистан</v>
      </c>
      <c r="T982" s="26"/>
    </row>
    <row r="983" spans="1:20" ht="19.5" x14ac:dyDescent="0.4">
      <c r="A983" s="37">
        <v>982</v>
      </c>
      <c r="B983" s="31">
        <v>149</v>
      </c>
      <c r="C983" s="31">
        <v>468</v>
      </c>
      <c r="D983" s="31">
        <v>1</v>
      </c>
      <c r="E983" s="31">
        <v>468</v>
      </c>
      <c r="F983" s="38">
        <v>45377</v>
      </c>
      <c r="G983" s="31" t="s">
        <v>10</v>
      </c>
      <c r="H983" s="31">
        <v>427</v>
      </c>
      <c r="I983" s="31" t="str">
        <f>VLOOKUP(продажи!$B983,товар!$A$1:$C$433,2)</f>
        <v>Конфеты</v>
      </c>
      <c r="J983" s="31" t="str">
        <f>VLOOKUP(B983,товар!$A$1:$C$433,3)</f>
        <v>Бабаевский</v>
      </c>
      <c r="K983" s="39">
        <f>AVERAGEIF(продажи!$I$2:$I$1001,продажи!$I$2:$I$1001,продажи!$C$2:$C$1001)</f>
        <v>267.85483870967744</v>
      </c>
      <c r="L983" s="40">
        <f>продажи!$C983/продажи!$K983-1</f>
        <v>0.74721502980670795</v>
      </c>
      <c r="M983" s="33">
        <f t="shared" si="30"/>
        <v>6757</v>
      </c>
      <c r="N983" s="24">
        <f>Таблица1[[#This Row],[цена за шт в рублях]]/Таблица1[[#This Row],[средняя стоимость в категории по поставщику.]]-1</f>
        <v>-0.93073849341423709</v>
      </c>
      <c r="O983" s="26">
        <f>VLOOKUP(Таблица1[[#This Row],[id клиента]],клиенты!$A$2:$E$435,5,0)</f>
        <v>44834</v>
      </c>
      <c r="P983">
        <f>Таблица1[[#This Row],[дата создания чека]]-Таблица1[[#This Row],[Дата регистрации клента]]</f>
        <v>543</v>
      </c>
      <c r="Q983" s="26">
        <f t="shared" ca="1" si="31"/>
        <v>46059</v>
      </c>
      <c r="R983" s="51">
        <f ca="1">(TODAY()-Таблица1[[#This Row],[Дата регистрации клента]])/30</f>
        <v>40.833333333333336</v>
      </c>
      <c r="S983" s="63" t="str">
        <f>VLOOKUP(Таблица1[[#This Row],[id клиента]],Таблица8[[id клиента]:[Страна]],7,0)</f>
        <v>Россия</v>
      </c>
      <c r="T983" s="26"/>
    </row>
    <row r="984" spans="1:20" ht="19.5" x14ac:dyDescent="0.4">
      <c r="A984" s="41">
        <v>983</v>
      </c>
      <c r="B984" s="42">
        <v>384</v>
      </c>
      <c r="C984" s="42">
        <v>100</v>
      </c>
      <c r="D984" s="42">
        <v>4</v>
      </c>
      <c r="E984" s="42">
        <v>400</v>
      </c>
      <c r="F984" s="43">
        <v>45318</v>
      </c>
      <c r="G984" s="42" t="s">
        <v>11</v>
      </c>
      <c r="H984" s="42">
        <v>323</v>
      </c>
      <c r="I984" s="42" t="str">
        <f>VLOOKUP(продажи!$B984,товар!$A$1:$C$433,2)</f>
        <v>Сахар</v>
      </c>
      <c r="J984" s="42" t="str">
        <f>VLOOKUP(B984,товар!$A$1:$C$433,3)</f>
        <v>Сладов</v>
      </c>
      <c r="K984" s="44">
        <f>AVERAGEIF(продажи!$I$2:$I$1001,продажи!$I$2:$I$1001,продажи!$C$2:$C$1001)</f>
        <v>254.58333333333334</v>
      </c>
      <c r="L984" s="45">
        <f>продажи!$C984/продажи!$K984-1</f>
        <v>-0.60720130932896899</v>
      </c>
      <c r="M984" s="33">
        <f t="shared" si="30"/>
        <v>3604</v>
      </c>
      <c r="N984" s="24">
        <f>Таблица1[[#This Row],[цена за шт в рублях]]/Таблица1[[#This Row],[средняя стоимость в категории по поставщику.]]-1</f>
        <v>-0.97225305216426194</v>
      </c>
      <c r="O984" s="26">
        <f>VLOOKUP(Таблица1[[#This Row],[id клиента]],клиенты!$A$2:$E$435,5,0)</f>
        <v>44821</v>
      </c>
      <c r="P984">
        <f>Таблица1[[#This Row],[дата создания чека]]-Таблица1[[#This Row],[Дата регистрации клента]]</f>
        <v>497</v>
      </c>
      <c r="Q984" s="26">
        <f t="shared" ca="1" si="31"/>
        <v>46059</v>
      </c>
      <c r="R984" s="51">
        <f ca="1">(TODAY()-Таблица1[[#This Row],[Дата регистрации клента]])/30</f>
        <v>41.266666666666666</v>
      </c>
      <c r="S984" s="63" t="str">
        <f>VLOOKUP(Таблица1[[#This Row],[id клиента]],Таблица8[[id клиента]:[Страна]],7,0)</f>
        <v>Таджикистан</v>
      </c>
      <c r="T984" s="26"/>
    </row>
    <row r="985" spans="1:20" ht="19.5" x14ac:dyDescent="0.4">
      <c r="A985" s="37">
        <v>984</v>
      </c>
      <c r="B985" s="31">
        <v>404</v>
      </c>
      <c r="C985" s="31">
        <v>304</v>
      </c>
      <c r="D985" s="31">
        <v>5</v>
      </c>
      <c r="E985" s="31">
        <v>1520</v>
      </c>
      <c r="F985" s="38">
        <v>45288</v>
      </c>
      <c r="G985" s="31" t="s">
        <v>11</v>
      </c>
      <c r="H985" s="31">
        <v>17</v>
      </c>
      <c r="I985" s="31" t="str">
        <f>VLOOKUP(продажи!$B985,товар!$A$1:$C$433,2)</f>
        <v>Йогурт</v>
      </c>
      <c r="J985" s="31" t="str">
        <f>VLOOKUP(B985,товар!$A$1:$C$433,3)</f>
        <v>Ростагроэкспорт</v>
      </c>
      <c r="K985" s="39">
        <f>AVERAGEIF(продажи!$I$2:$I$1001,продажи!$I$2:$I$1001,продажи!$C$2:$C$1001)</f>
        <v>263.25423728813558</v>
      </c>
      <c r="L985" s="40">
        <f>продажи!$C985/продажи!$K985-1</f>
        <v>0.15477723409734745</v>
      </c>
      <c r="M985" s="33">
        <f t="shared" si="30"/>
        <v>5929</v>
      </c>
      <c r="N985" s="24">
        <f>Таблица1[[#This Row],[цена за шт в рублях]]/Таблица1[[#This Row],[средняя стоимость в категории по поставщику.]]-1</f>
        <v>-0.94872659807724746</v>
      </c>
      <c r="O985" s="26">
        <f>VLOOKUP(Таблица1[[#This Row],[id клиента]],клиенты!$A$2:$E$435,5,0)</f>
        <v>44877</v>
      </c>
      <c r="P985">
        <f>Таблица1[[#This Row],[дата создания чека]]-Таблица1[[#This Row],[Дата регистрации клента]]</f>
        <v>411</v>
      </c>
      <c r="Q985" s="26">
        <f t="shared" ca="1" si="31"/>
        <v>46059</v>
      </c>
      <c r="R985" s="51">
        <f ca="1">(TODAY()-Таблица1[[#This Row],[Дата регистрации клента]])/30</f>
        <v>39.4</v>
      </c>
      <c r="S985" s="63" t="str">
        <f>VLOOKUP(Таблица1[[#This Row],[id клиента]],Таблица8[[id клиента]:[Страна]],7,0)</f>
        <v>Таджикистан</v>
      </c>
      <c r="T985" s="26"/>
    </row>
    <row r="986" spans="1:20" ht="19.5" x14ac:dyDescent="0.4">
      <c r="A986" s="41">
        <v>985</v>
      </c>
      <c r="B986" s="42">
        <v>469</v>
      </c>
      <c r="C986" s="42">
        <v>357</v>
      </c>
      <c r="D986" s="42">
        <v>4</v>
      </c>
      <c r="E986" s="42">
        <v>1428</v>
      </c>
      <c r="F986" s="43">
        <v>45377</v>
      </c>
      <c r="G986" s="42" t="s">
        <v>24</v>
      </c>
      <c r="H986" s="42">
        <v>165</v>
      </c>
      <c r="I986" s="42" t="str">
        <f>VLOOKUP(продажи!$B986,товар!$A$1:$C$433,2)</f>
        <v>Сахар</v>
      </c>
      <c r="J986" s="42" t="str">
        <f>VLOOKUP(B986,товар!$A$1:$C$433,3)</f>
        <v>Сладов</v>
      </c>
      <c r="K986" s="44">
        <f>AVERAGEIF(продажи!$I$2:$I$1001,продажи!$I$2:$I$1001,продажи!$C$2:$C$1001)</f>
        <v>254.58333333333334</v>
      </c>
      <c r="L986" s="45">
        <f>продажи!$C986/продажи!$K986-1</f>
        <v>0.4022913256955809</v>
      </c>
      <c r="M986" s="33">
        <f t="shared" si="30"/>
        <v>3604</v>
      </c>
      <c r="N986" s="24">
        <f>Таблица1[[#This Row],[цена за шт в рублях]]/Таблица1[[#This Row],[средняя стоимость в категории по поставщику.]]-1</f>
        <v>-0.90094339622641506</v>
      </c>
      <c r="O986" s="26">
        <f>VLOOKUP(Таблица1[[#This Row],[id клиента]],клиенты!$A$2:$E$435,5,0)</f>
        <v>44599</v>
      </c>
      <c r="P986">
        <f>Таблица1[[#This Row],[дата создания чека]]-Таблица1[[#This Row],[Дата регистрации клента]]</f>
        <v>778</v>
      </c>
      <c r="Q986" s="26">
        <f t="shared" ca="1" si="31"/>
        <v>46059</v>
      </c>
      <c r="R986" s="51">
        <f ca="1">(TODAY()-Таблица1[[#This Row],[Дата регистрации клента]])/30</f>
        <v>48.666666666666664</v>
      </c>
      <c r="S986" s="63" t="str">
        <f>VLOOKUP(Таблица1[[#This Row],[id клиента]],Таблица8[[id клиента]:[Страна]],7,0)</f>
        <v>Таджикистан</v>
      </c>
      <c r="T986" s="26"/>
    </row>
    <row r="987" spans="1:20" ht="19.5" x14ac:dyDescent="0.4">
      <c r="A987" s="37">
        <v>986</v>
      </c>
      <c r="B987" s="31">
        <v>134</v>
      </c>
      <c r="C987" s="31">
        <v>89</v>
      </c>
      <c r="D987" s="31">
        <v>5</v>
      </c>
      <c r="E987" s="31">
        <v>445</v>
      </c>
      <c r="F987" s="38">
        <v>44983</v>
      </c>
      <c r="G987" s="31" t="s">
        <v>27</v>
      </c>
      <c r="H987" s="31">
        <v>403</v>
      </c>
      <c r="I987" s="31" t="str">
        <f>VLOOKUP(продажи!$B987,товар!$A$1:$C$433,2)</f>
        <v>Рыба</v>
      </c>
      <c r="J987" s="31" t="str">
        <f>VLOOKUP(B987,товар!$A$1:$C$433,3)</f>
        <v>Меридиан</v>
      </c>
      <c r="K987" s="39">
        <f>AVERAGEIF(продажи!$I$2:$I$1001,продажи!$I$2:$I$1001,продажи!$C$2:$C$1001)</f>
        <v>258.5128205128205</v>
      </c>
      <c r="L987" s="40">
        <f>продажи!$C987/продажи!$K987-1</f>
        <v>-0.65572307081928183</v>
      </c>
      <c r="M987" s="33">
        <f t="shared" si="30"/>
        <v>4431</v>
      </c>
      <c r="N987" s="24">
        <f>Таблица1[[#This Row],[цена за шт в рублях]]/Таблица1[[#This Row],[средняя стоимость в категории по поставщику.]]-1</f>
        <v>-0.97991424057774767</v>
      </c>
      <c r="O987" s="26">
        <f>VLOOKUP(Таблица1[[#This Row],[id клиента]],клиенты!$A$2:$E$435,5,0)</f>
        <v>44594</v>
      </c>
      <c r="P987">
        <f>Таблица1[[#This Row],[дата создания чека]]-Таблица1[[#This Row],[Дата регистрации клента]]</f>
        <v>389</v>
      </c>
      <c r="Q987" s="26">
        <f t="shared" ca="1" si="31"/>
        <v>46059</v>
      </c>
      <c r="R987" s="51">
        <f ca="1">(TODAY()-Таблица1[[#This Row],[Дата регистрации клента]])/30</f>
        <v>48.833333333333336</v>
      </c>
      <c r="S987" s="63" t="str">
        <f>VLOOKUP(Таблица1[[#This Row],[id клиента]],Таблица8[[id клиента]:[Страна]],7,0)</f>
        <v>Россия</v>
      </c>
      <c r="T987" s="26"/>
    </row>
    <row r="988" spans="1:20" ht="19.5" x14ac:dyDescent="0.4">
      <c r="A988" s="41">
        <v>987</v>
      </c>
      <c r="B988" s="42">
        <v>361</v>
      </c>
      <c r="C988" s="42">
        <v>283</v>
      </c>
      <c r="D988" s="42">
        <v>5</v>
      </c>
      <c r="E988" s="42">
        <v>1415</v>
      </c>
      <c r="F988" s="43">
        <v>45133</v>
      </c>
      <c r="G988" s="42" t="s">
        <v>8</v>
      </c>
      <c r="H988" s="42">
        <v>274</v>
      </c>
      <c r="I988" s="42" t="str">
        <f>VLOOKUP(продажи!$B988,товар!$A$1:$C$433,2)</f>
        <v>Мясо</v>
      </c>
      <c r="J988" s="42" t="str">
        <f>VLOOKUP(B988,товар!$A$1:$C$433,3)</f>
        <v>Сава</v>
      </c>
      <c r="K988" s="44">
        <f>AVERAGEIF(продажи!$I$2:$I$1001,продажи!$I$2:$I$1001,продажи!$C$2:$C$1001)</f>
        <v>271.74545454545455</v>
      </c>
      <c r="L988" s="45">
        <f>продажи!$C988/продажи!$K988-1</f>
        <v>4.141576341496056E-2</v>
      </c>
      <c r="M988" s="33">
        <f t="shared" si="30"/>
        <v>3405</v>
      </c>
      <c r="N988" s="24">
        <f>Таблица1[[#This Row],[цена за шт в рублях]]/Таблица1[[#This Row],[средняя стоимость в категории по поставщику.]]-1</f>
        <v>-0.91688693098384733</v>
      </c>
      <c r="O988" s="26">
        <f>VLOOKUP(Таблица1[[#This Row],[id клиента]],клиенты!$A$2:$E$435,5,0)</f>
        <v>44607</v>
      </c>
      <c r="P988">
        <f>Таблица1[[#This Row],[дата создания чека]]-Таблица1[[#This Row],[Дата регистрации клента]]</f>
        <v>526</v>
      </c>
      <c r="Q988" s="26">
        <f t="shared" ca="1" si="31"/>
        <v>46059</v>
      </c>
      <c r="R988" s="51">
        <f ca="1">(TODAY()-Таблица1[[#This Row],[Дата регистрации клента]])/30</f>
        <v>48.4</v>
      </c>
      <c r="S988" s="63" t="str">
        <f>VLOOKUP(Таблица1[[#This Row],[id клиента]],Таблица8[[id клиента]:[Страна]],7,0)</f>
        <v>Россия</v>
      </c>
      <c r="T988" s="26"/>
    </row>
    <row r="989" spans="1:20" ht="19.5" x14ac:dyDescent="0.4">
      <c r="A989" s="37">
        <v>988</v>
      </c>
      <c r="B989" s="31">
        <v>110</v>
      </c>
      <c r="C989" s="31">
        <v>280</v>
      </c>
      <c r="D989" s="31">
        <v>3</v>
      </c>
      <c r="E989" s="31">
        <v>840</v>
      </c>
      <c r="F989" s="38">
        <v>45121</v>
      </c>
      <c r="G989" s="31" t="s">
        <v>17</v>
      </c>
      <c r="H989" s="31">
        <v>61</v>
      </c>
      <c r="I989" s="31" t="str">
        <f>VLOOKUP(продажи!$B989,товар!$A$1:$C$433,2)</f>
        <v>Макароны</v>
      </c>
      <c r="J989" s="31" t="str">
        <f>VLOOKUP(B989,товар!$A$1:$C$433,3)</f>
        <v>Паста Зара</v>
      </c>
      <c r="K989" s="39">
        <f>AVERAGEIF(продажи!$I$2:$I$1001,продажи!$I$2:$I$1001,продажи!$C$2:$C$1001)</f>
        <v>265.47674418604652</v>
      </c>
      <c r="L989" s="40">
        <f>продажи!$C989/продажи!$K989-1</f>
        <v>5.4706320353904658E-2</v>
      </c>
      <c r="M989" s="33">
        <f t="shared" si="30"/>
        <v>10237</v>
      </c>
      <c r="N989" s="24">
        <f>Таблица1[[#This Row],[цена за шт в рублях]]/Таблица1[[#This Row],[средняя стоимость в категории по поставщику.]]-1</f>
        <v>-0.97264823678812151</v>
      </c>
      <c r="O989" s="26">
        <f>VLOOKUP(Таблица1[[#This Row],[id клиента]],клиенты!$A$2:$E$435,5,0)</f>
        <v>44769</v>
      </c>
      <c r="P989">
        <f>Таблица1[[#This Row],[дата создания чека]]-Таблица1[[#This Row],[Дата регистрации клента]]</f>
        <v>352</v>
      </c>
      <c r="Q989" s="26">
        <f t="shared" ca="1" si="31"/>
        <v>46059</v>
      </c>
      <c r="R989" s="51">
        <f ca="1">(TODAY()-Таблица1[[#This Row],[Дата регистрации клента]])/30</f>
        <v>43</v>
      </c>
      <c r="S989" s="63" t="str">
        <f>VLOOKUP(Таблица1[[#This Row],[id клиента]],Таблица8[[id клиента]:[Страна]],7,0)</f>
        <v>Таджикистан</v>
      </c>
      <c r="T989" s="26"/>
    </row>
    <row r="990" spans="1:20" ht="19.5" x14ac:dyDescent="0.4">
      <c r="A990" s="41">
        <v>989</v>
      </c>
      <c r="B990" s="42">
        <v>280</v>
      </c>
      <c r="C990" s="42">
        <v>459</v>
      </c>
      <c r="D990" s="42">
        <v>4</v>
      </c>
      <c r="E990" s="42">
        <v>1836</v>
      </c>
      <c r="F990" s="43">
        <v>45273</v>
      </c>
      <c r="G990" s="42" t="s">
        <v>19</v>
      </c>
      <c r="H990" s="42">
        <v>262</v>
      </c>
      <c r="I990" s="42" t="str">
        <f>VLOOKUP(продажи!$B990,товар!$A$1:$C$433,2)</f>
        <v>Сыр</v>
      </c>
      <c r="J990" s="42" t="str">
        <f>VLOOKUP(B990,товар!$A$1:$C$433,3)</f>
        <v>President</v>
      </c>
      <c r="K990" s="44">
        <f>AVERAGEIF(продажи!$I$2:$I$1001,продажи!$I$2:$I$1001,продажи!$C$2:$C$1001)</f>
        <v>261.03225806451616</v>
      </c>
      <c r="L990" s="45">
        <f>продажи!$C990/продажи!$K990-1</f>
        <v>0.75840336134453756</v>
      </c>
      <c r="M990" s="33">
        <f t="shared" si="30"/>
        <v>3935</v>
      </c>
      <c r="N990" s="24">
        <f>Таблица1[[#This Row],[цена за шт в рублях]]/Таблица1[[#This Row],[средняя стоимость в категории по поставщику.]]-1</f>
        <v>-0.88335451080050831</v>
      </c>
      <c r="O990" s="26">
        <f>VLOOKUP(Таблица1[[#This Row],[id клиента]],клиенты!$A$2:$E$435,5,0)</f>
        <v>44778</v>
      </c>
      <c r="P990">
        <f>Таблица1[[#This Row],[дата создания чека]]-Таблица1[[#This Row],[Дата регистрации клента]]</f>
        <v>495</v>
      </c>
      <c r="Q990" s="26">
        <f t="shared" ca="1" si="31"/>
        <v>46059</v>
      </c>
      <c r="R990" s="51">
        <f ca="1">(TODAY()-Таблица1[[#This Row],[Дата регистрации клента]])/30</f>
        <v>42.7</v>
      </c>
      <c r="S990" s="63" t="str">
        <f>VLOOKUP(Таблица1[[#This Row],[id клиента]],Таблица8[[id клиента]:[Страна]],7,0)</f>
        <v>Таджикистан</v>
      </c>
      <c r="T990" s="26"/>
    </row>
    <row r="991" spans="1:20" ht="19.5" x14ac:dyDescent="0.4">
      <c r="A991" s="37">
        <v>990</v>
      </c>
      <c r="B991" s="31">
        <v>43</v>
      </c>
      <c r="C991" s="31">
        <v>244</v>
      </c>
      <c r="D991" s="31">
        <v>4</v>
      </c>
      <c r="E991" s="31">
        <v>976</v>
      </c>
      <c r="F991" s="38">
        <v>45392</v>
      </c>
      <c r="G991" s="31" t="s">
        <v>22</v>
      </c>
      <c r="H991" s="31">
        <v>323</v>
      </c>
      <c r="I991" s="31" t="str">
        <f>VLOOKUP(продажи!$B991,товар!$A$1:$C$433,2)</f>
        <v>Печенье</v>
      </c>
      <c r="J991" s="31" t="str">
        <f>VLOOKUP(B991,товар!$A$1:$C$433,3)</f>
        <v>КДВ</v>
      </c>
      <c r="K991" s="39">
        <f>AVERAGEIF(продажи!$I$2:$I$1001,продажи!$I$2:$I$1001,продажи!$C$2:$C$1001)</f>
        <v>283.468085106383</v>
      </c>
      <c r="L991" s="40">
        <f>продажи!$C991/продажи!$K991-1</f>
        <v>-0.13923290550176393</v>
      </c>
      <c r="M991" s="33">
        <f t="shared" si="30"/>
        <v>4200</v>
      </c>
      <c r="N991" s="24">
        <f>Таблица1[[#This Row],[цена за шт в рублях]]/Таблица1[[#This Row],[средняя стоимость в категории по поставщику.]]-1</f>
        <v>-0.94190476190476191</v>
      </c>
      <c r="O991" s="26">
        <f>VLOOKUP(Таблица1[[#This Row],[id клиента]],клиенты!$A$2:$E$435,5,0)</f>
        <v>44821</v>
      </c>
      <c r="P991">
        <f>Таблица1[[#This Row],[дата создания чека]]-Таблица1[[#This Row],[Дата регистрации клента]]</f>
        <v>571</v>
      </c>
      <c r="Q991" s="26">
        <f t="shared" ca="1" si="31"/>
        <v>46059</v>
      </c>
      <c r="R991" s="51">
        <f ca="1">(TODAY()-Таблица1[[#This Row],[Дата регистрации клента]])/30</f>
        <v>41.266666666666666</v>
      </c>
      <c r="S991" s="63" t="str">
        <f>VLOOKUP(Таблица1[[#This Row],[id клиента]],Таблица8[[id клиента]:[Страна]],7,0)</f>
        <v>Таджикистан</v>
      </c>
      <c r="T991" s="26"/>
    </row>
    <row r="992" spans="1:20" ht="19.5" x14ac:dyDescent="0.4">
      <c r="A992" s="41">
        <v>991</v>
      </c>
      <c r="B992" s="42">
        <v>434</v>
      </c>
      <c r="C992" s="42">
        <v>299</v>
      </c>
      <c r="D992" s="42">
        <v>2</v>
      </c>
      <c r="E992" s="42">
        <v>598</v>
      </c>
      <c r="F992" s="43">
        <v>45144</v>
      </c>
      <c r="G992" s="42" t="s">
        <v>23</v>
      </c>
      <c r="H992" s="42">
        <v>481</v>
      </c>
      <c r="I992" s="42" t="str">
        <f>VLOOKUP(продажи!$B992,товар!$A$1:$C$433,2)</f>
        <v>Сыр</v>
      </c>
      <c r="J992" s="42" t="str">
        <f>VLOOKUP(B992,товар!$A$1:$C$433,3)</f>
        <v>Сырная долина</v>
      </c>
      <c r="K992" s="44">
        <f>AVERAGEIF(продажи!$I$2:$I$1001,продажи!$I$2:$I$1001,продажи!$C$2:$C$1001)</f>
        <v>261.03225806451616</v>
      </c>
      <c r="L992" s="45">
        <f>продажи!$C992/продажи!$K992-1</f>
        <v>0.14545229856648523</v>
      </c>
      <c r="M992" s="33">
        <f t="shared" si="30"/>
        <v>8943</v>
      </c>
      <c r="N992" s="24">
        <f>Таблица1[[#This Row],[цена за шт в рублях]]/Таблица1[[#This Row],[средняя стоимость в категории по поставщику.]]-1</f>
        <v>-0.96656602929665658</v>
      </c>
      <c r="O992" s="26">
        <f>VLOOKUP(Таблица1[[#This Row],[id клиента]],клиенты!$A$2:$E$435,5,0)</f>
        <v>44756</v>
      </c>
      <c r="P992">
        <f>Таблица1[[#This Row],[дата создания чека]]-Таблица1[[#This Row],[Дата регистрации клента]]</f>
        <v>388</v>
      </c>
      <c r="Q992" s="26">
        <f t="shared" ca="1" si="31"/>
        <v>46059</v>
      </c>
      <c r="R992" s="51">
        <f ca="1">(TODAY()-Таблица1[[#This Row],[Дата регистрации клента]])/30</f>
        <v>43.43333333333333</v>
      </c>
      <c r="S992" s="63" t="str">
        <f>VLOOKUP(Таблица1[[#This Row],[id клиента]],Таблица8[[id клиента]:[Страна]],7,0)</f>
        <v>Беларусь</v>
      </c>
      <c r="T992" s="26"/>
    </row>
    <row r="993" spans="1:20" ht="19.5" x14ac:dyDescent="0.4">
      <c r="A993" s="37">
        <v>992</v>
      </c>
      <c r="B993" s="31">
        <v>183</v>
      </c>
      <c r="C993" s="31">
        <v>73</v>
      </c>
      <c r="D993" s="31">
        <v>5</v>
      </c>
      <c r="E993" s="31">
        <v>365</v>
      </c>
      <c r="F993" s="38">
        <v>45317</v>
      </c>
      <c r="G993" s="31" t="s">
        <v>21</v>
      </c>
      <c r="H993" s="31">
        <v>478</v>
      </c>
      <c r="I993" s="31" t="str">
        <f>VLOOKUP(продажи!$B993,товар!$A$1:$C$433,2)</f>
        <v>Конфеты</v>
      </c>
      <c r="J993" s="31" t="str">
        <f>VLOOKUP(B993,товар!$A$1:$C$433,3)</f>
        <v>Бабаевский</v>
      </c>
      <c r="K993" s="39">
        <f>AVERAGEIF(продажи!$I$2:$I$1001,продажи!$I$2:$I$1001,продажи!$C$2:$C$1001)</f>
        <v>267.85483870967744</v>
      </c>
      <c r="L993" s="40">
        <f>продажи!$C993/продажи!$K993-1</f>
        <v>-0.72746432227374003</v>
      </c>
      <c r="M993" s="33">
        <f t="shared" si="30"/>
        <v>6757</v>
      </c>
      <c r="N993" s="24">
        <f>Таблица1[[#This Row],[цена за шт в рублях]]/Таблица1[[#This Row],[средняя стоимость в категории по поставщику.]]-1</f>
        <v>-0.9891963889299985</v>
      </c>
      <c r="O993" s="26">
        <f>VLOOKUP(Таблица1[[#This Row],[id клиента]],клиенты!$A$2:$E$435,5,0)</f>
        <v>44726</v>
      </c>
      <c r="P993">
        <f>Таблица1[[#This Row],[дата создания чека]]-Таблица1[[#This Row],[Дата регистрации клента]]</f>
        <v>591</v>
      </c>
      <c r="Q993" s="26">
        <f t="shared" ca="1" si="31"/>
        <v>46059</v>
      </c>
      <c r="R993" s="51">
        <f ca="1">(TODAY()-Таблица1[[#This Row],[Дата регистрации клента]])/30</f>
        <v>44.43333333333333</v>
      </c>
      <c r="S993" s="63" t="str">
        <f>VLOOKUP(Таблица1[[#This Row],[id клиента]],Таблица8[[id клиента]:[Страна]],7,0)</f>
        <v>Украина</v>
      </c>
      <c r="T993" s="26"/>
    </row>
    <row r="994" spans="1:20" ht="19.5" x14ac:dyDescent="0.4">
      <c r="A994" s="41">
        <v>993</v>
      </c>
      <c r="B994" s="42">
        <v>224</v>
      </c>
      <c r="C994" s="42">
        <v>421</v>
      </c>
      <c r="D994" s="42">
        <v>3</v>
      </c>
      <c r="E994" s="42">
        <v>1263</v>
      </c>
      <c r="F994" s="43">
        <v>45093</v>
      </c>
      <c r="G994" s="42" t="s">
        <v>19</v>
      </c>
      <c r="H994" s="42">
        <v>497</v>
      </c>
      <c r="I994" s="42" t="str">
        <f>VLOOKUP(продажи!$B994,товар!$A$1:$C$433,2)</f>
        <v>Чипсы</v>
      </c>
      <c r="J994" s="42" t="str">
        <f>VLOOKUP(B994,товар!$A$1:$C$433,3)</f>
        <v>Pringles</v>
      </c>
      <c r="K994" s="44">
        <f>AVERAGEIF(продажи!$I$2:$I$1001,продажи!$I$2:$I$1001,продажи!$C$2:$C$1001)</f>
        <v>273.72549019607845</v>
      </c>
      <c r="L994" s="45">
        <f>продажи!$C994/продажи!$K994-1</f>
        <v>0.53803724928366758</v>
      </c>
      <c r="M994" s="33">
        <f t="shared" si="30"/>
        <v>5885</v>
      </c>
      <c r="N994" s="24">
        <f>Таблица1[[#This Row],[цена за шт в рублях]]/Таблица1[[#This Row],[средняя стоимость в категории по поставщику.]]-1</f>
        <v>-0.92846219201359392</v>
      </c>
      <c r="O994" s="26">
        <f>VLOOKUP(Таблица1[[#This Row],[id клиента]],клиенты!$A$2:$E$435,5,0)</f>
        <v>44826</v>
      </c>
      <c r="P994">
        <f>Таблица1[[#This Row],[дата создания чека]]-Таблица1[[#This Row],[Дата регистрации клента]]</f>
        <v>267</v>
      </c>
      <c r="Q994" s="26">
        <f t="shared" ca="1" si="31"/>
        <v>46059</v>
      </c>
      <c r="R994" s="51">
        <f ca="1">(TODAY()-Таблица1[[#This Row],[Дата регистрации клента]])/30</f>
        <v>41.1</v>
      </c>
      <c r="S994" s="63" t="str">
        <f>VLOOKUP(Таблица1[[#This Row],[id клиента]],Таблица8[[id клиента]:[Страна]],7,0)</f>
        <v>Узбекистан</v>
      </c>
      <c r="T994" s="26"/>
    </row>
    <row r="995" spans="1:20" ht="19.5" x14ac:dyDescent="0.4">
      <c r="A995" s="37">
        <v>994</v>
      </c>
      <c r="B995" s="31">
        <v>235</v>
      </c>
      <c r="C995" s="31">
        <v>345</v>
      </c>
      <c r="D995" s="31">
        <v>3</v>
      </c>
      <c r="E995" s="31">
        <v>1035</v>
      </c>
      <c r="F995" s="38">
        <v>45301</v>
      </c>
      <c r="G995" s="31" t="s">
        <v>8</v>
      </c>
      <c r="H995" s="31">
        <v>406</v>
      </c>
      <c r="I995" s="31" t="str">
        <f>VLOOKUP(продажи!$B995,товар!$A$1:$C$433,2)</f>
        <v>Хлеб</v>
      </c>
      <c r="J995" s="31" t="str">
        <f>VLOOKUP(B995,товар!$A$1:$C$433,3)</f>
        <v>Русский Хлеб</v>
      </c>
      <c r="K995" s="39">
        <f>AVERAGEIF(продажи!$I$2:$I$1001,продажи!$I$2:$I$1001,продажи!$C$2:$C$1001)</f>
        <v>300.31818181818181</v>
      </c>
      <c r="L995" s="40">
        <f>продажи!$C995/продажи!$K995-1</f>
        <v>0.14878159527773582</v>
      </c>
      <c r="M995" s="33">
        <f t="shared" si="30"/>
        <v>3166</v>
      </c>
      <c r="N995" s="24">
        <f>Таблица1[[#This Row],[цена за шт в рублях]]/Таблица1[[#This Row],[средняя стоимость в категории по поставщику.]]-1</f>
        <v>-0.89102969046114966</v>
      </c>
      <c r="O995" s="26">
        <f>VLOOKUP(Таблица1[[#This Row],[id клиента]],клиенты!$A$2:$E$435,5,0)</f>
        <v>44895</v>
      </c>
      <c r="P995">
        <f>Таблица1[[#This Row],[дата создания чека]]-Таблица1[[#This Row],[Дата регистрации клента]]</f>
        <v>406</v>
      </c>
      <c r="Q995" s="26">
        <f t="shared" ca="1" si="31"/>
        <v>46059</v>
      </c>
      <c r="R995" s="51">
        <f ca="1">(TODAY()-Таблица1[[#This Row],[Дата регистрации клента]])/30</f>
        <v>38.799999999999997</v>
      </c>
      <c r="S995" s="63" t="str">
        <f>VLOOKUP(Таблица1[[#This Row],[id клиента]],Таблица8[[id клиента]:[Страна]],7,0)</f>
        <v>Украина</v>
      </c>
      <c r="T995" s="26"/>
    </row>
    <row r="996" spans="1:20" ht="19.5" x14ac:dyDescent="0.4">
      <c r="A996" s="41">
        <v>995</v>
      </c>
      <c r="B996" s="42">
        <v>477</v>
      </c>
      <c r="C996" s="42">
        <v>50</v>
      </c>
      <c r="D996" s="42">
        <v>1</v>
      </c>
      <c r="E996" s="42">
        <v>50</v>
      </c>
      <c r="F996" s="43">
        <v>45145</v>
      </c>
      <c r="G996" s="42" t="s">
        <v>15</v>
      </c>
      <c r="H996" s="42">
        <v>58</v>
      </c>
      <c r="I996" s="42" t="str">
        <f>VLOOKUP(продажи!$B996,товар!$A$1:$C$433,2)</f>
        <v>Макароны</v>
      </c>
      <c r="J996" s="42" t="str">
        <f>VLOOKUP(B996,товар!$A$1:$C$433,3)</f>
        <v>Борилла</v>
      </c>
      <c r="K996" s="44">
        <f>AVERAGEIF(продажи!$I$2:$I$1001,продажи!$I$2:$I$1001,продажи!$C$2:$C$1001)</f>
        <v>265.47674418604652</v>
      </c>
      <c r="L996" s="45">
        <f>продажи!$C996/продажи!$K996-1</f>
        <v>-0.81165958565108842</v>
      </c>
      <c r="M996" s="33">
        <f t="shared" si="30"/>
        <v>6852</v>
      </c>
      <c r="N996" s="24">
        <f>Таблица1[[#This Row],[цена за шт в рублях]]/Таблица1[[#This Row],[средняя стоимость в категории по поставщику.]]-1</f>
        <v>-0.99270286047869238</v>
      </c>
      <c r="O996" s="26">
        <f>VLOOKUP(Таблица1[[#This Row],[id клиента]],клиенты!$A$2:$E$435,5,0)</f>
        <v>44628</v>
      </c>
      <c r="P996">
        <f>Таблица1[[#This Row],[дата создания чека]]-Таблица1[[#This Row],[Дата регистрации клента]]</f>
        <v>517</v>
      </c>
      <c r="Q996" s="26">
        <f t="shared" ca="1" si="31"/>
        <v>46059</v>
      </c>
      <c r="R996" s="51">
        <f ca="1">(TODAY()-Таблица1[[#This Row],[Дата регистрации клента]])/30</f>
        <v>47.7</v>
      </c>
      <c r="S996" s="63" t="str">
        <f>VLOOKUP(Таблица1[[#This Row],[id клиента]],Таблица8[[id клиента]:[Страна]],7,0)</f>
        <v>Беларусь</v>
      </c>
      <c r="T996" s="26"/>
    </row>
    <row r="997" spans="1:20" ht="19.5" x14ac:dyDescent="0.4">
      <c r="A997" s="37">
        <v>996</v>
      </c>
      <c r="B997" s="31">
        <v>242</v>
      </c>
      <c r="C997" s="31">
        <v>441</v>
      </c>
      <c r="D997" s="31">
        <v>1</v>
      </c>
      <c r="E997" s="31">
        <v>441</v>
      </c>
      <c r="F997" s="38">
        <v>44934</v>
      </c>
      <c r="G997" s="31" t="s">
        <v>25</v>
      </c>
      <c r="H997" s="31">
        <v>312</v>
      </c>
      <c r="I997" s="31" t="str">
        <f>VLOOKUP(продажи!$B997,товар!$A$1:$C$433,2)</f>
        <v>Овощи</v>
      </c>
      <c r="J997" s="31" t="str">
        <f>VLOOKUP(B997,товар!$A$1:$C$433,3)</f>
        <v>Овощной ряд</v>
      </c>
      <c r="K997" s="39">
        <f>AVERAGEIF(продажи!$I$2:$I$1001,продажи!$I$2:$I$1001,продажи!$C$2:$C$1001)</f>
        <v>250.48780487804879</v>
      </c>
      <c r="L997" s="40">
        <f>продажи!$C997/продажи!$K997-1</f>
        <v>0.76056475170399218</v>
      </c>
      <c r="M997" s="33">
        <f t="shared" si="30"/>
        <v>5165</v>
      </c>
      <c r="N997" s="24">
        <f>Таблица1[[#This Row],[цена за шт в рублях]]/Таблица1[[#This Row],[средняя стоимость в категории по поставщику.]]-1</f>
        <v>-0.91461761858664081</v>
      </c>
      <c r="O997" s="26">
        <f>VLOOKUP(Таблица1[[#This Row],[id клиента]],клиенты!$A$2:$E$435,5,0)</f>
        <v>44886</v>
      </c>
      <c r="P997">
        <f>Таблица1[[#This Row],[дата создания чека]]-Таблица1[[#This Row],[Дата регистрации клента]]</f>
        <v>48</v>
      </c>
      <c r="Q997" s="26">
        <f t="shared" ca="1" si="31"/>
        <v>46059</v>
      </c>
      <c r="R997" s="51">
        <f ca="1">(TODAY()-Таблица1[[#This Row],[Дата регистрации клента]])/30</f>
        <v>39.1</v>
      </c>
      <c r="S997" s="63" t="str">
        <f>VLOOKUP(Таблица1[[#This Row],[id клиента]],Таблица8[[id клиента]:[Страна]],7,0)</f>
        <v>Россия</v>
      </c>
      <c r="T997" s="26"/>
    </row>
    <row r="998" spans="1:20" ht="19.5" x14ac:dyDescent="0.4">
      <c r="A998" s="41">
        <v>997</v>
      </c>
      <c r="B998" s="42">
        <v>423</v>
      </c>
      <c r="C998" s="42">
        <v>187</v>
      </c>
      <c r="D998" s="42">
        <v>5</v>
      </c>
      <c r="E998" s="42">
        <v>935</v>
      </c>
      <c r="F998" s="43">
        <v>45247</v>
      </c>
      <c r="G998" s="42" t="s">
        <v>8</v>
      </c>
      <c r="H998" s="42">
        <v>136</v>
      </c>
      <c r="I998" s="42" t="str">
        <f>VLOOKUP(продажи!$B998,товар!$A$1:$C$433,2)</f>
        <v>Чипсы</v>
      </c>
      <c r="J998" s="42" t="str">
        <f>VLOOKUP(B998,товар!$A$1:$C$433,3)</f>
        <v>Pringles</v>
      </c>
      <c r="K998" s="44">
        <f>AVERAGEIF(продажи!$I$2:$I$1001,продажи!$I$2:$I$1001,продажи!$C$2:$C$1001)</f>
        <v>273.72549019607845</v>
      </c>
      <c r="L998" s="45">
        <f>продажи!$C998/продажи!$K998-1</f>
        <v>-0.31683381088825224</v>
      </c>
      <c r="M998" s="33">
        <f t="shared" si="30"/>
        <v>5885</v>
      </c>
      <c r="N998" s="24">
        <f>Таблица1[[#This Row],[цена за шт в рублях]]/Таблица1[[#This Row],[средняя стоимость в категории по поставщику.]]-1</f>
        <v>-0.96822429906542051</v>
      </c>
      <c r="O998" s="26">
        <f>VLOOKUP(Таблица1[[#This Row],[id клиента]],клиенты!$A$2:$E$435,5,0)</f>
        <v>44860</v>
      </c>
      <c r="P998">
        <f>Таблица1[[#This Row],[дата создания чека]]-Таблица1[[#This Row],[Дата регистрации клента]]</f>
        <v>387</v>
      </c>
      <c r="Q998" s="26">
        <f t="shared" ca="1" si="31"/>
        <v>46059</v>
      </c>
      <c r="R998" s="51">
        <f ca="1">(TODAY()-Таблица1[[#This Row],[Дата регистрации клента]])/30</f>
        <v>39.966666666666669</v>
      </c>
      <c r="S998" s="63" t="str">
        <f>VLOOKUP(Таблица1[[#This Row],[id клиента]],Таблица8[[id клиента]:[Страна]],7,0)</f>
        <v>Украина</v>
      </c>
      <c r="T998" s="26"/>
    </row>
    <row r="999" spans="1:20" ht="19.5" x14ac:dyDescent="0.4">
      <c r="A999" s="37">
        <v>998</v>
      </c>
      <c r="B999" s="31">
        <v>414</v>
      </c>
      <c r="C999" s="31">
        <v>170</v>
      </c>
      <c r="D999" s="31">
        <v>1</v>
      </c>
      <c r="E999" s="31">
        <v>170</v>
      </c>
      <c r="F999" s="38">
        <v>45248</v>
      </c>
      <c r="G999" s="31" t="s">
        <v>12</v>
      </c>
      <c r="H999" s="31">
        <v>328</v>
      </c>
      <c r="I999" s="31" t="str">
        <f>VLOOKUP(продажи!$B999,товар!$A$1:$C$433,2)</f>
        <v>Фрукты</v>
      </c>
      <c r="J999" s="31" t="str">
        <f>VLOOKUP(B999,товар!$A$1:$C$433,3)</f>
        <v>Экзотик</v>
      </c>
      <c r="K999" s="39">
        <f>AVERAGEIF(продажи!$I$2:$I$1001,продажи!$I$2:$I$1001,продажи!$C$2:$C$1001)</f>
        <v>274.16279069767444</v>
      </c>
      <c r="L999" s="40">
        <f>продажи!$C999/продажи!$K999-1</f>
        <v>-0.37993044363389605</v>
      </c>
      <c r="M999" s="33">
        <f t="shared" si="30"/>
        <v>4059</v>
      </c>
      <c r="N999" s="24">
        <f>Таблица1[[#This Row],[цена за шт в рублях]]/Таблица1[[#This Row],[средняя стоимость в категории по поставщику.]]-1</f>
        <v>-0.95811776299581175</v>
      </c>
      <c r="O999" s="26">
        <f>VLOOKUP(Таблица1[[#This Row],[id клиента]],клиенты!$A$2:$E$435,5,0)</f>
        <v>44568</v>
      </c>
      <c r="P999">
        <f>Таблица1[[#This Row],[дата создания чека]]-Таблица1[[#This Row],[Дата регистрации клента]]</f>
        <v>680</v>
      </c>
      <c r="Q999" s="26">
        <f t="shared" ca="1" si="31"/>
        <v>46059</v>
      </c>
      <c r="R999" s="51">
        <f ca="1">(TODAY()-Таблица1[[#This Row],[Дата регистрации клента]])/30</f>
        <v>49.7</v>
      </c>
      <c r="S999" s="63" t="str">
        <f>VLOOKUP(Таблица1[[#This Row],[id клиента]],Таблица8[[id клиента]:[Страна]],7,0)</f>
        <v>Россия</v>
      </c>
      <c r="T999" s="26"/>
    </row>
    <row r="1000" spans="1:20" ht="19.5" x14ac:dyDescent="0.4">
      <c r="A1000" s="41">
        <v>999</v>
      </c>
      <c r="B1000" s="42">
        <v>110</v>
      </c>
      <c r="C1000" s="42">
        <v>114</v>
      </c>
      <c r="D1000" s="42">
        <v>3</v>
      </c>
      <c r="E1000" s="42">
        <v>342</v>
      </c>
      <c r="F1000" s="43">
        <v>44990</v>
      </c>
      <c r="G1000" s="42" t="s">
        <v>22</v>
      </c>
      <c r="H1000" s="42">
        <v>172</v>
      </c>
      <c r="I1000" s="42" t="str">
        <f>VLOOKUP(продажи!$B1000,товар!$A$1:$C$433,2)</f>
        <v>Макароны</v>
      </c>
      <c r="J1000" s="42" t="str">
        <f>VLOOKUP(B1000,товар!$A$1:$C$433,3)</f>
        <v>Паста Зара</v>
      </c>
      <c r="K1000" s="44">
        <f>AVERAGEIF(продажи!$I$2:$I$1001,продажи!$I$2:$I$1001,продажи!$C$2:$C$1001)</f>
        <v>265.47674418604652</v>
      </c>
      <c r="L1000" s="45">
        <f>продажи!$C1000/продажи!$K1000-1</f>
        <v>-0.57058385528448163</v>
      </c>
      <c r="M1000" s="33">
        <f t="shared" si="30"/>
        <v>10237</v>
      </c>
      <c r="N1000" s="24">
        <f>Таблица1[[#This Row],[цена за шт в рублях]]/Таблица1[[#This Row],[средняя стоимость в категории по поставщику.]]-1</f>
        <v>-0.98886392497802089</v>
      </c>
      <c r="O1000" s="26">
        <f>VLOOKUP(Таблица1[[#This Row],[id клиента]],клиенты!$A$2:$E$435,5,0)</f>
        <v>44737</v>
      </c>
      <c r="P1000">
        <f>Таблица1[[#This Row],[дата создания чека]]-Таблица1[[#This Row],[Дата регистрации клента]]</f>
        <v>253</v>
      </c>
      <c r="Q1000" s="26">
        <f t="shared" ca="1" si="31"/>
        <v>46059</v>
      </c>
      <c r="R1000" s="51">
        <f ca="1">(TODAY()-Таблица1[[#This Row],[Дата регистрации клента]])/30</f>
        <v>44.06666666666667</v>
      </c>
      <c r="S1000" s="63" t="str">
        <f>VLOOKUP(Таблица1[[#This Row],[id клиента]],Таблица8[[id клиента]:[Страна]],7,0)</f>
        <v>Россия</v>
      </c>
      <c r="T1000" s="26"/>
    </row>
    <row r="1001" spans="1:20" ht="19.5" x14ac:dyDescent="0.4">
      <c r="A1001" s="37">
        <v>1000</v>
      </c>
      <c r="B1001" s="31">
        <v>296</v>
      </c>
      <c r="C1001" s="31">
        <v>453</v>
      </c>
      <c r="D1001" s="31">
        <v>1</v>
      </c>
      <c r="E1001" s="31">
        <v>453</v>
      </c>
      <c r="F1001" s="38">
        <v>45265</v>
      </c>
      <c r="G1001" s="31" t="s">
        <v>15</v>
      </c>
      <c r="H1001" s="31">
        <v>167</v>
      </c>
      <c r="I1001" s="31" t="str">
        <f>VLOOKUP(продажи!$B1001,товар!$A$1:$C$433,2)</f>
        <v>Крупа</v>
      </c>
      <c r="J1001" s="31" t="str">
        <f>VLOOKUP(B1001,товар!$A$1:$C$433,3)</f>
        <v>Мистраль</v>
      </c>
      <c r="K1001" s="39">
        <f>AVERAGEIF(продажи!$I$2:$I$1001,продажи!$I$2:$I$1001,продажи!$C$2:$C$1001)</f>
        <v>255.11627906976744</v>
      </c>
      <c r="L1001" s="40">
        <f>продажи!$C1001/продажи!$K1001-1</f>
        <v>0.7756608933454876</v>
      </c>
      <c r="M1001" s="33">
        <f t="shared" si="30"/>
        <v>3254</v>
      </c>
      <c r="N1001" s="24">
        <f>Таблица1[[#This Row],[цена за шт в рублях]]/Таблица1[[#This Row],[средняя стоимость в категории по поставщику.]]-1</f>
        <v>-0.86078672403196066</v>
      </c>
      <c r="O1001" s="26">
        <f>VLOOKUP(Таблица1[[#This Row],[id клиента]],клиенты!$A$2:$E$435,5,0)</f>
        <v>44563</v>
      </c>
      <c r="P1001">
        <f>Таблица1[[#This Row],[дата создания чека]]-Таблица1[[#This Row],[Дата регистрации клента]]</f>
        <v>702</v>
      </c>
      <c r="Q1001" s="26">
        <f t="shared" ca="1" si="31"/>
        <v>46059</v>
      </c>
      <c r="R1001" s="51">
        <f ca="1">(TODAY()-Таблица1[[#This Row],[Дата регистрации клента]])/30</f>
        <v>49.866666666666667</v>
      </c>
      <c r="S1001" s="63" t="str">
        <f>VLOOKUP(Таблица1[[#This Row],[id клиента]],Таблица8[[id клиента]:[Страна]],7,0)</f>
        <v>Узбекистан</v>
      </c>
      <c r="T1001" s="26"/>
    </row>
  </sheetData>
  <dataConsolidate function="count" link="1">
    <dataRefs count="2">
      <dataRef ref="A2:G435" sheet="клиенты"/>
      <dataRef ref="H2:H1001" sheet="продажи"/>
    </dataRefs>
  </dataConsolidate>
  <phoneticPr fontId="8" type="noConversion"/>
  <conditionalFormatting sqref="L2:L100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:N9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66F5-7BDD-8242-82DF-8791B8A660D9}">
  <dimension ref="A1:C433"/>
  <sheetViews>
    <sheetView workbookViewId="0">
      <selection sqref="A1:A433"/>
    </sheetView>
  </sheetViews>
  <sheetFormatPr defaultColWidth="8.85546875" defaultRowHeight="15" x14ac:dyDescent="0.25"/>
  <cols>
    <col min="1" max="1" width="11.42578125" customWidth="1"/>
    <col min="2" max="2" width="18.85546875" customWidth="1"/>
    <col min="3" max="3" width="18.140625" bestFit="1" customWidth="1"/>
  </cols>
  <sheetData>
    <row r="1" spans="1:3" x14ac:dyDescent="0.25">
      <c r="A1" s="23" t="s">
        <v>1</v>
      </c>
      <c r="B1" s="23" t="s">
        <v>126</v>
      </c>
      <c r="C1" s="23" t="s">
        <v>125</v>
      </c>
    </row>
    <row r="2" spans="1:3" x14ac:dyDescent="0.25">
      <c r="A2">
        <v>1</v>
      </c>
      <c r="B2" t="s">
        <v>42</v>
      </c>
      <c r="C2" t="s">
        <v>41</v>
      </c>
    </row>
    <row r="3" spans="1:3" x14ac:dyDescent="0.25">
      <c r="A3">
        <v>3</v>
      </c>
      <c r="B3" t="s">
        <v>42</v>
      </c>
      <c r="C3" t="s">
        <v>41</v>
      </c>
    </row>
    <row r="4" spans="1:3" x14ac:dyDescent="0.25">
      <c r="A4">
        <v>4</v>
      </c>
      <c r="B4" t="s">
        <v>90</v>
      </c>
      <c r="C4" t="s">
        <v>114</v>
      </c>
    </row>
    <row r="5" spans="1:3" x14ac:dyDescent="0.25">
      <c r="A5">
        <v>5</v>
      </c>
      <c r="B5" t="s">
        <v>40</v>
      </c>
      <c r="C5" t="s">
        <v>116</v>
      </c>
    </row>
    <row r="6" spans="1:3" x14ac:dyDescent="0.25">
      <c r="A6">
        <v>6</v>
      </c>
      <c r="B6" t="s">
        <v>35</v>
      </c>
      <c r="C6" t="s">
        <v>58</v>
      </c>
    </row>
    <row r="7" spans="1:3" x14ac:dyDescent="0.25">
      <c r="A7">
        <v>7</v>
      </c>
      <c r="B7" t="s">
        <v>50</v>
      </c>
      <c r="C7" t="s">
        <v>104</v>
      </c>
    </row>
    <row r="8" spans="1:3" x14ac:dyDescent="0.25">
      <c r="A8">
        <v>8</v>
      </c>
      <c r="B8" t="s">
        <v>40</v>
      </c>
      <c r="C8" t="s">
        <v>39</v>
      </c>
    </row>
    <row r="9" spans="1:3" x14ac:dyDescent="0.25">
      <c r="A9">
        <v>9</v>
      </c>
      <c r="B9" t="s">
        <v>46</v>
      </c>
      <c r="C9" t="s">
        <v>45</v>
      </c>
    </row>
    <row r="10" spans="1:3" x14ac:dyDescent="0.25">
      <c r="A10">
        <v>10</v>
      </c>
      <c r="B10" t="s">
        <v>33</v>
      </c>
      <c r="C10" t="s">
        <v>32</v>
      </c>
    </row>
    <row r="11" spans="1:3" x14ac:dyDescent="0.25">
      <c r="A11">
        <v>11</v>
      </c>
      <c r="B11" t="s">
        <v>37</v>
      </c>
      <c r="C11" t="s">
        <v>93</v>
      </c>
    </row>
    <row r="12" spans="1:3" x14ac:dyDescent="0.25">
      <c r="A12">
        <v>12</v>
      </c>
      <c r="B12" t="s">
        <v>40</v>
      </c>
      <c r="C12" t="s">
        <v>101</v>
      </c>
    </row>
    <row r="13" spans="1:3" x14ac:dyDescent="0.25">
      <c r="A13">
        <v>13</v>
      </c>
      <c r="B13" t="s">
        <v>40</v>
      </c>
      <c r="C13" t="s">
        <v>39</v>
      </c>
    </row>
    <row r="14" spans="1:3" x14ac:dyDescent="0.25">
      <c r="A14">
        <v>14</v>
      </c>
      <c r="B14" t="s">
        <v>33</v>
      </c>
      <c r="C14" t="s">
        <v>112</v>
      </c>
    </row>
    <row r="15" spans="1:3" x14ac:dyDescent="0.25">
      <c r="A15">
        <v>15</v>
      </c>
      <c r="B15" t="s">
        <v>29</v>
      </c>
      <c r="C15" t="s">
        <v>94</v>
      </c>
    </row>
    <row r="16" spans="1:3" x14ac:dyDescent="0.25">
      <c r="A16">
        <v>16</v>
      </c>
      <c r="B16" t="s">
        <v>50</v>
      </c>
      <c r="C16" t="s">
        <v>49</v>
      </c>
    </row>
    <row r="17" spans="1:3" x14ac:dyDescent="0.25">
      <c r="A17">
        <v>17</v>
      </c>
      <c r="B17" t="s">
        <v>53</v>
      </c>
      <c r="C17" t="s">
        <v>82</v>
      </c>
    </row>
    <row r="18" spans="1:3" x14ac:dyDescent="0.25">
      <c r="A18">
        <v>18</v>
      </c>
      <c r="B18" t="s">
        <v>55</v>
      </c>
      <c r="C18" t="s">
        <v>54</v>
      </c>
    </row>
    <row r="19" spans="1:3" x14ac:dyDescent="0.25">
      <c r="A19">
        <v>19</v>
      </c>
      <c r="B19" t="s">
        <v>108</v>
      </c>
      <c r="C19" t="s">
        <v>109</v>
      </c>
    </row>
    <row r="20" spans="1:3" x14ac:dyDescent="0.25">
      <c r="A20">
        <v>22</v>
      </c>
      <c r="B20" t="s">
        <v>48</v>
      </c>
      <c r="C20" t="s">
        <v>64</v>
      </c>
    </row>
    <row r="21" spans="1:3" x14ac:dyDescent="0.25">
      <c r="A21">
        <v>23</v>
      </c>
      <c r="B21" t="s">
        <v>55</v>
      </c>
      <c r="C21" t="s">
        <v>118</v>
      </c>
    </row>
    <row r="22" spans="1:3" x14ac:dyDescent="0.25">
      <c r="A22">
        <v>24</v>
      </c>
      <c r="B22" t="s">
        <v>46</v>
      </c>
      <c r="C22" t="s">
        <v>45</v>
      </c>
    </row>
    <row r="23" spans="1:3" x14ac:dyDescent="0.25">
      <c r="A23">
        <v>25</v>
      </c>
      <c r="B23" t="s">
        <v>72</v>
      </c>
      <c r="C23" t="s">
        <v>117</v>
      </c>
    </row>
    <row r="24" spans="1:3" x14ac:dyDescent="0.25">
      <c r="A24">
        <v>26</v>
      </c>
      <c r="B24" t="s">
        <v>108</v>
      </c>
      <c r="C24" t="s">
        <v>115</v>
      </c>
    </row>
    <row r="25" spans="1:3" x14ac:dyDescent="0.25">
      <c r="A25">
        <v>27</v>
      </c>
      <c r="B25" t="s">
        <v>40</v>
      </c>
      <c r="C25" t="s">
        <v>39</v>
      </c>
    </row>
    <row r="26" spans="1:3" x14ac:dyDescent="0.25">
      <c r="A26">
        <v>28</v>
      </c>
      <c r="B26" t="s">
        <v>42</v>
      </c>
      <c r="C26" t="s">
        <v>85</v>
      </c>
    </row>
    <row r="27" spans="1:3" x14ac:dyDescent="0.25">
      <c r="A27">
        <v>29</v>
      </c>
      <c r="B27" t="s">
        <v>76</v>
      </c>
      <c r="C27" t="s">
        <v>75</v>
      </c>
    </row>
    <row r="28" spans="1:3" x14ac:dyDescent="0.25">
      <c r="A28">
        <v>30</v>
      </c>
      <c r="B28" t="s">
        <v>72</v>
      </c>
      <c r="C28" t="s">
        <v>102</v>
      </c>
    </row>
    <row r="29" spans="1:3" x14ac:dyDescent="0.25">
      <c r="A29">
        <v>32</v>
      </c>
      <c r="B29" t="s">
        <v>31</v>
      </c>
      <c r="C29" t="s">
        <v>95</v>
      </c>
    </row>
    <row r="30" spans="1:3" x14ac:dyDescent="0.25">
      <c r="A30">
        <v>34</v>
      </c>
      <c r="B30" t="s">
        <v>42</v>
      </c>
      <c r="C30" t="s">
        <v>41</v>
      </c>
    </row>
    <row r="31" spans="1:3" x14ac:dyDescent="0.25">
      <c r="A31">
        <v>35</v>
      </c>
      <c r="B31" t="s">
        <v>42</v>
      </c>
      <c r="C31" t="s">
        <v>63</v>
      </c>
    </row>
    <row r="32" spans="1:3" x14ac:dyDescent="0.25">
      <c r="A32">
        <v>36</v>
      </c>
      <c r="B32" t="s">
        <v>40</v>
      </c>
      <c r="C32" t="s">
        <v>116</v>
      </c>
    </row>
    <row r="33" spans="1:3" x14ac:dyDescent="0.25">
      <c r="A33">
        <v>37</v>
      </c>
      <c r="B33" t="s">
        <v>76</v>
      </c>
      <c r="C33" t="s">
        <v>75</v>
      </c>
    </row>
    <row r="34" spans="1:3" x14ac:dyDescent="0.25">
      <c r="A34">
        <v>38</v>
      </c>
      <c r="B34" t="s">
        <v>48</v>
      </c>
      <c r="C34" t="s">
        <v>80</v>
      </c>
    </row>
    <row r="35" spans="1:3" x14ac:dyDescent="0.25">
      <c r="A35">
        <v>39</v>
      </c>
      <c r="B35" t="s">
        <v>50</v>
      </c>
      <c r="C35" t="s">
        <v>49</v>
      </c>
    </row>
    <row r="36" spans="1:3" x14ac:dyDescent="0.25">
      <c r="A36">
        <v>40</v>
      </c>
      <c r="B36" t="s">
        <v>57</v>
      </c>
      <c r="C36" t="s">
        <v>119</v>
      </c>
    </row>
    <row r="37" spans="1:3" x14ac:dyDescent="0.25">
      <c r="A37">
        <v>41</v>
      </c>
      <c r="B37" t="s">
        <v>90</v>
      </c>
      <c r="C37" t="s">
        <v>120</v>
      </c>
    </row>
    <row r="38" spans="1:3" x14ac:dyDescent="0.25">
      <c r="A38">
        <v>42</v>
      </c>
      <c r="B38" t="s">
        <v>90</v>
      </c>
      <c r="C38" t="s">
        <v>63</v>
      </c>
    </row>
    <row r="39" spans="1:3" x14ac:dyDescent="0.25">
      <c r="A39">
        <v>43</v>
      </c>
      <c r="B39" t="s">
        <v>69</v>
      </c>
      <c r="C39" t="s">
        <v>100</v>
      </c>
    </row>
    <row r="40" spans="1:3" x14ac:dyDescent="0.25">
      <c r="A40">
        <v>44</v>
      </c>
      <c r="B40" t="s">
        <v>44</v>
      </c>
      <c r="C40" t="s">
        <v>65</v>
      </c>
    </row>
    <row r="41" spans="1:3" x14ac:dyDescent="0.25">
      <c r="A41">
        <v>45</v>
      </c>
      <c r="B41" t="s">
        <v>33</v>
      </c>
      <c r="C41" t="s">
        <v>51</v>
      </c>
    </row>
    <row r="42" spans="1:3" x14ac:dyDescent="0.25">
      <c r="A42">
        <v>46</v>
      </c>
      <c r="B42" t="s">
        <v>46</v>
      </c>
      <c r="C42" t="s">
        <v>77</v>
      </c>
    </row>
    <row r="43" spans="1:3" x14ac:dyDescent="0.25">
      <c r="A43">
        <v>47</v>
      </c>
      <c r="B43" t="s">
        <v>108</v>
      </c>
      <c r="C43" t="s">
        <v>109</v>
      </c>
    </row>
    <row r="44" spans="1:3" x14ac:dyDescent="0.25">
      <c r="A44">
        <v>48</v>
      </c>
      <c r="B44" t="s">
        <v>35</v>
      </c>
      <c r="C44" t="s">
        <v>38</v>
      </c>
    </row>
    <row r="45" spans="1:3" x14ac:dyDescent="0.25">
      <c r="A45">
        <v>49</v>
      </c>
      <c r="B45" t="s">
        <v>90</v>
      </c>
      <c r="C45" t="s">
        <v>120</v>
      </c>
    </row>
    <row r="46" spans="1:3" x14ac:dyDescent="0.25">
      <c r="A46">
        <v>50</v>
      </c>
      <c r="B46" t="s">
        <v>33</v>
      </c>
      <c r="C46" t="s">
        <v>51</v>
      </c>
    </row>
    <row r="47" spans="1:3" x14ac:dyDescent="0.25">
      <c r="A47">
        <v>51</v>
      </c>
      <c r="B47" t="s">
        <v>57</v>
      </c>
      <c r="C47" t="s">
        <v>78</v>
      </c>
    </row>
    <row r="48" spans="1:3" x14ac:dyDescent="0.25">
      <c r="A48">
        <v>52</v>
      </c>
      <c r="B48" t="s">
        <v>76</v>
      </c>
      <c r="C48" t="s">
        <v>75</v>
      </c>
    </row>
    <row r="49" spans="1:3" x14ac:dyDescent="0.25">
      <c r="A49">
        <v>55</v>
      </c>
      <c r="B49" t="s">
        <v>42</v>
      </c>
      <c r="C49" t="s">
        <v>85</v>
      </c>
    </row>
    <row r="50" spans="1:3" x14ac:dyDescent="0.25">
      <c r="A50">
        <v>57</v>
      </c>
      <c r="B50" t="s">
        <v>69</v>
      </c>
      <c r="C50" t="s">
        <v>124</v>
      </c>
    </row>
    <row r="51" spans="1:3" x14ac:dyDescent="0.25">
      <c r="A51">
        <v>59</v>
      </c>
      <c r="B51" t="s">
        <v>29</v>
      </c>
      <c r="C51" t="s">
        <v>61</v>
      </c>
    </row>
    <row r="52" spans="1:3" x14ac:dyDescent="0.25">
      <c r="A52">
        <v>60</v>
      </c>
      <c r="B52" t="s">
        <v>53</v>
      </c>
      <c r="C52" t="s">
        <v>82</v>
      </c>
    </row>
    <row r="53" spans="1:3" x14ac:dyDescent="0.25">
      <c r="A53">
        <v>61</v>
      </c>
      <c r="B53" t="s">
        <v>46</v>
      </c>
      <c r="C53" t="s">
        <v>66</v>
      </c>
    </row>
    <row r="54" spans="1:3" x14ac:dyDescent="0.25">
      <c r="A54">
        <v>62</v>
      </c>
      <c r="B54" t="s">
        <v>55</v>
      </c>
      <c r="C54" t="s">
        <v>97</v>
      </c>
    </row>
    <row r="55" spans="1:3" x14ac:dyDescent="0.25">
      <c r="A55">
        <v>63</v>
      </c>
      <c r="B55" t="s">
        <v>55</v>
      </c>
      <c r="C55" t="s">
        <v>97</v>
      </c>
    </row>
    <row r="56" spans="1:3" x14ac:dyDescent="0.25">
      <c r="A56">
        <v>64</v>
      </c>
      <c r="B56" t="s">
        <v>57</v>
      </c>
      <c r="C56" t="s">
        <v>81</v>
      </c>
    </row>
    <row r="57" spans="1:3" x14ac:dyDescent="0.25">
      <c r="A57">
        <v>65</v>
      </c>
      <c r="B57" t="s">
        <v>37</v>
      </c>
      <c r="C57" t="s">
        <v>87</v>
      </c>
    </row>
    <row r="58" spans="1:3" x14ac:dyDescent="0.25">
      <c r="A58">
        <v>66</v>
      </c>
      <c r="B58" t="s">
        <v>53</v>
      </c>
      <c r="C58" t="s">
        <v>84</v>
      </c>
    </row>
    <row r="59" spans="1:3" x14ac:dyDescent="0.25">
      <c r="A59">
        <v>67</v>
      </c>
      <c r="B59" t="s">
        <v>46</v>
      </c>
      <c r="C59" t="s">
        <v>45</v>
      </c>
    </row>
    <row r="60" spans="1:3" x14ac:dyDescent="0.25">
      <c r="A60">
        <v>69</v>
      </c>
      <c r="B60" t="s">
        <v>72</v>
      </c>
      <c r="C60" t="s">
        <v>71</v>
      </c>
    </row>
    <row r="61" spans="1:3" x14ac:dyDescent="0.25">
      <c r="A61">
        <v>70</v>
      </c>
      <c r="B61" t="s">
        <v>90</v>
      </c>
      <c r="C61" t="s">
        <v>63</v>
      </c>
    </row>
    <row r="62" spans="1:3" x14ac:dyDescent="0.25">
      <c r="A62">
        <v>71</v>
      </c>
      <c r="B62" t="s">
        <v>69</v>
      </c>
      <c r="C62" t="s">
        <v>68</v>
      </c>
    </row>
    <row r="63" spans="1:3" x14ac:dyDescent="0.25">
      <c r="A63">
        <v>72</v>
      </c>
      <c r="B63" t="s">
        <v>48</v>
      </c>
      <c r="C63" t="s">
        <v>64</v>
      </c>
    </row>
    <row r="64" spans="1:3" x14ac:dyDescent="0.25">
      <c r="A64">
        <v>73</v>
      </c>
      <c r="B64" t="s">
        <v>37</v>
      </c>
      <c r="C64" t="s">
        <v>36</v>
      </c>
    </row>
    <row r="65" spans="1:3" x14ac:dyDescent="0.25">
      <c r="A65">
        <v>74</v>
      </c>
      <c r="B65" t="s">
        <v>57</v>
      </c>
      <c r="C65" t="s">
        <v>56</v>
      </c>
    </row>
    <row r="66" spans="1:3" x14ac:dyDescent="0.25">
      <c r="A66">
        <v>75</v>
      </c>
      <c r="B66" t="s">
        <v>69</v>
      </c>
      <c r="C66" t="s">
        <v>68</v>
      </c>
    </row>
    <row r="67" spans="1:3" x14ac:dyDescent="0.25">
      <c r="A67">
        <v>76</v>
      </c>
      <c r="B67" t="s">
        <v>69</v>
      </c>
      <c r="C67" t="s">
        <v>124</v>
      </c>
    </row>
    <row r="68" spans="1:3" x14ac:dyDescent="0.25">
      <c r="A68">
        <v>77</v>
      </c>
      <c r="B68" t="s">
        <v>40</v>
      </c>
      <c r="C68" t="s">
        <v>39</v>
      </c>
    </row>
    <row r="69" spans="1:3" x14ac:dyDescent="0.25">
      <c r="A69">
        <v>80</v>
      </c>
      <c r="B69" t="s">
        <v>48</v>
      </c>
      <c r="C69" t="s">
        <v>83</v>
      </c>
    </row>
    <row r="70" spans="1:3" x14ac:dyDescent="0.25">
      <c r="A70">
        <v>81</v>
      </c>
      <c r="B70" t="s">
        <v>60</v>
      </c>
      <c r="C70" t="s">
        <v>59</v>
      </c>
    </row>
    <row r="71" spans="1:3" x14ac:dyDescent="0.25">
      <c r="A71">
        <v>82</v>
      </c>
      <c r="B71" t="s">
        <v>50</v>
      </c>
      <c r="C71" t="s">
        <v>123</v>
      </c>
    </row>
    <row r="72" spans="1:3" x14ac:dyDescent="0.25">
      <c r="A72">
        <v>83</v>
      </c>
      <c r="B72" t="s">
        <v>33</v>
      </c>
      <c r="C72" t="s">
        <v>121</v>
      </c>
    </row>
    <row r="73" spans="1:3" x14ac:dyDescent="0.25">
      <c r="A73">
        <v>84</v>
      </c>
      <c r="B73" t="s">
        <v>53</v>
      </c>
      <c r="C73" t="s">
        <v>52</v>
      </c>
    </row>
    <row r="74" spans="1:3" x14ac:dyDescent="0.25">
      <c r="A74">
        <v>86</v>
      </c>
      <c r="B74" t="s">
        <v>29</v>
      </c>
      <c r="C74" t="s">
        <v>89</v>
      </c>
    </row>
    <row r="75" spans="1:3" x14ac:dyDescent="0.25">
      <c r="A75">
        <v>87</v>
      </c>
      <c r="B75" t="s">
        <v>53</v>
      </c>
      <c r="C75" t="s">
        <v>82</v>
      </c>
    </row>
    <row r="76" spans="1:3" x14ac:dyDescent="0.25">
      <c r="A76">
        <v>88</v>
      </c>
      <c r="B76" t="s">
        <v>42</v>
      </c>
      <c r="C76" t="s">
        <v>63</v>
      </c>
    </row>
    <row r="77" spans="1:3" x14ac:dyDescent="0.25">
      <c r="A77">
        <v>89</v>
      </c>
      <c r="B77" t="s">
        <v>48</v>
      </c>
      <c r="C77" t="s">
        <v>80</v>
      </c>
    </row>
    <row r="78" spans="1:3" x14ac:dyDescent="0.25">
      <c r="A78">
        <v>90</v>
      </c>
      <c r="B78" t="s">
        <v>53</v>
      </c>
      <c r="C78" t="s">
        <v>105</v>
      </c>
    </row>
    <row r="79" spans="1:3" x14ac:dyDescent="0.25">
      <c r="A79">
        <v>91</v>
      </c>
      <c r="B79" t="s">
        <v>50</v>
      </c>
      <c r="C79" t="s">
        <v>49</v>
      </c>
    </row>
    <row r="80" spans="1:3" x14ac:dyDescent="0.25">
      <c r="A80">
        <v>93</v>
      </c>
      <c r="B80" t="s">
        <v>60</v>
      </c>
      <c r="C80" t="s">
        <v>107</v>
      </c>
    </row>
    <row r="81" spans="1:3" x14ac:dyDescent="0.25">
      <c r="A81">
        <v>96</v>
      </c>
      <c r="B81" t="s">
        <v>76</v>
      </c>
      <c r="C81" t="s">
        <v>106</v>
      </c>
    </row>
    <row r="82" spans="1:3" x14ac:dyDescent="0.25">
      <c r="A82">
        <v>97</v>
      </c>
      <c r="B82" t="s">
        <v>69</v>
      </c>
      <c r="C82" t="s">
        <v>100</v>
      </c>
    </row>
    <row r="83" spans="1:3" x14ac:dyDescent="0.25">
      <c r="A83">
        <v>99</v>
      </c>
      <c r="B83" t="s">
        <v>31</v>
      </c>
      <c r="C83" t="s">
        <v>30</v>
      </c>
    </row>
    <row r="84" spans="1:3" x14ac:dyDescent="0.25">
      <c r="A84">
        <v>100</v>
      </c>
      <c r="B84" t="s">
        <v>46</v>
      </c>
      <c r="C84" t="s">
        <v>73</v>
      </c>
    </row>
    <row r="85" spans="1:3" x14ac:dyDescent="0.25">
      <c r="A85">
        <v>101</v>
      </c>
      <c r="B85" t="s">
        <v>60</v>
      </c>
      <c r="C85" t="s">
        <v>88</v>
      </c>
    </row>
    <row r="86" spans="1:3" x14ac:dyDescent="0.25">
      <c r="A86">
        <v>102</v>
      </c>
      <c r="B86" t="s">
        <v>69</v>
      </c>
      <c r="C86" t="s">
        <v>68</v>
      </c>
    </row>
    <row r="87" spans="1:3" x14ac:dyDescent="0.25">
      <c r="A87">
        <v>103</v>
      </c>
      <c r="B87" t="s">
        <v>55</v>
      </c>
      <c r="C87" t="s">
        <v>118</v>
      </c>
    </row>
    <row r="88" spans="1:3" x14ac:dyDescent="0.25">
      <c r="A88">
        <v>104</v>
      </c>
      <c r="B88" t="s">
        <v>46</v>
      </c>
      <c r="C88" t="s">
        <v>73</v>
      </c>
    </row>
    <row r="89" spans="1:3" x14ac:dyDescent="0.25">
      <c r="A89">
        <v>105</v>
      </c>
      <c r="B89" t="s">
        <v>35</v>
      </c>
      <c r="C89" t="s">
        <v>58</v>
      </c>
    </row>
    <row r="90" spans="1:3" x14ac:dyDescent="0.25">
      <c r="A90">
        <v>110</v>
      </c>
      <c r="B90" t="s">
        <v>40</v>
      </c>
      <c r="C90" t="s">
        <v>39</v>
      </c>
    </row>
    <row r="91" spans="1:3" x14ac:dyDescent="0.25">
      <c r="A91">
        <v>111</v>
      </c>
      <c r="B91" t="s">
        <v>29</v>
      </c>
      <c r="C91" t="s">
        <v>28</v>
      </c>
    </row>
    <row r="92" spans="1:3" x14ac:dyDescent="0.25">
      <c r="A92">
        <v>112</v>
      </c>
      <c r="B92" t="s">
        <v>44</v>
      </c>
      <c r="C92" t="s">
        <v>65</v>
      </c>
    </row>
    <row r="93" spans="1:3" x14ac:dyDescent="0.25">
      <c r="A93">
        <v>113</v>
      </c>
      <c r="B93" t="s">
        <v>33</v>
      </c>
      <c r="C93" t="s">
        <v>51</v>
      </c>
    </row>
    <row r="94" spans="1:3" x14ac:dyDescent="0.25">
      <c r="A94">
        <v>114</v>
      </c>
      <c r="B94" t="s">
        <v>50</v>
      </c>
      <c r="C94" t="s">
        <v>49</v>
      </c>
    </row>
    <row r="95" spans="1:3" x14ac:dyDescent="0.25">
      <c r="A95">
        <v>115</v>
      </c>
      <c r="B95" t="s">
        <v>50</v>
      </c>
      <c r="C95" t="s">
        <v>104</v>
      </c>
    </row>
    <row r="96" spans="1:3" x14ac:dyDescent="0.25">
      <c r="A96">
        <v>116</v>
      </c>
      <c r="B96" t="s">
        <v>76</v>
      </c>
      <c r="C96" t="s">
        <v>96</v>
      </c>
    </row>
    <row r="97" spans="1:3" x14ac:dyDescent="0.25">
      <c r="A97">
        <v>117</v>
      </c>
      <c r="B97" t="s">
        <v>40</v>
      </c>
      <c r="C97" t="s">
        <v>116</v>
      </c>
    </row>
    <row r="98" spans="1:3" x14ac:dyDescent="0.25">
      <c r="A98">
        <v>118</v>
      </c>
      <c r="B98" t="s">
        <v>29</v>
      </c>
      <c r="C98" t="s">
        <v>61</v>
      </c>
    </row>
    <row r="99" spans="1:3" x14ac:dyDescent="0.25">
      <c r="A99">
        <v>119</v>
      </c>
      <c r="B99" t="s">
        <v>69</v>
      </c>
      <c r="C99" t="s">
        <v>100</v>
      </c>
    </row>
    <row r="100" spans="1:3" x14ac:dyDescent="0.25">
      <c r="A100">
        <v>120</v>
      </c>
      <c r="B100" t="s">
        <v>37</v>
      </c>
      <c r="C100" t="s">
        <v>36</v>
      </c>
    </row>
    <row r="101" spans="1:3" x14ac:dyDescent="0.25">
      <c r="A101">
        <v>121</v>
      </c>
      <c r="B101" t="s">
        <v>72</v>
      </c>
      <c r="C101" t="s">
        <v>102</v>
      </c>
    </row>
    <row r="102" spans="1:3" x14ac:dyDescent="0.25">
      <c r="A102">
        <v>122</v>
      </c>
      <c r="B102" t="s">
        <v>35</v>
      </c>
      <c r="C102" t="s">
        <v>58</v>
      </c>
    </row>
    <row r="103" spans="1:3" x14ac:dyDescent="0.25">
      <c r="A103">
        <v>125</v>
      </c>
      <c r="B103" t="s">
        <v>90</v>
      </c>
      <c r="C103" t="s">
        <v>85</v>
      </c>
    </row>
    <row r="104" spans="1:3" x14ac:dyDescent="0.25">
      <c r="A104">
        <v>126</v>
      </c>
      <c r="B104" t="s">
        <v>29</v>
      </c>
      <c r="C104" t="s">
        <v>89</v>
      </c>
    </row>
    <row r="105" spans="1:3" x14ac:dyDescent="0.25">
      <c r="A105">
        <v>127</v>
      </c>
      <c r="B105" t="s">
        <v>31</v>
      </c>
      <c r="C105" t="s">
        <v>30</v>
      </c>
    </row>
    <row r="106" spans="1:3" x14ac:dyDescent="0.25">
      <c r="A106">
        <v>128</v>
      </c>
      <c r="B106" t="s">
        <v>108</v>
      </c>
      <c r="C106" t="s">
        <v>14</v>
      </c>
    </row>
    <row r="107" spans="1:3" x14ac:dyDescent="0.25">
      <c r="A107">
        <v>129</v>
      </c>
      <c r="B107" t="s">
        <v>108</v>
      </c>
      <c r="C107" t="s">
        <v>110</v>
      </c>
    </row>
    <row r="108" spans="1:3" x14ac:dyDescent="0.25">
      <c r="A108">
        <v>130</v>
      </c>
      <c r="B108" t="s">
        <v>76</v>
      </c>
      <c r="C108" t="s">
        <v>75</v>
      </c>
    </row>
    <row r="109" spans="1:3" x14ac:dyDescent="0.25">
      <c r="A109">
        <v>131</v>
      </c>
      <c r="B109" t="s">
        <v>33</v>
      </c>
      <c r="C109" t="s">
        <v>121</v>
      </c>
    </row>
    <row r="110" spans="1:3" x14ac:dyDescent="0.25">
      <c r="A110">
        <v>132</v>
      </c>
      <c r="B110" t="s">
        <v>55</v>
      </c>
      <c r="C110" t="s">
        <v>54</v>
      </c>
    </row>
    <row r="111" spans="1:3" x14ac:dyDescent="0.25">
      <c r="A111">
        <v>134</v>
      </c>
      <c r="B111" t="s">
        <v>55</v>
      </c>
      <c r="C111" t="s">
        <v>54</v>
      </c>
    </row>
    <row r="112" spans="1:3" x14ac:dyDescent="0.25">
      <c r="A112">
        <v>137</v>
      </c>
      <c r="B112" t="s">
        <v>35</v>
      </c>
      <c r="C112" t="s">
        <v>74</v>
      </c>
    </row>
    <row r="113" spans="1:3" x14ac:dyDescent="0.25">
      <c r="A113">
        <v>138</v>
      </c>
      <c r="B113" t="s">
        <v>50</v>
      </c>
      <c r="C113" t="s">
        <v>49</v>
      </c>
    </row>
    <row r="114" spans="1:3" x14ac:dyDescent="0.25">
      <c r="A114">
        <v>139</v>
      </c>
      <c r="B114" t="s">
        <v>46</v>
      </c>
      <c r="C114" t="s">
        <v>73</v>
      </c>
    </row>
    <row r="115" spans="1:3" x14ac:dyDescent="0.25">
      <c r="A115">
        <v>140</v>
      </c>
      <c r="B115" t="s">
        <v>90</v>
      </c>
      <c r="C115" t="s">
        <v>114</v>
      </c>
    </row>
    <row r="116" spans="1:3" x14ac:dyDescent="0.25">
      <c r="A116">
        <v>141</v>
      </c>
      <c r="B116" t="s">
        <v>35</v>
      </c>
      <c r="C116" t="s">
        <v>38</v>
      </c>
    </row>
    <row r="117" spans="1:3" x14ac:dyDescent="0.25">
      <c r="A117">
        <v>142</v>
      </c>
      <c r="B117" t="s">
        <v>35</v>
      </c>
      <c r="C117" t="s">
        <v>38</v>
      </c>
    </row>
    <row r="118" spans="1:3" x14ac:dyDescent="0.25">
      <c r="A118">
        <v>143</v>
      </c>
      <c r="B118" t="s">
        <v>29</v>
      </c>
      <c r="C118" t="s">
        <v>94</v>
      </c>
    </row>
    <row r="119" spans="1:3" x14ac:dyDescent="0.25">
      <c r="A119">
        <v>144</v>
      </c>
      <c r="B119" t="s">
        <v>40</v>
      </c>
      <c r="C119" t="s">
        <v>116</v>
      </c>
    </row>
    <row r="120" spans="1:3" x14ac:dyDescent="0.25">
      <c r="A120">
        <v>145</v>
      </c>
      <c r="B120" t="s">
        <v>31</v>
      </c>
      <c r="C120" t="s">
        <v>30</v>
      </c>
    </row>
    <row r="121" spans="1:3" x14ac:dyDescent="0.25">
      <c r="A121">
        <v>146</v>
      </c>
      <c r="B121" t="s">
        <v>33</v>
      </c>
      <c r="C121" t="s">
        <v>51</v>
      </c>
    </row>
    <row r="122" spans="1:3" x14ac:dyDescent="0.25">
      <c r="A122">
        <v>147</v>
      </c>
      <c r="B122" t="s">
        <v>48</v>
      </c>
      <c r="C122" t="s">
        <v>64</v>
      </c>
    </row>
    <row r="123" spans="1:3" x14ac:dyDescent="0.25">
      <c r="A123">
        <v>148</v>
      </c>
      <c r="B123" t="s">
        <v>33</v>
      </c>
      <c r="C123" t="s">
        <v>32</v>
      </c>
    </row>
    <row r="124" spans="1:3" x14ac:dyDescent="0.25">
      <c r="A124">
        <v>149</v>
      </c>
      <c r="B124" t="s">
        <v>48</v>
      </c>
      <c r="C124" t="s">
        <v>64</v>
      </c>
    </row>
    <row r="125" spans="1:3" x14ac:dyDescent="0.25">
      <c r="A125">
        <v>150</v>
      </c>
      <c r="B125" t="s">
        <v>55</v>
      </c>
      <c r="C125" t="s">
        <v>54</v>
      </c>
    </row>
    <row r="126" spans="1:3" x14ac:dyDescent="0.25">
      <c r="A126">
        <v>151</v>
      </c>
      <c r="B126" t="s">
        <v>44</v>
      </c>
      <c r="C126" t="s">
        <v>65</v>
      </c>
    </row>
    <row r="127" spans="1:3" x14ac:dyDescent="0.25">
      <c r="A127">
        <v>152</v>
      </c>
      <c r="B127" t="s">
        <v>69</v>
      </c>
      <c r="C127" t="s">
        <v>68</v>
      </c>
    </row>
    <row r="128" spans="1:3" x14ac:dyDescent="0.25">
      <c r="A128">
        <v>154</v>
      </c>
      <c r="B128" t="s">
        <v>31</v>
      </c>
      <c r="C128" t="s">
        <v>95</v>
      </c>
    </row>
    <row r="129" spans="1:3" x14ac:dyDescent="0.25">
      <c r="A129">
        <v>155</v>
      </c>
      <c r="B129" t="s">
        <v>46</v>
      </c>
      <c r="C129" t="s">
        <v>66</v>
      </c>
    </row>
    <row r="130" spans="1:3" x14ac:dyDescent="0.25">
      <c r="A130">
        <v>156</v>
      </c>
      <c r="B130" t="s">
        <v>35</v>
      </c>
      <c r="C130" t="s">
        <v>58</v>
      </c>
    </row>
    <row r="131" spans="1:3" x14ac:dyDescent="0.25">
      <c r="A131">
        <v>157</v>
      </c>
      <c r="B131" t="s">
        <v>50</v>
      </c>
      <c r="C131" t="s">
        <v>104</v>
      </c>
    </row>
    <row r="132" spans="1:3" x14ac:dyDescent="0.25">
      <c r="A132">
        <v>158</v>
      </c>
      <c r="B132" t="s">
        <v>29</v>
      </c>
      <c r="C132" t="s">
        <v>28</v>
      </c>
    </row>
    <row r="133" spans="1:3" x14ac:dyDescent="0.25">
      <c r="A133">
        <v>159</v>
      </c>
      <c r="B133" t="s">
        <v>42</v>
      </c>
      <c r="C133" t="s">
        <v>85</v>
      </c>
    </row>
    <row r="134" spans="1:3" x14ac:dyDescent="0.25">
      <c r="A134">
        <v>160</v>
      </c>
      <c r="B134" t="s">
        <v>42</v>
      </c>
      <c r="C134" t="s">
        <v>63</v>
      </c>
    </row>
    <row r="135" spans="1:3" x14ac:dyDescent="0.25">
      <c r="A135">
        <v>161</v>
      </c>
      <c r="B135" t="s">
        <v>44</v>
      </c>
      <c r="C135" t="s">
        <v>99</v>
      </c>
    </row>
    <row r="136" spans="1:3" x14ac:dyDescent="0.25">
      <c r="A136">
        <v>162</v>
      </c>
      <c r="B136" t="s">
        <v>33</v>
      </c>
      <c r="C136" t="s">
        <v>32</v>
      </c>
    </row>
    <row r="137" spans="1:3" x14ac:dyDescent="0.25">
      <c r="A137">
        <v>163</v>
      </c>
      <c r="B137" t="s">
        <v>76</v>
      </c>
      <c r="C137" t="s">
        <v>96</v>
      </c>
    </row>
    <row r="138" spans="1:3" x14ac:dyDescent="0.25">
      <c r="A138">
        <v>164</v>
      </c>
      <c r="B138" t="s">
        <v>44</v>
      </c>
      <c r="C138" t="s">
        <v>65</v>
      </c>
    </row>
    <row r="139" spans="1:3" x14ac:dyDescent="0.25">
      <c r="A139">
        <v>166</v>
      </c>
      <c r="B139" t="s">
        <v>33</v>
      </c>
      <c r="C139" t="s">
        <v>51</v>
      </c>
    </row>
    <row r="140" spans="1:3" x14ac:dyDescent="0.25">
      <c r="A140">
        <v>167</v>
      </c>
      <c r="B140" t="s">
        <v>108</v>
      </c>
      <c r="C140" t="s">
        <v>115</v>
      </c>
    </row>
    <row r="141" spans="1:3" x14ac:dyDescent="0.25">
      <c r="A141">
        <v>168</v>
      </c>
      <c r="B141" t="s">
        <v>42</v>
      </c>
      <c r="C141" t="s">
        <v>41</v>
      </c>
    </row>
    <row r="142" spans="1:3" x14ac:dyDescent="0.25">
      <c r="A142">
        <v>169</v>
      </c>
      <c r="B142" t="s">
        <v>35</v>
      </c>
      <c r="C142" t="s">
        <v>38</v>
      </c>
    </row>
    <row r="143" spans="1:3" x14ac:dyDescent="0.25">
      <c r="A143">
        <v>170</v>
      </c>
      <c r="B143" t="s">
        <v>48</v>
      </c>
      <c r="C143" t="s">
        <v>47</v>
      </c>
    </row>
    <row r="144" spans="1:3" x14ac:dyDescent="0.25">
      <c r="A144">
        <v>171</v>
      </c>
      <c r="B144" t="s">
        <v>60</v>
      </c>
      <c r="C144" t="s">
        <v>107</v>
      </c>
    </row>
    <row r="145" spans="1:3" x14ac:dyDescent="0.25">
      <c r="A145">
        <v>172</v>
      </c>
      <c r="B145" t="s">
        <v>35</v>
      </c>
      <c r="C145" t="s">
        <v>34</v>
      </c>
    </row>
    <row r="146" spans="1:3" x14ac:dyDescent="0.25">
      <c r="A146">
        <v>173</v>
      </c>
      <c r="B146" t="s">
        <v>33</v>
      </c>
      <c r="C146" t="s">
        <v>32</v>
      </c>
    </row>
    <row r="147" spans="1:3" x14ac:dyDescent="0.25">
      <c r="A147">
        <v>174</v>
      </c>
      <c r="B147" t="s">
        <v>60</v>
      </c>
      <c r="C147" t="s">
        <v>88</v>
      </c>
    </row>
    <row r="148" spans="1:3" x14ac:dyDescent="0.25">
      <c r="A148">
        <v>175</v>
      </c>
      <c r="B148" t="s">
        <v>31</v>
      </c>
      <c r="C148" t="s">
        <v>30</v>
      </c>
    </row>
    <row r="149" spans="1:3" x14ac:dyDescent="0.25">
      <c r="A149">
        <v>176</v>
      </c>
      <c r="B149" t="s">
        <v>29</v>
      </c>
      <c r="C149" t="s">
        <v>61</v>
      </c>
    </row>
    <row r="150" spans="1:3" x14ac:dyDescent="0.25">
      <c r="A150">
        <v>178</v>
      </c>
      <c r="B150" t="s">
        <v>46</v>
      </c>
      <c r="C150" t="s">
        <v>73</v>
      </c>
    </row>
    <row r="151" spans="1:3" x14ac:dyDescent="0.25">
      <c r="A151">
        <v>180</v>
      </c>
      <c r="B151" t="s">
        <v>72</v>
      </c>
      <c r="C151" t="s">
        <v>117</v>
      </c>
    </row>
    <row r="152" spans="1:3" x14ac:dyDescent="0.25">
      <c r="A152">
        <v>181</v>
      </c>
      <c r="B152" t="s">
        <v>44</v>
      </c>
      <c r="C152" t="s">
        <v>99</v>
      </c>
    </row>
    <row r="153" spans="1:3" x14ac:dyDescent="0.25">
      <c r="A153">
        <v>182</v>
      </c>
      <c r="B153" t="s">
        <v>76</v>
      </c>
      <c r="C153" t="s">
        <v>96</v>
      </c>
    </row>
    <row r="154" spans="1:3" x14ac:dyDescent="0.25">
      <c r="A154">
        <v>183</v>
      </c>
      <c r="B154" t="s">
        <v>48</v>
      </c>
      <c r="C154" t="s">
        <v>64</v>
      </c>
    </row>
    <row r="155" spans="1:3" x14ac:dyDescent="0.25">
      <c r="A155">
        <v>184</v>
      </c>
      <c r="B155" t="s">
        <v>48</v>
      </c>
      <c r="C155" t="s">
        <v>47</v>
      </c>
    </row>
    <row r="156" spans="1:3" x14ac:dyDescent="0.25">
      <c r="A156">
        <v>186</v>
      </c>
      <c r="B156" t="s">
        <v>50</v>
      </c>
      <c r="C156" t="s">
        <v>104</v>
      </c>
    </row>
    <row r="157" spans="1:3" x14ac:dyDescent="0.25">
      <c r="A157">
        <v>187</v>
      </c>
      <c r="B157" t="s">
        <v>40</v>
      </c>
      <c r="C157" t="s">
        <v>39</v>
      </c>
    </row>
    <row r="158" spans="1:3" x14ac:dyDescent="0.25">
      <c r="A158">
        <v>188</v>
      </c>
      <c r="B158" t="s">
        <v>44</v>
      </c>
      <c r="C158" t="s">
        <v>113</v>
      </c>
    </row>
    <row r="159" spans="1:3" x14ac:dyDescent="0.25">
      <c r="A159">
        <v>189</v>
      </c>
      <c r="B159" t="s">
        <v>37</v>
      </c>
      <c r="C159" t="s">
        <v>36</v>
      </c>
    </row>
    <row r="160" spans="1:3" x14ac:dyDescent="0.25">
      <c r="A160">
        <v>191</v>
      </c>
      <c r="B160" t="s">
        <v>57</v>
      </c>
      <c r="C160" t="s">
        <v>81</v>
      </c>
    </row>
    <row r="161" spans="1:3" x14ac:dyDescent="0.25">
      <c r="A161">
        <v>192</v>
      </c>
      <c r="B161" t="s">
        <v>108</v>
      </c>
      <c r="C161" t="s">
        <v>109</v>
      </c>
    </row>
    <row r="162" spans="1:3" x14ac:dyDescent="0.25">
      <c r="A162">
        <v>193</v>
      </c>
      <c r="B162" t="s">
        <v>76</v>
      </c>
      <c r="C162" t="s">
        <v>106</v>
      </c>
    </row>
    <row r="163" spans="1:3" x14ac:dyDescent="0.25">
      <c r="A163">
        <v>194</v>
      </c>
      <c r="B163" t="s">
        <v>76</v>
      </c>
      <c r="C163" t="s">
        <v>106</v>
      </c>
    </row>
    <row r="164" spans="1:3" x14ac:dyDescent="0.25">
      <c r="A164">
        <v>195</v>
      </c>
      <c r="B164" t="s">
        <v>37</v>
      </c>
      <c r="C164" t="s">
        <v>111</v>
      </c>
    </row>
    <row r="165" spans="1:3" x14ac:dyDescent="0.25">
      <c r="A165">
        <v>196</v>
      </c>
      <c r="B165" t="s">
        <v>48</v>
      </c>
      <c r="C165" t="s">
        <v>80</v>
      </c>
    </row>
    <row r="166" spans="1:3" x14ac:dyDescent="0.25">
      <c r="A166">
        <v>197</v>
      </c>
      <c r="B166" t="s">
        <v>69</v>
      </c>
      <c r="C166" t="s">
        <v>124</v>
      </c>
    </row>
    <row r="167" spans="1:3" x14ac:dyDescent="0.25">
      <c r="A167">
        <v>198</v>
      </c>
      <c r="B167" t="s">
        <v>108</v>
      </c>
      <c r="C167" t="s">
        <v>14</v>
      </c>
    </row>
    <row r="168" spans="1:3" x14ac:dyDescent="0.25">
      <c r="A168">
        <v>199</v>
      </c>
      <c r="B168" t="s">
        <v>40</v>
      </c>
      <c r="C168" t="s">
        <v>91</v>
      </c>
    </row>
    <row r="169" spans="1:3" x14ac:dyDescent="0.25">
      <c r="A169">
        <v>200</v>
      </c>
      <c r="B169" t="s">
        <v>72</v>
      </c>
      <c r="C169" t="s">
        <v>71</v>
      </c>
    </row>
    <row r="170" spans="1:3" x14ac:dyDescent="0.25">
      <c r="A170">
        <v>201</v>
      </c>
      <c r="B170" t="s">
        <v>69</v>
      </c>
      <c r="C170" t="s">
        <v>68</v>
      </c>
    </row>
    <row r="171" spans="1:3" x14ac:dyDescent="0.25">
      <c r="A171">
        <v>202</v>
      </c>
      <c r="B171" t="s">
        <v>31</v>
      </c>
      <c r="C171" t="s">
        <v>62</v>
      </c>
    </row>
    <row r="172" spans="1:3" x14ac:dyDescent="0.25">
      <c r="A172">
        <v>204</v>
      </c>
      <c r="B172" t="s">
        <v>69</v>
      </c>
      <c r="C172" t="s">
        <v>124</v>
      </c>
    </row>
    <row r="173" spans="1:3" x14ac:dyDescent="0.25">
      <c r="A173">
        <v>205</v>
      </c>
      <c r="B173" t="s">
        <v>40</v>
      </c>
      <c r="C173" t="s">
        <v>91</v>
      </c>
    </row>
    <row r="174" spans="1:3" x14ac:dyDescent="0.25">
      <c r="A174">
        <v>206</v>
      </c>
      <c r="B174" t="s">
        <v>44</v>
      </c>
      <c r="C174" t="s">
        <v>43</v>
      </c>
    </row>
    <row r="175" spans="1:3" x14ac:dyDescent="0.25">
      <c r="A175">
        <v>207</v>
      </c>
      <c r="B175" t="s">
        <v>29</v>
      </c>
      <c r="C175" t="s">
        <v>94</v>
      </c>
    </row>
    <row r="176" spans="1:3" x14ac:dyDescent="0.25">
      <c r="A176">
        <v>208</v>
      </c>
      <c r="B176" t="s">
        <v>48</v>
      </c>
      <c r="C176" t="s">
        <v>47</v>
      </c>
    </row>
    <row r="177" spans="1:3" x14ac:dyDescent="0.25">
      <c r="A177">
        <v>209</v>
      </c>
      <c r="B177" t="s">
        <v>37</v>
      </c>
      <c r="C177" t="s">
        <v>93</v>
      </c>
    </row>
    <row r="178" spans="1:3" x14ac:dyDescent="0.25">
      <c r="A178">
        <v>210</v>
      </c>
      <c r="B178" t="s">
        <v>57</v>
      </c>
      <c r="C178" t="s">
        <v>81</v>
      </c>
    </row>
    <row r="179" spans="1:3" x14ac:dyDescent="0.25">
      <c r="A179">
        <v>211</v>
      </c>
      <c r="B179" t="s">
        <v>31</v>
      </c>
      <c r="C179" t="s">
        <v>62</v>
      </c>
    </row>
    <row r="180" spans="1:3" x14ac:dyDescent="0.25">
      <c r="A180">
        <v>212</v>
      </c>
      <c r="B180" t="s">
        <v>72</v>
      </c>
      <c r="C180" t="s">
        <v>122</v>
      </c>
    </row>
    <row r="181" spans="1:3" x14ac:dyDescent="0.25">
      <c r="A181">
        <v>213</v>
      </c>
      <c r="B181" t="s">
        <v>29</v>
      </c>
      <c r="C181" t="s">
        <v>61</v>
      </c>
    </row>
    <row r="182" spans="1:3" x14ac:dyDescent="0.25">
      <c r="A182">
        <v>215</v>
      </c>
      <c r="B182" t="s">
        <v>33</v>
      </c>
      <c r="C182" t="s">
        <v>32</v>
      </c>
    </row>
    <row r="183" spans="1:3" x14ac:dyDescent="0.25">
      <c r="A183">
        <v>216</v>
      </c>
      <c r="B183" t="s">
        <v>53</v>
      </c>
      <c r="C183" t="s">
        <v>84</v>
      </c>
    </row>
    <row r="184" spans="1:3" x14ac:dyDescent="0.25">
      <c r="A184">
        <v>217</v>
      </c>
      <c r="B184" t="s">
        <v>108</v>
      </c>
      <c r="C184" t="s">
        <v>110</v>
      </c>
    </row>
    <row r="185" spans="1:3" x14ac:dyDescent="0.25">
      <c r="A185">
        <v>218</v>
      </c>
      <c r="B185" t="s">
        <v>57</v>
      </c>
      <c r="C185" t="s">
        <v>78</v>
      </c>
    </row>
    <row r="186" spans="1:3" x14ac:dyDescent="0.25">
      <c r="A186">
        <v>219</v>
      </c>
      <c r="B186" t="s">
        <v>46</v>
      </c>
      <c r="C186" t="s">
        <v>45</v>
      </c>
    </row>
    <row r="187" spans="1:3" x14ac:dyDescent="0.25">
      <c r="A187">
        <v>220</v>
      </c>
      <c r="B187" t="s">
        <v>60</v>
      </c>
      <c r="C187" t="s">
        <v>59</v>
      </c>
    </row>
    <row r="188" spans="1:3" x14ac:dyDescent="0.25">
      <c r="A188">
        <v>221</v>
      </c>
      <c r="B188" t="s">
        <v>72</v>
      </c>
      <c r="C188" t="s">
        <v>102</v>
      </c>
    </row>
    <row r="189" spans="1:3" x14ac:dyDescent="0.25">
      <c r="A189">
        <v>222</v>
      </c>
      <c r="B189" t="s">
        <v>44</v>
      </c>
      <c r="C189" t="s">
        <v>99</v>
      </c>
    </row>
    <row r="190" spans="1:3" x14ac:dyDescent="0.25">
      <c r="A190">
        <v>223</v>
      </c>
      <c r="B190" t="s">
        <v>60</v>
      </c>
      <c r="C190" t="s">
        <v>107</v>
      </c>
    </row>
    <row r="191" spans="1:3" x14ac:dyDescent="0.25">
      <c r="A191">
        <v>224</v>
      </c>
      <c r="B191" t="s">
        <v>72</v>
      </c>
      <c r="C191" t="s">
        <v>102</v>
      </c>
    </row>
    <row r="192" spans="1:3" x14ac:dyDescent="0.25">
      <c r="A192">
        <v>225</v>
      </c>
      <c r="B192" t="s">
        <v>76</v>
      </c>
      <c r="C192" t="s">
        <v>75</v>
      </c>
    </row>
    <row r="193" spans="1:3" x14ac:dyDescent="0.25">
      <c r="A193">
        <v>226</v>
      </c>
      <c r="B193" t="s">
        <v>50</v>
      </c>
      <c r="C193" t="s">
        <v>92</v>
      </c>
    </row>
    <row r="194" spans="1:3" x14ac:dyDescent="0.25">
      <c r="A194">
        <v>227</v>
      </c>
      <c r="B194" t="s">
        <v>40</v>
      </c>
      <c r="C194" t="s">
        <v>101</v>
      </c>
    </row>
    <row r="195" spans="1:3" x14ac:dyDescent="0.25">
      <c r="A195">
        <v>228</v>
      </c>
      <c r="B195" t="s">
        <v>90</v>
      </c>
      <c r="C195" t="s">
        <v>63</v>
      </c>
    </row>
    <row r="196" spans="1:3" x14ac:dyDescent="0.25">
      <c r="A196">
        <v>229</v>
      </c>
      <c r="B196" t="s">
        <v>108</v>
      </c>
      <c r="C196" t="s">
        <v>115</v>
      </c>
    </row>
    <row r="197" spans="1:3" x14ac:dyDescent="0.25">
      <c r="A197">
        <v>230</v>
      </c>
      <c r="B197" t="s">
        <v>33</v>
      </c>
      <c r="C197" t="s">
        <v>32</v>
      </c>
    </row>
    <row r="198" spans="1:3" x14ac:dyDescent="0.25">
      <c r="A198">
        <v>232</v>
      </c>
      <c r="B198" t="s">
        <v>44</v>
      </c>
      <c r="C198" t="s">
        <v>99</v>
      </c>
    </row>
    <row r="199" spans="1:3" x14ac:dyDescent="0.25">
      <c r="A199">
        <v>233</v>
      </c>
      <c r="B199" t="s">
        <v>46</v>
      </c>
      <c r="C199" t="s">
        <v>73</v>
      </c>
    </row>
    <row r="200" spans="1:3" x14ac:dyDescent="0.25">
      <c r="A200">
        <v>234</v>
      </c>
      <c r="B200" t="s">
        <v>60</v>
      </c>
      <c r="C200" t="s">
        <v>107</v>
      </c>
    </row>
    <row r="201" spans="1:3" x14ac:dyDescent="0.25">
      <c r="A201">
        <v>235</v>
      </c>
      <c r="B201" t="s">
        <v>37</v>
      </c>
      <c r="C201" t="s">
        <v>93</v>
      </c>
    </row>
    <row r="202" spans="1:3" x14ac:dyDescent="0.25">
      <c r="A202">
        <v>236</v>
      </c>
      <c r="B202" t="s">
        <v>69</v>
      </c>
      <c r="C202" t="s">
        <v>98</v>
      </c>
    </row>
    <row r="203" spans="1:3" x14ac:dyDescent="0.25">
      <c r="A203">
        <v>237</v>
      </c>
      <c r="B203" t="s">
        <v>48</v>
      </c>
      <c r="C203" t="s">
        <v>80</v>
      </c>
    </row>
    <row r="204" spans="1:3" x14ac:dyDescent="0.25">
      <c r="A204">
        <v>239</v>
      </c>
      <c r="B204" t="s">
        <v>46</v>
      </c>
      <c r="C204" t="s">
        <v>66</v>
      </c>
    </row>
    <row r="205" spans="1:3" x14ac:dyDescent="0.25">
      <c r="A205">
        <v>240</v>
      </c>
      <c r="B205" t="s">
        <v>40</v>
      </c>
      <c r="C205" t="s">
        <v>91</v>
      </c>
    </row>
    <row r="206" spans="1:3" x14ac:dyDescent="0.25">
      <c r="A206">
        <v>241</v>
      </c>
      <c r="B206" t="s">
        <v>57</v>
      </c>
      <c r="C206" t="s">
        <v>81</v>
      </c>
    </row>
    <row r="207" spans="1:3" x14ac:dyDescent="0.25">
      <c r="A207">
        <v>242</v>
      </c>
      <c r="B207" t="s">
        <v>31</v>
      </c>
      <c r="C207" t="s">
        <v>62</v>
      </c>
    </row>
    <row r="208" spans="1:3" x14ac:dyDescent="0.25">
      <c r="A208">
        <v>243</v>
      </c>
      <c r="B208" t="s">
        <v>90</v>
      </c>
      <c r="C208" t="s">
        <v>114</v>
      </c>
    </row>
    <row r="209" spans="1:3" x14ac:dyDescent="0.25">
      <c r="A209">
        <v>244</v>
      </c>
      <c r="B209" t="s">
        <v>108</v>
      </c>
      <c r="C209" t="s">
        <v>115</v>
      </c>
    </row>
    <row r="210" spans="1:3" x14ac:dyDescent="0.25">
      <c r="A210">
        <v>245</v>
      </c>
      <c r="B210" t="s">
        <v>29</v>
      </c>
      <c r="C210" t="s">
        <v>61</v>
      </c>
    </row>
    <row r="211" spans="1:3" x14ac:dyDescent="0.25">
      <c r="A211">
        <v>246</v>
      </c>
      <c r="B211" t="s">
        <v>50</v>
      </c>
      <c r="C211" t="s">
        <v>104</v>
      </c>
    </row>
    <row r="212" spans="1:3" x14ac:dyDescent="0.25">
      <c r="A212">
        <v>248</v>
      </c>
      <c r="B212" t="s">
        <v>48</v>
      </c>
      <c r="C212" t="s">
        <v>83</v>
      </c>
    </row>
    <row r="213" spans="1:3" x14ac:dyDescent="0.25">
      <c r="A213">
        <v>249</v>
      </c>
      <c r="B213" t="s">
        <v>60</v>
      </c>
      <c r="C213" t="s">
        <v>70</v>
      </c>
    </row>
    <row r="214" spans="1:3" x14ac:dyDescent="0.25">
      <c r="A214">
        <v>250</v>
      </c>
      <c r="B214" t="s">
        <v>35</v>
      </c>
      <c r="C214" t="s">
        <v>58</v>
      </c>
    </row>
    <row r="215" spans="1:3" x14ac:dyDescent="0.25">
      <c r="A215">
        <v>251</v>
      </c>
      <c r="B215" t="s">
        <v>31</v>
      </c>
      <c r="C215" t="s">
        <v>103</v>
      </c>
    </row>
    <row r="216" spans="1:3" x14ac:dyDescent="0.25">
      <c r="A216">
        <v>252</v>
      </c>
      <c r="B216" t="s">
        <v>60</v>
      </c>
      <c r="C216" t="s">
        <v>70</v>
      </c>
    </row>
    <row r="217" spans="1:3" x14ac:dyDescent="0.25">
      <c r="A217">
        <v>254</v>
      </c>
      <c r="B217" t="s">
        <v>76</v>
      </c>
      <c r="C217" t="s">
        <v>75</v>
      </c>
    </row>
    <row r="218" spans="1:3" x14ac:dyDescent="0.25">
      <c r="A218">
        <v>255</v>
      </c>
      <c r="B218" t="s">
        <v>53</v>
      </c>
      <c r="C218" t="s">
        <v>105</v>
      </c>
    </row>
    <row r="219" spans="1:3" x14ac:dyDescent="0.25">
      <c r="A219">
        <v>258</v>
      </c>
      <c r="B219" t="s">
        <v>55</v>
      </c>
      <c r="C219" t="s">
        <v>118</v>
      </c>
    </row>
    <row r="220" spans="1:3" x14ac:dyDescent="0.25">
      <c r="A220">
        <v>259</v>
      </c>
      <c r="B220" t="s">
        <v>46</v>
      </c>
      <c r="C220" t="s">
        <v>73</v>
      </c>
    </row>
    <row r="221" spans="1:3" x14ac:dyDescent="0.25">
      <c r="A221">
        <v>260</v>
      </c>
      <c r="B221" t="s">
        <v>76</v>
      </c>
      <c r="C221" t="s">
        <v>96</v>
      </c>
    </row>
    <row r="222" spans="1:3" x14ac:dyDescent="0.25">
      <c r="A222">
        <v>263</v>
      </c>
      <c r="B222" t="s">
        <v>46</v>
      </c>
      <c r="C222" t="s">
        <v>77</v>
      </c>
    </row>
    <row r="223" spans="1:3" x14ac:dyDescent="0.25">
      <c r="A223">
        <v>265</v>
      </c>
      <c r="B223" t="s">
        <v>108</v>
      </c>
      <c r="C223" t="s">
        <v>14</v>
      </c>
    </row>
    <row r="224" spans="1:3" x14ac:dyDescent="0.25">
      <c r="A224">
        <v>266</v>
      </c>
      <c r="B224" t="s">
        <v>55</v>
      </c>
      <c r="C224" t="s">
        <v>54</v>
      </c>
    </row>
    <row r="225" spans="1:3" x14ac:dyDescent="0.25">
      <c r="A225">
        <v>267</v>
      </c>
      <c r="B225" t="s">
        <v>31</v>
      </c>
      <c r="C225" t="s">
        <v>30</v>
      </c>
    </row>
    <row r="226" spans="1:3" x14ac:dyDescent="0.25">
      <c r="A226">
        <v>268</v>
      </c>
      <c r="B226" t="s">
        <v>90</v>
      </c>
      <c r="C226" t="s">
        <v>63</v>
      </c>
    </row>
    <row r="227" spans="1:3" x14ac:dyDescent="0.25">
      <c r="A227">
        <v>269</v>
      </c>
      <c r="B227" t="s">
        <v>29</v>
      </c>
      <c r="C227" t="s">
        <v>89</v>
      </c>
    </row>
    <row r="228" spans="1:3" x14ac:dyDescent="0.25">
      <c r="A228">
        <v>270</v>
      </c>
      <c r="B228" t="s">
        <v>76</v>
      </c>
      <c r="C228" t="s">
        <v>79</v>
      </c>
    </row>
    <row r="229" spans="1:3" x14ac:dyDescent="0.25">
      <c r="A229">
        <v>271</v>
      </c>
      <c r="B229" t="s">
        <v>50</v>
      </c>
      <c r="C229" t="s">
        <v>49</v>
      </c>
    </row>
    <row r="230" spans="1:3" x14ac:dyDescent="0.25">
      <c r="A230">
        <v>272</v>
      </c>
      <c r="B230" t="s">
        <v>42</v>
      </c>
      <c r="C230" t="s">
        <v>41</v>
      </c>
    </row>
    <row r="231" spans="1:3" x14ac:dyDescent="0.25">
      <c r="A231">
        <v>273</v>
      </c>
      <c r="B231" t="s">
        <v>48</v>
      </c>
      <c r="C231" t="s">
        <v>83</v>
      </c>
    </row>
    <row r="232" spans="1:3" x14ac:dyDescent="0.25">
      <c r="A232">
        <v>274</v>
      </c>
      <c r="B232" t="s">
        <v>44</v>
      </c>
      <c r="C232" t="s">
        <v>99</v>
      </c>
    </row>
    <row r="233" spans="1:3" x14ac:dyDescent="0.25">
      <c r="A233">
        <v>275</v>
      </c>
      <c r="B233" t="s">
        <v>50</v>
      </c>
      <c r="C233" t="s">
        <v>49</v>
      </c>
    </row>
    <row r="234" spans="1:3" x14ac:dyDescent="0.25">
      <c r="A234">
        <v>276</v>
      </c>
      <c r="B234" t="s">
        <v>57</v>
      </c>
      <c r="C234" t="s">
        <v>78</v>
      </c>
    </row>
    <row r="235" spans="1:3" x14ac:dyDescent="0.25">
      <c r="A235">
        <v>277</v>
      </c>
      <c r="B235" t="s">
        <v>60</v>
      </c>
      <c r="C235" t="s">
        <v>107</v>
      </c>
    </row>
    <row r="236" spans="1:3" x14ac:dyDescent="0.25">
      <c r="A236">
        <v>279</v>
      </c>
      <c r="B236" t="s">
        <v>42</v>
      </c>
      <c r="C236" t="s">
        <v>67</v>
      </c>
    </row>
    <row r="237" spans="1:3" x14ac:dyDescent="0.25">
      <c r="A237">
        <v>280</v>
      </c>
      <c r="B237" t="s">
        <v>50</v>
      </c>
      <c r="C237" t="s">
        <v>104</v>
      </c>
    </row>
    <row r="238" spans="1:3" x14ac:dyDescent="0.25">
      <c r="A238">
        <v>281</v>
      </c>
      <c r="B238" t="s">
        <v>60</v>
      </c>
      <c r="C238" t="s">
        <v>70</v>
      </c>
    </row>
    <row r="239" spans="1:3" x14ac:dyDescent="0.25">
      <c r="A239">
        <v>282</v>
      </c>
      <c r="B239" t="s">
        <v>90</v>
      </c>
      <c r="C239" t="s">
        <v>120</v>
      </c>
    </row>
    <row r="240" spans="1:3" x14ac:dyDescent="0.25">
      <c r="A240">
        <v>283</v>
      </c>
      <c r="B240" t="s">
        <v>48</v>
      </c>
      <c r="C240" t="s">
        <v>80</v>
      </c>
    </row>
    <row r="241" spans="1:3" x14ac:dyDescent="0.25">
      <c r="A241">
        <v>284</v>
      </c>
      <c r="B241" t="s">
        <v>108</v>
      </c>
      <c r="C241" t="s">
        <v>115</v>
      </c>
    </row>
    <row r="242" spans="1:3" x14ac:dyDescent="0.25">
      <c r="A242">
        <v>285</v>
      </c>
      <c r="B242" t="s">
        <v>40</v>
      </c>
      <c r="C242" t="s">
        <v>39</v>
      </c>
    </row>
    <row r="243" spans="1:3" x14ac:dyDescent="0.25">
      <c r="A243">
        <v>286</v>
      </c>
      <c r="B243" t="s">
        <v>46</v>
      </c>
      <c r="C243" t="s">
        <v>73</v>
      </c>
    </row>
    <row r="244" spans="1:3" x14ac:dyDescent="0.25">
      <c r="A244">
        <v>288</v>
      </c>
      <c r="B244" t="s">
        <v>50</v>
      </c>
      <c r="C244" t="s">
        <v>123</v>
      </c>
    </row>
    <row r="245" spans="1:3" x14ac:dyDescent="0.25">
      <c r="A245">
        <v>289</v>
      </c>
      <c r="B245" t="s">
        <v>33</v>
      </c>
      <c r="C245" t="s">
        <v>51</v>
      </c>
    </row>
    <row r="246" spans="1:3" x14ac:dyDescent="0.25">
      <c r="A246">
        <v>290</v>
      </c>
      <c r="B246" t="s">
        <v>29</v>
      </c>
      <c r="C246" t="s">
        <v>61</v>
      </c>
    </row>
    <row r="247" spans="1:3" x14ac:dyDescent="0.25">
      <c r="A247">
        <v>291</v>
      </c>
      <c r="B247" t="s">
        <v>55</v>
      </c>
      <c r="C247" t="s">
        <v>97</v>
      </c>
    </row>
    <row r="248" spans="1:3" x14ac:dyDescent="0.25">
      <c r="A248">
        <v>292</v>
      </c>
      <c r="B248" t="s">
        <v>57</v>
      </c>
      <c r="C248" t="s">
        <v>78</v>
      </c>
    </row>
    <row r="249" spans="1:3" x14ac:dyDescent="0.25">
      <c r="A249">
        <v>293</v>
      </c>
      <c r="B249" t="s">
        <v>48</v>
      </c>
      <c r="C249" t="s">
        <v>64</v>
      </c>
    </row>
    <row r="250" spans="1:3" x14ac:dyDescent="0.25">
      <c r="A250">
        <v>294</v>
      </c>
      <c r="B250" t="s">
        <v>33</v>
      </c>
      <c r="C250" t="s">
        <v>32</v>
      </c>
    </row>
    <row r="251" spans="1:3" x14ac:dyDescent="0.25">
      <c r="A251">
        <v>295</v>
      </c>
      <c r="B251" t="s">
        <v>69</v>
      </c>
      <c r="C251" t="s">
        <v>68</v>
      </c>
    </row>
    <row r="252" spans="1:3" x14ac:dyDescent="0.25">
      <c r="A252">
        <v>296</v>
      </c>
      <c r="B252" t="s">
        <v>42</v>
      </c>
      <c r="C252" t="s">
        <v>63</v>
      </c>
    </row>
    <row r="253" spans="1:3" x14ac:dyDescent="0.25">
      <c r="A253">
        <v>298</v>
      </c>
      <c r="B253" t="s">
        <v>42</v>
      </c>
      <c r="C253" t="s">
        <v>67</v>
      </c>
    </row>
    <row r="254" spans="1:3" x14ac:dyDescent="0.25">
      <c r="A254">
        <v>299</v>
      </c>
      <c r="B254" t="s">
        <v>60</v>
      </c>
      <c r="C254" t="s">
        <v>70</v>
      </c>
    </row>
    <row r="255" spans="1:3" x14ac:dyDescent="0.25">
      <c r="A255">
        <v>300</v>
      </c>
      <c r="B255" t="s">
        <v>29</v>
      </c>
      <c r="C255" t="s">
        <v>61</v>
      </c>
    </row>
    <row r="256" spans="1:3" x14ac:dyDescent="0.25">
      <c r="A256">
        <v>301</v>
      </c>
      <c r="B256" t="s">
        <v>35</v>
      </c>
      <c r="C256" t="s">
        <v>74</v>
      </c>
    </row>
    <row r="257" spans="1:3" x14ac:dyDescent="0.25">
      <c r="A257">
        <v>302</v>
      </c>
      <c r="B257" t="s">
        <v>44</v>
      </c>
      <c r="C257" t="s">
        <v>43</v>
      </c>
    </row>
    <row r="258" spans="1:3" x14ac:dyDescent="0.25">
      <c r="A258">
        <v>303</v>
      </c>
      <c r="B258" t="s">
        <v>35</v>
      </c>
      <c r="C258" t="s">
        <v>38</v>
      </c>
    </row>
    <row r="259" spans="1:3" x14ac:dyDescent="0.25">
      <c r="A259">
        <v>304</v>
      </c>
      <c r="B259" t="s">
        <v>48</v>
      </c>
      <c r="C259" t="s">
        <v>80</v>
      </c>
    </row>
    <row r="260" spans="1:3" x14ac:dyDescent="0.25">
      <c r="A260">
        <v>305</v>
      </c>
      <c r="B260" t="s">
        <v>69</v>
      </c>
      <c r="C260" t="s">
        <v>98</v>
      </c>
    </row>
    <row r="261" spans="1:3" x14ac:dyDescent="0.25">
      <c r="A261">
        <v>307</v>
      </c>
      <c r="B261" t="s">
        <v>50</v>
      </c>
      <c r="C261" t="s">
        <v>92</v>
      </c>
    </row>
    <row r="262" spans="1:3" x14ac:dyDescent="0.25">
      <c r="A262">
        <v>308</v>
      </c>
      <c r="B262" t="s">
        <v>48</v>
      </c>
      <c r="C262" t="s">
        <v>64</v>
      </c>
    </row>
    <row r="263" spans="1:3" x14ac:dyDescent="0.25">
      <c r="A263">
        <v>309</v>
      </c>
      <c r="B263" t="s">
        <v>48</v>
      </c>
      <c r="C263" t="s">
        <v>80</v>
      </c>
    </row>
    <row r="264" spans="1:3" x14ac:dyDescent="0.25">
      <c r="A264">
        <v>310</v>
      </c>
      <c r="B264" t="s">
        <v>40</v>
      </c>
      <c r="C264" t="s">
        <v>39</v>
      </c>
    </row>
    <row r="265" spans="1:3" x14ac:dyDescent="0.25">
      <c r="A265">
        <v>311</v>
      </c>
      <c r="B265" t="s">
        <v>40</v>
      </c>
      <c r="C265" t="s">
        <v>39</v>
      </c>
    </row>
    <row r="266" spans="1:3" x14ac:dyDescent="0.25">
      <c r="A266">
        <v>312</v>
      </c>
      <c r="B266" t="s">
        <v>37</v>
      </c>
      <c r="C266" t="s">
        <v>111</v>
      </c>
    </row>
    <row r="267" spans="1:3" x14ac:dyDescent="0.25">
      <c r="A267">
        <v>313</v>
      </c>
      <c r="B267" t="s">
        <v>48</v>
      </c>
      <c r="C267" t="s">
        <v>64</v>
      </c>
    </row>
    <row r="268" spans="1:3" x14ac:dyDescent="0.25">
      <c r="A268">
        <v>315</v>
      </c>
      <c r="B268" t="s">
        <v>46</v>
      </c>
      <c r="C268" t="s">
        <v>45</v>
      </c>
    </row>
    <row r="269" spans="1:3" x14ac:dyDescent="0.25">
      <c r="A269">
        <v>316</v>
      </c>
      <c r="B269" t="s">
        <v>40</v>
      </c>
      <c r="C269" t="s">
        <v>91</v>
      </c>
    </row>
    <row r="270" spans="1:3" x14ac:dyDescent="0.25">
      <c r="A270">
        <v>317</v>
      </c>
      <c r="B270" t="s">
        <v>33</v>
      </c>
      <c r="C270" t="s">
        <v>32</v>
      </c>
    </row>
    <row r="271" spans="1:3" x14ac:dyDescent="0.25">
      <c r="A271">
        <v>318</v>
      </c>
      <c r="B271" t="s">
        <v>44</v>
      </c>
      <c r="C271" t="s">
        <v>43</v>
      </c>
    </row>
    <row r="272" spans="1:3" x14ac:dyDescent="0.25">
      <c r="A272">
        <v>319</v>
      </c>
      <c r="B272" t="s">
        <v>46</v>
      </c>
      <c r="C272" t="s">
        <v>66</v>
      </c>
    </row>
    <row r="273" spans="1:3" x14ac:dyDescent="0.25">
      <c r="A273">
        <v>320</v>
      </c>
      <c r="B273" t="s">
        <v>48</v>
      </c>
      <c r="C273" t="s">
        <v>64</v>
      </c>
    </row>
    <row r="274" spans="1:3" x14ac:dyDescent="0.25">
      <c r="A274">
        <v>321</v>
      </c>
      <c r="B274" t="s">
        <v>108</v>
      </c>
      <c r="C274" t="s">
        <v>115</v>
      </c>
    </row>
    <row r="275" spans="1:3" x14ac:dyDescent="0.25">
      <c r="A275">
        <v>322</v>
      </c>
      <c r="B275" t="s">
        <v>42</v>
      </c>
      <c r="C275" t="s">
        <v>67</v>
      </c>
    </row>
    <row r="276" spans="1:3" x14ac:dyDescent="0.25">
      <c r="A276">
        <v>323</v>
      </c>
      <c r="B276" t="s">
        <v>55</v>
      </c>
      <c r="C276" t="s">
        <v>54</v>
      </c>
    </row>
    <row r="277" spans="1:3" x14ac:dyDescent="0.25">
      <c r="A277">
        <v>325</v>
      </c>
      <c r="B277" t="s">
        <v>33</v>
      </c>
      <c r="C277" t="s">
        <v>51</v>
      </c>
    </row>
    <row r="278" spans="1:3" x14ac:dyDescent="0.25">
      <c r="A278">
        <v>326</v>
      </c>
      <c r="B278" t="s">
        <v>42</v>
      </c>
      <c r="C278" t="s">
        <v>67</v>
      </c>
    </row>
    <row r="279" spans="1:3" x14ac:dyDescent="0.25">
      <c r="A279">
        <v>327</v>
      </c>
      <c r="B279" t="s">
        <v>57</v>
      </c>
      <c r="C279" t="s">
        <v>56</v>
      </c>
    </row>
    <row r="280" spans="1:3" x14ac:dyDescent="0.25">
      <c r="A280">
        <v>328</v>
      </c>
      <c r="B280" t="s">
        <v>72</v>
      </c>
      <c r="C280" t="s">
        <v>117</v>
      </c>
    </row>
    <row r="281" spans="1:3" x14ac:dyDescent="0.25">
      <c r="A281">
        <v>329</v>
      </c>
      <c r="B281" t="s">
        <v>76</v>
      </c>
      <c r="C281" t="s">
        <v>79</v>
      </c>
    </row>
    <row r="282" spans="1:3" x14ac:dyDescent="0.25">
      <c r="A282">
        <v>331</v>
      </c>
      <c r="B282" t="s">
        <v>76</v>
      </c>
      <c r="C282" t="s">
        <v>106</v>
      </c>
    </row>
    <row r="283" spans="1:3" x14ac:dyDescent="0.25">
      <c r="A283">
        <v>332</v>
      </c>
      <c r="B283" t="s">
        <v>60</v>
      </c>
      <c r="C283" t="s">
        <v>59</v>
      </c>
    </row>
    <row r="284" spans="1:3" x14ac:dyDescent="0.25">
      <c r="A284">
        <v>333</v>
      </c>
      <c r="B284" t="s">
        <v>55</v>
      </c>
      <c r="C284" t="s">
        <v>118</v>
      </c>
    </row>
    <row r="285" spans="1:3" x14ac:dyDescent="0.25">
      <c r="A285">
        <v>334</v>
      </c>
      <c r="B285" t="s">
        <v>44</v>
      </c>
      <c r="C285" t="s">
        <v>43</v>
      </c>
    </row>
    <row r="286" spans="1:3" x14ac:dyDescent="0.25">
      <c r="A286">
        <v>335</v>
      </c>
      <c r="B286" t="s">
        <v>37</v>
      </c>
      <c r="C286" t="s">
        <v>111</v>
      </c>
    </row>
    <row r="287" spans="1:3" x14ac:dyDescent="0.25">
      <c r="A287">
        <v>336</v>
      </c>
      <c r="B287" t="s">
        <v>72</v>
      </c>
      <c r="C287" t="s">
        <v>71</v>
      </c>
    </row>
    <row r="288" spans="1:3" x14ac:dyDescent="0.25">
      <c r="A288">
        <v>337</v>
      </c>
      <c r="B288" t="s">
        <v>40</v>
      </c>
      <c r="C288" t="s">
        <v>39</v>
      </c>
    </row>
    <row r="289" spans="1:3" x14ac:dyDescent="0.25">
      <c r="A289">
        <v>338</v>
      </c>
      <c r="B289" t="s">
        <v>50</v>
      </c>
      <c r="C289" t="s">
        <v>104</v>
      </c>
    </row>
    <row r="290" spans="1:3" x14ac:dyDescent="0.25">
      <c r="A290">
        <v>340</v>
      </c>
      <c r="B290" t="s">
        <v>50</v>
      </c>
      <c r="C290" t="s">
        <v>92</v>
      </c>
    </row>
    <row r="291" spans="1:3" x14ac:dyDescent="0.25">
      <c r="A291">
        <v>341</v>
      </c>
      <c r="B291" t="s">
        <v>40</v>
      </c>
      <c r="C291" t="s">
        <v>101</v>
      </c>
    </row>
    <row r="292" spans="1:3" x14ac:dyDescent="0.25">
      <c r="A292">
        <v>342</v>
      </c>
      <c r="B292" t="s">
        <v>31</v>
      </c>
      <c r="C292" t="s">
        <v>62</v>
      </c>
    </row>
    <row r="293" spans="1:3" x14ac:dyDescent="0.25">
      <c r="A293">
        <v>344</v>
      </c>
      <c r="B293" t="s">
        <v>33</v>
      </c>
      <c r="C293" t="s">
        <v>121</v>
      </c>
    </row>
    <row r="294" spans="1:3" x14ac:dyDescent="0.25">
      <c r="A294">
        <v>345</v>
      </c>
      <c r="B294" t="s">
        <v>48</v>
      </c>
      <c r="C294" t="s">
        <v>80</v>
      </c>
    </row>
    <row r="295" spans="1:3" x14ac:dyDescent="0.25">
      <c r="A295">
        <v>346</v>
      </c>
      <c r="B295" t="s">
        <v>60</v>
      </c>
      <c r="C295" t="s">
        <v>107</v>
      </c>
    </row>
    <row r="296" spans="1:3" x14ac:dyDescent="0.25">
      <c r="A296">
        <v>347</v>
      </c>
      <c r="B296" t="s">
        <v>40</v>
      </c>
      <c r="C296" t="s">
        <v>39</v>
      </c>
    </row>
    <row r="297" spans="1:3" x14ac:dyDescent="0.25">
      <c r="A297">
        <v>348</v>
      </c>
      <c r="B297" t="s">
        <v>72</v>
      </c>
      <c r="C297" t="s">
        <v>71</v>
      </c>
    </row>
    <row r="298" spans="1:3" x14ac:dyDescent="0.25">
      <c r="A298">
        <v>350</v>
      </c>
      <c r="B298" t="s">
        <v>35</v>
      </c>
      <c r="C298" t="s">
        <v>58</v>
      </c>
    </row>
    <row r="299" spans="1:3" x14ac:dyDescent="0.25">
      <c r="A299">
        <v>351</v>
      </c>
      <c r="B299" t="s">
        <v>72</v>
      </c>
      <c r="C299" t="s">
        <v>117</v>
      </c>
    </row>
    <row r="300" spans="1:3" x14ac:dyDescent="0.25">
      <c r="A300">
        <v>352</v>
      </c>
      <c r="B300" t="s">
        <v>46</v>
      </c>
      <c r="C300" t="s">
        <v>66</v>
      </c>
    </row>
    <row r="301" spans="1:3" x14ac:dyDescent="0.25">
      <c r="A301">
        <v>353</v>
      </c>
      <c r="B301" t="s">
        <v>40</v>
      </c>
      <c r="C301" t="s">
        <v>39</v>
      </c>
    </row>
    <row r="302" spans="1:3" x14ac:dyDescent="0.25">
      <c r="A302">
        <v>354</v>
      </c>
      <c r="B302" t="s">
        <v>60</v>
      </c>
      <c r="C302" t="s">
        <v>70</v>
      </c>
    </row>
    <row r="303" spans="1:3" x14ac:dyDescent="0.25">
      <c r="A303">
        <v>355</v>
      </c>
      <c r="B303" t="s">
        <v>53</v>
      </c>
      <c r="C303" t="s">
        <v>82</v>
      </c>
    </row>
    <row r="304" spans="1:3" x14ac:dyDescent="0.25">
      <c r="A304">
        <v>356</v>
      </c>
      <c r="B304" t="s">
        <v>69</v>
      </c>
      <c r="C304" t="s">
        <v>98</v>
      </c>
    </row>
    <row r="305" spans="1:3" x14ac:dyDescent="0.25">
      <c r="A305">
        <v>357</v>
      </c>
      <c r="B305" t="s">
        <v>108</v>
      </c>
      <c r="C305" t="s">
        <v>109</v>
      </c>
    </row>
    <row r="306" spans="1:3" x14ac:dyDescent="0.25">
      <c r="A306">
        <v>358</v>
      </c>
      <c r="B306" t="s">
        <v>48</v>
      </c>
      <c r="C306" t="s">
        <v>47</v>
      </c>
    </row>
    <row r="307" spans="1:3" x14ac:dyDescent="0.25">
      <c r="A307">
        <v>359</v>
      </c>
      <c r="B307" t="s">
        <v>108</v>
      </c>
      <c r="C307" t="s">
        <v>14</v>
      </c>
    </row>
    <row r="308" spans="1:3" x14ac:dyDescent="0.25">
      <c r="A308">
        <v>360</v>
      </c>
      <c r="B308" t="s">
        <v>76</v>
      </c>
      <c r="C308" t="s">
        <v>79</v>
      </c>
    </row>
    <row r="309" spans="1:3" x14ac:dyDescent="0.25">
      <c r="A309">
        <v>361</v>
      </c>
      <c r="B309" t="s">
        <v>108</v>
      </c>
      <c r="C309" t="s">
        <v>115</v>
      </c>
    </row>
    <row r="310" spans="1:3" x14ac:dyDescent="0.25">
      <c r="A310">
        <v>362</v>
      </c>
      <c r="B310" t="s">
        <v>37</v>
      </c>
      <c r="C310" t="s">
        <v>93</v>
      </c>
    </row>
    <row r="311" spans="1:3" x14ac:dyDescent="0.25">
      <c r="A311">
        <v>363</v>
      </c>
      <c r="B311" t="s">
        <v>37</v>
      </c>
      <c r="C311" t="s">
        <v>36</v>
      </c>
    </row>
    <row r="312" spans="1:3" x14ac:dyDescent="0.25">
      <c r="A312">
        <v>364</v>
      </c>
      <c r="B312" t="s">
        <v>29</v>
      </c>
      <c r="C312" t="s">
        <v>89</v>
      </c>
    </row>
    <row r="313" spans="1:3" x14ac:dyDescent="0.25">
      <c r="A313">
        <v>365</v>
      </c>
      <c r="B313" t="s">
        <v>108</v>
      </c>
      <c r="C313" t="s">
        <v>110</v>
      </c>
    </row>
    <row r="314" spans="1:3" x14ac:dyDescent="0.25">
      <c r="A314">
        <v>367</v>
      </c>
      <c r="B314" t="s">
        <v>57</v>
      </c>
      <c r="C314" t="s">
        <v>81</v>
      </c>
    </row>
    <row r="315" spans="1:3" x14ac:dyDescent="0.25">
      <c r="A315">
        <v>368</v>
      </c>
      <c r="B315" t="s">
        <v>50</v>
      </c>
      <c r="C315" t="s">
        <v>49</v>
      </c>
    </row>
    <row r="316" spans="1:3" x14ac:dyDescent="0.25">
      <c r="A316">
        <v>369</v>
      </c>
      <c r="B316" t="s">
        <v>44</v>
      </c>
      <c r="C316" t="s">
        <v>43</v>
      </c>
    </row>
    <row r="317" spans="1:3" x14ac:dyDescent="0.25">
      <c r="A317">
        <v>370</v>
      </c>
      <c r="B317" t="s">
        <v>33</v>
      </c>
      <c r="C317" t="s">
        <v>32</v>
      </c>
    </row>
    <row r="318" spans="1:3" x14ac:dyDescent="0.25">
      <c r="A318">
        <v>371</v>
      </c>
      <c r="B318" t="s">
        <v>29</v>
      </c>
      <c r="C318" t="s">
        <v>89</v>
      </c>
    </row>
    <row r="319" spans="1:3" x14ac:dyDescent="0.25">
      <c r="A319">
        <v>372</v>
      </c>
      <c r="B319" t="s">
        <v>53</v>
      </c>
      <c r="C319" t="s">
        <v>84</v>
      </c>
    </row>
    <row r="320" spans="1:3" x14ac:dyDescent="0.25">
      <c r="A320">
        <v>374</v>
      </c>
      <c r="B320" t="s">
        <v>53</v>
      </c>
      <c r="C320" t="s">
        <v>52</v>
      </c>
    </row>
    <row r="321" spans="1:3" x14ac:dyDescent="0.25">
      <c r="A321">
        <v>375</v>
      </c>
      <c r="B321" t="s">
        <v>40</v>
      </c>
      <c r="C321" t="s">
        <v>91</v>
      </c>
    </row>
    <row r="322" spans="1:3" x14ac:dyDescent="0.25">
      <c r="A322">
        <v>376</v>
      </c>
      <c r="B322" t="s">
        <v>48</v>
      </c>
      <c r="C322" t="s">
        <v>83</v>
      </c>
    </row>
    <row r="323" spans="1:3" x14ac:dyDescent="0.25">
      <c r="A323">
        <v>377</v>
      </c>
      <c r="B323" t="s">
        <v>57</v>
      </c>
      <c r="C323" t="s">
        <v>81</v>
      </c>
    </row>
    <row r="324" spans="1:3" x14ac:dyDescent="0.25">
      <c r="A324">
        <v>378</v>
      </c>
      <c r="B324" t="s">
        <v>33</v>
      </c>
      <c r="C324" t="s">
        <v>32</v>
      </c>
    </row>
    <row r="325" spans="1:3" x14ac:dyDescent="0.25">
      <c r="A325">
        <v>379</v>
      </c>
      <c r="B325" t="s">
        <v>46</v>
      </c>
      <c r="C325" t="s">
        <v>77</v>
      </c>
    </row>
    <row r="326" spans="1:3" x14ac:dyDescent="0.25">
      <c r="A326">
        <v>380</v>
      </c>
      <c r="B326" t="s">
        <v>48</v>
      </c>
      <c r="C326" t="s">
        <v>64</v>
      </c>
    </row>
    <row r="327" spans="1:3" x14ac:dyDescent="0.25">
      <c r="A327">
        <v>381</v>
      </c>
      <c r="B327" t="s">
        <v>55</v>
      </c>
      <c r="C327" t="s">
        <v>86</v>
      </c>
    </row>
    <row r="328" spans="1:3" x14ac:dyDescent="0.25">
      <c r="A328">
        <v>382</v>
      </c>
      <c r="B328" t="s">
        <v>31</v>
      </c>
      <c r="C328" t="s">
        <v>62</v>
      </c>
    </row>
    <row r="329" spans="1:3" x14ac:dyDescent="0.25">
      <c r="A329">
        <v>383</v>
      </c>
      <c r="B329" t="s">
        <v>35</v>
      </c>
      <c r="C329" t="s">
        <v>38</v>
      </c>
    </row>
    <row r="330" spans="1:3" x14ac:dyDescent="0.25">
      <c r="A330">
        <v>384</v>
      </c>
      <c r="B330" t="s">
        <v>29</v>
      </c>
      <c r="C330" t="s">
        <v>28</v>
      </c>
    </row>
    <row r="331" spans="1:3" x14ac:dyDescent="0.25">
      <c r="A331">
        <v>385</v>
      </c>
      <c r="B331" t="s">
        <v>40</v>
      </c>
      <c r="C331" t="s">
        <v>101</v>
      </c>
    </row>
    <row r="332" spans="1:3" x14ac:dyDescent="0.25">
      <c r="A332">
        <v>386</v>
      </c>
      <c r="B332" t="s">
        <v>42</v>
      </c>
      <c r="C332" t="s">
        <v>67</v>
      </c>
    </row>
    <row r="333" spans="1:3" x14ac:dyDescent="0.25">
      <c r="A333">
        <v>388</v>
      </c>
      <c r="B333" t="s">
        <v>55</v>
      </c>
      <c r="C333" t="s">
        <v>54</v>
      </c>
    </row>
    <row r="334" spans="1:3" x14ac:dyDescent="0.25">
      <c r="A334">
        <v>389</v>
      </c>
      <c r="B334" t="s">
        <v>60</v>
      </c>
      <c r="C334" t="s">
        <v>88</v>
      </c>
    </row>
    <row r="335" spans="1:3" x14ac:dyDescent="0.25">
      <c r="A335">
        <v>390</v>
      </c>
      <c r="B335" t="s">
        <v>33</v>
      </c>
      <c r="C335" t="s">
        <v>121</v>
      </c>
    </row>
    <row r="336" spans="1:3" x14ac:dyDescent="0.25">
      <c r="A336">
        <v>391</v>
      </c>
      <c r="B336" t="s">
        <v>55</v>
      </c>
      <c r="C336" t="s">
        <v>97</v>
      </c>
    </row>
    <row r="337" spans="1:3" x14ac:dyDescent="0.25">
      <c r="A337">
        <v>392</v>
      </c>
      <c r="B337" t="s">
        <v>53</v>
      </c>
      <c r="C337" t="s">
        <v>84</v>
      </c>
    </row>
    <row r="338" spans="1:3" x14ac:dyDescent="0.25">
      <c r="A338">
        <v>393</v>
      </c>
      <c r="B338" t="s">
        <v>55</v>
      </c>
      <c r="C338" t="s">
        <v>86</v>
      </c>
    </row>
    <row r="339" spans="1:3" x14ac:dyDescent="0.25">
      <c r="A339">
        <v>394</v>
      </c>
      <c r="B339" t="s">
        <v>53</v>
      </c>
      <c r="C339" t="s">
        <v>84</v>
      </c>
    </row>
    <row r="340" spans="1:3" x14ac:dyDescent="0.25">
      <c r="A340">
        <v>395</v>
      </c>
      <c r="B340" t="s">
        <v>76</v>
      </c>
      <c r="C340" t="s">
        <v>79</v>
      </c>
    </row>
    <row r="341" spans="1:3" x14ac:dyDescent="0.25">
      <c r="A341">
        <v>396</v>
      </c>
      <c r="B341" t="s">
        <v>44</v>
      </c>
      <c r="C341" t="s">
        <v>43</v>
      </c>
    </row>
    <row r="342" spans="1:3" x14ac:dyDescent="0.25">
      <c r="A342">
        <v>397</v>
      </c>
      <c r="B342" t="s">
        <v>46</v>
      </c>
      <c r="C342" t="s">
        <v>73</v>
      </c>
    </row>
    <row r="343" spans="1:3" x14ac:dyDescent="0.25">
      <c r="A343">
        <v>398</v>
      </c>
      <c r="B343" t="s">
        <v>33</v>
      </c>
      <c r="C343" t="s">
        <v>32</v>
      </c>
    </row>
    <row r="344" spans="1:3" x14ac:dyDescent="0.25">
      <c r="A344">
        <v>399</v>
      </c>
      <c r="B344" t="s">
        <v>37</v>
      </c>
      <c r="C344" t="s">
        <v>87</v>
      </c>
    </row>
    <row r="345" spans="1:3" x14ac:dyDescent="0.25">
      <c r="A345">
        <v>400</v>
      </c>
      <c r="B345" t="s">
        <v>44</v>
      </c>
      <c r="C345" t="s">
        <v>65</v>
      </c>
    </row>
    <row r="346" spans="1:3" x14ac:dyDescent="0.25">
      <c r="A346">
        <v>401</v>
      </c>
      <c r="B346" t="s">
        <v>60</v>
      </c>
      <c r="C346" t="s">
        <v>107</v>
      </c>
    </row>
    <row r="347" spans="1:3" x14ac:dyDescent="0.25">
      <c r="A347">
        <v>402</v>
      </c>
      <c r="B347" t="s">
        <v>37</v>
      </c>
      <c r="C347" t="s">
        <v>111</v>
      </c>
    </row>
    <row r="348" spans="1:3" x14ac:dyDescent="0.25">
      <c r="A348">
        <v>403</v>
      </c>
      <c r="B348" t="s">
        <v>60</v>
      </c>
      <c r="C348" t="s">
        <v>88</v>
      </c>
    </row>
    <row r="349" spans="1:3" x14ac:dyDescent="0.25">
      <c r="A349">
        <v>404</v>
      </c>
      <c r="B349" t="s">
        <v>46</v>
      </c>
      <c r="C349" t="s">
        <v>73</v>
      </c>
    </row>
    <row r="350" spans="1:3" x14ac:dyDescent="0.25">
      <c r="A350">
        <v>405</v>
      </c>
      <c r="B350" t="s">
        <v>37</v>
      </c>
      <c r="C350" t="s">
        <v>111</v>
      </c>
    </row>
    <row r="351" spans="1:3" x14ac:dyDescent="0.25">
      <c r="A351">
        <v>406</v>
      </c>
      <c r="B351" t="s">
        <v>33</v>
      </c>
      <c r="C351" t="s">
        <v>32</v>
      </c>
    </row>
    <row r="352" spans="1:3" x14ac:dyDescent="0.25">
      <c r="A352">
        <v>407</v>
      </c>
      <c r="B352" t="s">
        <v>48</v>
      </c>
      <c r="C352" t="s">
        <v>47</v>
      </c>
    </row>
    <row r="353" spans="1:3" x14ac:dyDescent="0.25">
      <c r="A353">
        <v>408</v>
      </c>
      <c r="B353" t="s">
        <v>46</v>
      </c>
      <c r="C353" t="s">
        <v>66</v>
      </c>
    </row>
    <row r="354" spans="1:3" x14ac:dyDescent="0.25">
      <c r="A354">
        <v>409</v>
      </c>
      <c r="B354" t="s">
        <v>35</v>
      </c>
      <c r="C354" t="s">
        <v>38</v>
      </c>
    </row>
    <row r="355" spans="1:3" x14ac:dyDescent="0.25">
      <c r="A355">
        <v>410</v>
      </c>
      <c r="B355" t="s">
        <v>72</v>
      </c>
      <c r="C355" t="s">
        <v>122</v>
      </c>
    </row>
    <row r="356" spans="1:3" x14ac:dyDescent="0.25">
      <c r="A356">
        <v>411</v>
      </c>
      <c r="B356" t="s">
        <v>37</v>
      </c>
      <c r="C356" t="s">
        <v>87</v>
      </c>
    </row>
    <row r="357" spans="1:3" x14ac:dyDescent="0.25">
      <c r="A357">
        <v>413</v>
      </c>
      <c r="B357" t="s">
        <v>53</v>
      </c>
      <c r="C357" t="s">
        <v>82</v>
      </c>
    </row>
    <row r="358" spans="1:3" x14ac:dyDescent="0.25">
      <c r="A358">
        <v>414</v>
      </c>
      <c r="B358" t="s">
        <v>35</v>
      </c>
      <c r="C358" t="s">
        <v>74</v>
      </c>
    </row>
    <row r="359" spans="1:3" x14ac:dyDescent="0.25">
      <c r="A359">
        <v>415</v>
      </c>
      <c r="B359" t="s">
        <v>72</v>
      </c>
      <c r="C359" t="s">
        <v>102</v>
      </c>
    </row>
    <row r="360" spans="1:3" x14ac:dyDescent="0.25">
      <c r="A360">
        <v>416</v>
      </c>
      <c r="B360" t="s">
        <v>55</v>
      </c>
      <c r="C360" t="s">
        <v>54</v>
      </c>
    </row>
    <row r="361" spans="1:3" x14ac:dyDescent="0.25">
      <c r="A361">
        <v>418</v>
      </c>
      <c r="B361" t="s">
        <v>35</v>
      </c>
      <c r="C361" t="s">
        <v>34</v>
      </c>
    </row>
    <row r="362" spans="1:3" x14ac:dyDescent="0.25">
      <c r="A362">
        <v>420</v>
      </c>
      <c r="B362" t="s">
        <v>37</v>
      </c>
      <c r="C362" t="s">
        <v>87</v>
      </c>
    </row>
    <row r="363" spans="1:3" x14ac:dyDescent="0.25">
      <c r="A363">
        <v>421</v>
      </c>
      <c r="B363" t="s">
        <v>60</v>
      </c>
      <c r="C363" t="s">
        <v>107</v>
      </c>
    </row>
    <row r="364" spans="1:3" x14ac:dyDescent="0.25">
      <c r="A364">
        <v>422</v>
      </c>
      <c r="B364" t="s">
        <v>53</v>
      </c>
      <c r="C364" t="s">
        <v>105</v>
      </c>
    </row>
    <row r="365" spans="1:3" x14ac:dyDescent="0.25">
      <c r="A365">
        <v>423</v>
      </c>
      <c r="B365" t="s">
        <v>72</v>
      </c>
      <c r="C365" t="s">
        <v>102</v>
      </c>
    </row>
    <row r="366" spans="1:3" x14ac:dyDescent="0.25">
      <c r="A366">
        <v>424</v>
      </c>
      <c r="B366" t="s">
        <v>69</v>
      </c>
      <c r="C366" t="s">
        <v>100</v>
      </c>
    </row>
    <row r="367" spans="1:3" x14ac:dyDescent="0.25">
      <c r="A367">
        <v>425</v>
      </c>
      <c r="B367" t="s">
        <v>76</v>
      </c>
      <c r="C367" t="s">
        <v>96</v>
      </c>
    </row>
    <row r="368" spans="1:3" x14ac:dyDescent="0.25">
      <c r="A368">
        <v>426</v>
      </c>
      <c r="B368" t="s">
        <v>69</v>
      </c>
      <c r="C368" t="s">
        <v>98</v>
      </c>
    </row>
    <row r="369" spans="1:3" x14ac:dyDescent="0.25">
      <c r="A369">
        <v>427</v>
      </c>
      <c r="B369" t="s">
        <v>37</v>
      </c>
      <c r="C369" t="s">
        <v>93</v>
      </c>
    </row>
    <row r="370" spans="1:3" x14ac:dyDescent="0.25">
      <c r="A370">
        <v>428</v>
      </c>
      <c r="B370" t="s">
        <v>48</v>
      </c>
      <c r="C370" t="s">
        <v>64</v>
      </c>
    </row>
    <row r="371" spans="1:3" x14ac:dyDescent="0.25">
      <c r="A371">
        <v>429</v>
      </c>
      <c r="B371" t="s">
        <v>42</v>
      </c>
      <c r="C371" t="s">
        <v>67</v>
      </c>
    </row>
    <row r="372" spans="1:3" x14ac:dyDescent="0.25">
      <c r="A372">
        <v>430</v>
      </c>
      <c r="B372" t="s">
        <v>60</v>
      </c>
      <c r="C372" t="s">
        <v>88</v>
      </c>
    </row>
    <row r="373" spans="1:3" x14ac:dyDescent="0.25">
      <c r="A373">
        <v>431</v>
      </c>
      <c r="B373" t="s">
        <v>31</v>
      </c>
      <c r="C373" t="s">
        <v>103</v>
      </c>
    </row>
    <row r="374" spans="1:3" x14ac:dyDescent="0.25">
      <c r="A374">
        <v>432</v>
      </c>
      <c r="B374" t="s">
        <v>40</v>
      </c>
      <c r="C374" t="s">
        <v>91</v>
      </c>
    </row>
    <row r="375" spans="1:3" x14ac:dyDescent="0.25">
      <c r="A375">
        <v>433</v>
      </c>
      <c r="B375" t="s">
        <v>55</v>
      </c>
      <c r="C375" t="s">
        <v>54</v>
      </c>
    </row>
    <row r="376" spans="1:3" x14ac:dyDescent="0.25">
      <c r="A376">
        <v>434</v>
      </c>
      <c r="B376" t="s">
        <v>50</v>
      </c>
      <c r="C376" t="s">
        <v>49</v>
      </c>
    </row>
    <row r="377" spans="1:3" x14ac:dyDescent="0.25">
      <c r="A377">
        <v>435</v>
      </c>
      <c r="B377" t="s">
        <v>108</v>
      </c>
      <c r="C377" t="s">
        <v>109</v>
      </c>
    </row>
    <row r="378" spans="1:3" x14ac:dyDescent="0.25">
      <c r="A378">
        <v>436</v>
      </c>
      <c r="B378" t="s">
        <v>31</v>
      </c>
      <c r="C378" t="s">
        <v>103</v>
      </c>
    </row>
    <row r="379" spans="1:3" x14ac:dyDescent="0.25">
      <c r="A379">
        <v>437</v>
      </c>
      <c r="B379" t="s">
        <v>60</v>
      </c>
      <c r="C379" t="s">
        <v>59</v>
      </c>
    </row>
    <row r="380" spans="1:3" x14ac:dyDescent="0.25">
      <c r="A380">
        <v>438</v>
      </c>
      <c r="B380" t="s">
        <v>53</v>
      </c>
      <c r="C380" t="s">
        <v>105</v>
      </c>
    </row>
    <row r="381" spans="1:3" x14ac:dyDescent="0.25">
      <c r="A381">
        <v>439</v>
      </c>
      <c r="B381" t="s">
        <v>33</v>
      </c>
      <c r="C381" t="s">
        <v>51</v>
      </c>
    </row>
    <row r="382" spans="1:3" x14ac:dyDescent="0.25">
      <c r="A382">
        <v>440</v>
      </c>
      <c r="B382" t="s">
        <v>35</v>
      </c>
      <c r="C382" t="s">
        <v>38</v>
      </c>
    </row>
    <row r="383" spans="1:3" x14ac:dyDescent="0.25">
      <c r="A383">
        <v>441</v>
      </c>
      <c r="B383" t="s">
        <v>60</v>
      </c>
      <c r="C383" t="s">
        <v>70</v>
      </c>
    </row>
    <row r="384" spans="1:3" x14ac:dyDescent="0.25">
      <c r="A384">
        <v>443</v>
      </c>
      <c r="B384" t="s">
        <v>53</v>
      </c>
      <c r="C384" t="s">
        <v>82</v>
      </c>
    </row>
    <row r="385" spans="1:3" x14ac:dyDescent="0.25">
      <c r="A385">
        <v>444</v>
      </c>
      <c r="B385" t="s">
        <v>46</v>
      </c>
      <c r="C385" t="s">
        <v>66</v>
      </c>
    </row>
    <row r="386" spans="1:3" x14ac:dyDescent="0.25">
      <c r="A386">
        <v>445</v>
      </c>
      <c r="B386" t="s">
        <v>29</v>
      </c>
      <c r="C386" t="s">
        <v>28</v>
      </c>
    </row>
    <row r="387" spans="1:3" x14ac:dyDescent="0.25">
      <c r="A387">
        <v>446</v>
      </c>
      <c r="B387" t="s">
        <v>72</v>
      </c>
      <c r="C387" t="s">
        <v>122</v>
      </c>
    </row>
    <row r="388" spans="1:3" x14ac:dyDescent="0.25">
      <c r="A388">
        <v>447</v>
      </c>
      <c r="B388" t="s">
        <v>46</v>
      </c>
      <c r="C388" t="s">
        <v>66</v>
      </c>
    </row>
    <row r="389" spans="1:3" x14ac:dyDescent="0.25">
      <c r="A389">
        <v>448</v>
      </c>
      <c r="B389" t="s">
        <v>46</v>
      </c>
      <c r="C389" t="s">
        <v>73</v>
      </c>
    </row>
    <row r="390" spans="1:3" x14ac:dyDescent="0.25">
      <c r="A390">
        <v>449</v>
      </c>
      <c r="B390" t="s">
        <v>108</v>
      </c>
      <c r="C390" t="s">
        <v>110</v>
      </c>
    </row>
    <row r="391" spans="1:3" x14ac:dyDescent="0.25">
      <c r="A391">
        <v>450</v>
      </c>
      <c r="B391" t="s">
        <v>37</v>
      </c>
      <c r="C391" t="s">
        <v>87</v>
      </c>
    </row>
    <row r="392" spans="1:3" x14ac:dyDescent="0.25">
      <c r="A392">
        <v>451</v>
      </c>
      <c r="B392" t="s">
        <v>90</v>
      </c>
      <c r="C392" t="s">
        <v>114</v>
      </c>
    </row>
    <row r="393" spans="1:3" x14ac:dyDescent="0.25">
      <c r="A393">
        <v>452</v>
      </c>
      <c r="B393" t="s">
        <v>35</v>
      </c>
      <c r="C393" t="s">
        <v>74</v>
      </c>
    </row>
    <row r="394" spans="1:3" x14ac:dyDescent="0.25">
      <c r="A394">
        <v>453</v>
      </c>
      <c r="B394" t="s">
        <v>40</v>
      </c>
      <c r="C394" t="s">
        <v>101</v>
      </c>
    </row>
    <row r="395" spans="1:3" x14ac:dyDescent="0.25">
      <c r="A395">
        <v>455</v>
      </c>
      <c r="B395" t="s">
        <v>76</v>
      </c>
      <c r="C395" t="s">
        <v>79</v>
      </c>
    </row>
    <row r="396" spans="1:3" x14ac:dyDescent="0.25">
      <c r="A396">
        <v>456</v>
      </c>
      <c r="B396" t="s">
        <v>57</v>
      </c>
      <c r="C396" t="s">
        <v>81</v>
      </c>
    </row>
    <row r="397" spans="1:3" x14ac:dyDescent="0.25">
      <c r="A397">
        <v>457</v>
      </c>
      <c r="B397" t="s">
        <v>33</v>
      </c>
      <c r="C397" t="s">
        <v>112</v>
      </c>
    </row>
    <row r="398" spans="1:3" x14ac:dyDescent="0.25">
      <c r="A398">
        <v>458</v>
      </c>
      <c r="B398" t="s">
        <v>40</v>
      </c>
      <c r="C398" t="s">
        <v>91</v>
      </c>
    </row>
    <row r="399" spans="1:3" x14ac:dyDescent="0.25">
      <c r="A399">
        <v>459</v>
      </c>
      <c r="B399" t="s">
        <v>42</v>
      </c>
      <c r="C399" t="s">
        <v>85</v>
      </c>
    </row>
    <row r="400" spans="1:3" x14ac:dyDescent="0.25">
      <c r="A400">
        <v>460</v>
      </c>
      <c r="B400" t="s">
        <v>53</v>
      </c>
      <c r="C400" t="s">
        <v>52</v>
      </c>
    </row>
    <row r="401" spans="1:3" x14ac:dyDescent="0.25">
      <c r="A401">
        <v>461</v>
      </c>
      <c r="B401" t="s">
        <v>35</v>
      </c>
      <c r="C401" t="s">
        <v>34</v>
      </c>
    </row>
    <row r="402" spans="1:3" x14ac:dyDescent="0.25">
      <c r="A402">
        <v>462</v>
      </c>
      <c r="B402" t="s">
        <v>90</v>
      </c>
      <c r="C402" t="s">
        <v>114</v>
      </c>
    </row>
    <row r="403" spans="1:3" x14ac:dyDescent="0.25">
      <c r="A403">
        <v>463</v>
      </c>
      <c r="B403" t="s">
        <v>53</v>
      </c>
      <c r="C403" t="s">
        <v>84</v>
      </c>
    </row>
    <row r="404" spans="1:3" x14ac:dyDescent="0.25">
      <c r="A404">
        <v>464</v>
      </c>
      <c r="B404" t="s">
        <v>50</v>
      </c>
      <c r="C404" t="s">
        <v>49</v>
      </c>
    </row>
    <row r="405" spans="1:3" x14ac:dyDescent="0.25">
      <c r="A405">
        <v>465</v>
      </c>
      <c r="B405" t="s">
        <v>46</v>
      </c>
      <c r="C405" t="s">
        <v>73</v>
      </c>
    </row>
    <row r="406" spans="1:3" x14ac:dyDescent="0.25">
      <c r="A406">
        <v>466</v>
      </c>
      <c r="B406" t="s">
        <v>35</v>
      </c>
      <c r="C406" t="s">
        <v>34</v>
      </c>
    </row>
    <row r="407" spans="1:3" x14ac:dyDescent="0.25">
      <c r="A407">
        <v>467</v>
      </c>
      <c r="B407" t="s">
        <v>40</v>
      </c>
      <c r="C407" t="s">
        <v>91</v>
      </c>
    </row>
    <row r="408" spans="1:3" x14ac:dyDescent="0.25">
      <c r="A408">
        <v>468</v>
      </c>
      <c r="B408" t="s">
        <v>46</v>
      </c>
      <c r="C408" t="s">
        <v>45</v>
      </c>
    </row>
    <row r="409" spans="1:3" x14ac:dyDescent="0.25">
      <c r="A409">
        <v>469</v>
      </c>
      <c r="B409" t="s">
        <v>29</v>
      </c>
      <c r="C409" t="s">
        <v>28</v>
      </c>
    </row>
    <row r="410" spans="1:3" x14ac:dyDescent="0.25">
      <c r="A410">
        <v>471</v>
      </c>
      <c r="B410" t="s">
        <v>31</v>
      </c>
      <c r="C410" t="s">
        <v>95</v>
      </c>
    </row>
    <row r="411" spans="1:3" x14ac:dyDescent="0.25">
      <c r="A411">
        <v>473</v>
      </c>
      <c r="B411" t="s">
        <v>37</v>
      </c>
      <c r="C411" t="s">
        <v>87</v>
      </c>
    </row>
    <row r="412" spans="1:3" x14ac:dyDescent="0.25">
      <c r="A412">
        <v>474</v>
      </c>
      <c r="B412" t="s">
        <v>44</v>
      </c>
      <c r="C412" t="s">
        <v>99</v>
      </c>
    </row>
    <row r="413" spans="1:3" x14ac:dyDescent="0.25">
      <c r="A413">
        <v>475</v>
      </c>
      <c r="B413" t="s">
        <v>37</v>
      </c>
      <c r="C413" t="s">
        <v>93</v>
      </c>
    </row>
    <row r="414" spans="1:3" x14ac:dyDescent="0.25">
      <c r="A414">
        <v>476</v>
      </c>
      <c r="B414" t="s">
        <v>55</v>
      </c>
      <c r="C414" t="s">
        <v>97</v>
      </c>
    </row>
    <row r="415" spans="1:3" x14ac:dyDescent="0.25">
      <c r="A415">
        <v>477</v>
      </c>
      <c r="B415" t="s">
        <v>40</v>
      </c>
      <c r="C415" t="s">
        <v>91</v>
      </c>
    </row>
    <row r="416" spans="1:3" x14ac:dyDescent="0.25">
      <c r="A416">
        <v>478</v>
      </c>
      <c r="B416" t="s">
        <v>48</v>
      </c>
      <c r="C416" t="s">
        <v>80</v>
      </c>
    </row>
    <row r="417" spans="1:3" x14ac:dyDescent="0.25">
      <c r="A417">
        <v>479</v>
      </c>
      <c r="B417" t="s">
        <v>31</v>
      </c>
      <c r="C417" t="s">
        <v>103</v>
      </c>
    </row>
    <row r="418" spans="1:3" x14ac:dyDescent="0.25">
      <c r="A418">
        <v>480</v>
      </c>
      <c r="B418" t="s">
        <v>44</v>
      </c>
      <c r="C418" t="s">
        <v>65</v>
      </c>
    </row>
    <row r="419" spans="1:3" x14ac:dyDescent="0.25">
      <c r="A419">
        <v>481</v>
      </c>
      <c r="B419" t="s">
        <v>72</v>
      </c>
      <c r="C419" t="s">
        <v>102</v>
      </c>
    </row>
    <row r="420" spans="1:3" x14ac:dyDescent="0.25">
      <c r="A420">
        <v>482</v>
      </c>
      <c r="B420" t="s">
        <v>42</v>
      </c>
      <c r="C420" t="s">
        <v>63</v>
      </c>
    </row>
    <row r="421" spans="1:3" x14ac:dyDescent="0.25">
      <c r="A421">
        <v>483</v>
      </c>
      <c r="B421" t="s">
        <v>57</v>
      </c>
      <c r="C421" t="s">
        <v>78</v>
      </c>
    </row>
    <row r="422" spans="1:3" x14ac:dyDescent="0.25">
      <c r="A422">
        <v>484</v>
      </c>
      <c r="B422" t="s">
        <v>69</v>
      </c>
      <c r="C422" t="s">
        <v>100</v>
      </c>
    </row>
    <row r="423" spans="1:3" x14ac:dyDescent="0.25">
      <c r="A423">
        <v>485</v>
      </c>
      <c r="B423" t="s">
        <v>40</v>
      </c>
      <c r="C423" t="s">
        <v>91</v>
      </c>
    </row>
    <row r="424" spans="1:3" x14ac:dyDescent="0.25">
      <c r="A424">
        <v>486</v>
      </c>
      <c r="B424" t="s">
        <v>76</v>
      </c>
      <c r="C424" t="s">
        <v>75</v>
      </c>
    </row>
    <row r="425" spans="1:3" x14ac:dyDescent="0.25">
      <c r="A425">
        <v>490</v>
      </c>
      <c r="B425" t="s">
        <v>50</v>
      </c>
      <c r="C425" t="s">
        <v>49</v>
      </c>
    </row>
    <row r="426" spans="1:3" x14ac:dyDescent="0.25">
      <c r="A426">
        <v>491</v>
      </c>
      <c r="B426" t="s">
        <v>31</v>
      </c>
      <c r="C426" t="s">
        <v>95</v>
      </c>
    </row>
    <row r="427" spans="1:3" x14ac:dyDescent="0.25">
      <c r="A427">
        <v>492</v>
      </c>
      <c r="B427" t="s">
        <v>55</v>
      </c>
      <c r="C427" t="s">
        <v>86</v>
      </c>
    </row>
    <row r="428" spans="1:3" x14ac:dyDescent="0.25">
      <c r="A428">
        <v>493</v>
      </c>
      <c r="B428" t="s">
        <v>31</v>
      </c>
      <c r="C428" t="s">
        <v>62</v>
      </c>
    </row>
    <row r="429" spans="1:3" x14ac:dyDescent="0.25">
      <c r="A429">
        <v>494</v>
      </c>
      <c r="B429" t="s">
        <v>50</v>
      </c>
      <c r="C429" t="s">
        <v>49</v>
      </c>
    </row>
    <row r="430" spans="1:3" x14ac:dyDescent="0.25">
      <c r="A430">
        <v>495</v>
      </c>
      <c r="B430" t="s">
        <v>60</v>
      </c>
      <c r="C430" t="s">
        <v>107</v>
      </c>
    </row>
    <row r="431" spans="1:3" x14ac:dyDescent="0.25">
      <c r="A431">
        <v>497</v>
      </c>
      <c r="B431" t="s">
        <v>48</v>
      </c>
      <c r="C431" t="s">
        <v>64</v>
      </c>
    </row>
    <row r="432" spans="1:3" x14ac:dyDescent="0.25">
      <c r="A432">
        <v>498</v>
      </c>
      <c r="B432" t="s">
        <v>44</v>
      </c>
      <c r="C432" t="s">
        <v>43</v>
      </c>
    </row>
    <row r="433" spans="1:3" x14ac:dyDescent="0.25">
      <c r="A433">
        <v>499</v>
      </c>
      <c r="B433" t="s">
        <v>69</v>
      </c>
      <c r="C433" t="s">
        <v>98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46AC-8DFB-4096-BD1B-D4B948CF5B52}">
  <dimension ref="A1:E17"/>
  <sheetViews>
    <sheetView workbookViewId="0">
      <selection activeCell="E17" sqref="E17"/>
    </sheetView>
  </sheetViews>
  <sheetFormatPr defaultRowHeight="15" x14ac:dyDescent="0.25"/>
  <cols>
    <col min="1" max="1" width="17.28515625" bestFit="1" customWidth="1"/>
    <col min="2" max="2" width="30.42578125" bestFit="1" customWidth="1"/>
  </cols>
  <sheetData>
    <row r="1" spans="1:2" x14ac:dyDescent="0.25">
      <c r="A1" s="20" t="s">
        <v>1044</v>
      </c>
      <c r="B1" t="s">
        <v>1081</v>
      </c>
    </row>
    <row r="2" spans="1:2" x14ac:dyDescent="0.25">
      <c r="A2" s="21" t="s">
        <v>137</v>
      </c>
      <c r="B2">
        <v>146</v>
      </c>
    </row>
    <row r="3" spans="1:2" x14ac:dyDescent="0.25">
      <c r="A3" s="21" t="s">
        <v>132</v>
      </c>
      <c r="B3">
        <v>85</v>
      </c>
    </row>
    <row r="4" spans="1:2" x14ac:dyDescent="0.25">
      <c r="A4" s="21" t="s">
        <v>128</v>
      </c>
      <c r="B4">
        <v>78</v>
      </c>
    </row>
    <row r="5" spans="1:2" x14ac:dyDescent="0.25">
      <c r="A5" s="21" t="s">
        <v>130</v>
      </c>
      <c r="B5">
        <v>74</v>
      </c>
    </row>
    <row r="6" spans="1:2" x14ac:dyDescent="0.25">
      <c r="A6" s="21" t="s">
        <v>134</v>
      </c>
      <c r="B6">
        <v>51</v>
      </c>
    </row>
    <row r="7" spans="1:2" x14ac:dyDescent="0.25">
      <c r="A7" s="21" t="s">
        <v>1045</v>
      </c>
      <c r="B7">
        <v>434</v>
      </c>
    </row>
    <row r="17" spans="5:5" x14ac:dyDescent="0.25">
      <c r="E17" t="s">
        <v>1680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FF7C-65F4-4765-9F1A-ACD3AE66A01A}">
  <dimension ref="A3:B6"/>
  <sheetViews>
    <sheetView workbookViewId="0">
      <selection activeCell="G6" sqref="G6"/>
    </sheetView>
  </sheetViews>
  <sheetFormatPr defaultRowHeight="15" x14ac:dyDescent="0.25"/>
  <cols>
    <col min="1" max="1" width="17.28515625" bestFit="1" customWidth="1"/>
    <col min="2" max="2" width="51" bestFit="1" customWidth="1"/>
  </cols>
  <sheetData>
    <row r="3" spans="1:2" x14ac:dyDescent="0.25">
      <c r="A3" s="20" t="s">
        <v>1044</v>
      </c>
      <c r="B3" t="s">
        <v>1672</v>
      </c>
    </row>
    <row r="4" spans="1:2" x14ac:dyDescent="0.25">
      <c r="A4" s="21" t="s">
        <v>143</v>
      </c>
      <c r="B4">
        <v>215</v>
      </c>
    </row>
    <row r="5" spans="1:2" x14ac:dyDescent="0.25">
      <c r="A5" s="21" t="s">
        <v>140</v>
      </c>
      <c r="B5">
        <v>219</v>
      </c>
    </row>
    <row r="6" spans="1:2" x14ac:dyDescent="0.25">
      <c r="A6" s="21" t="s">
        <v>1045</v>
      </c>
      <c r="B6">
        <v>434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B0FD-A13F-4417-B3E2-9DD902156CD5}">
  <dimension ref="A3:G308"/>
  <sheetViews>
    <sheetView workbookViewId="0">
      <selection activeCell="G19" sqref="G19"/>
    </sheetView>
  </sheetViews>
  <sheetFormatPr defaultRowHeight="15" x14ac:dyDescent="0.25"/>
  <cols>
    <col min="1" max="1" width="17.28515625" bestFit="1" customWidth="1"/>
    <col min="2" max="2" width="24.5703125" bestFit="1" customWidth="1"/>
  </cols>
  <sheetData>
    <row r="3" spans="1:2" x14ac:dyDescent="0.25">
      <c r="A3" s="20" t="s">
        <v>1044</v>
      </c>
      <c r="B3" t="s">
        <v>1972</v>
      </c>
    </row>
    <row r="4" spans="1:2" x14ac:dyDescent="0.25">
      <c r="A4" s="21" t="s">
        <v>1971</v>
      </c>
    </row>
    <row r="5" spans="1:2" x14ac:dyDescent="0.25">
      <c r="A5" s="21" t="s">
        <v>1682</v>
      </c>
      <c r="B5">
        <v>5</v>
      </c>
    </row>
    <row r="6" spans="1:2" x14ac:dyDescent="0.25">
      <c r="A6" s="21" t="s">
        <v>1831</v>
      </c>
      <c r="B6">
        <v>5</v>
      </c>
    </row>
    <row r="7" spans="1:2" x14ac:dyDescent="0.25">
      <c r="A7" s="21" t="s">
        <v>1684</v>
      </c>
      <c r="B7">
        <v>5</v>
      </c>
    </row>
    <row r="8" spans="1:2" x14ac:dyDescent="0.25">
      <c r="A8" s="21" t="s">
        <v>1832</v>
      </c>
      <c r="B8">
        <v>5</v>
      </c>
    </row>
    <row r="9" spans="1:2" x14ac:dyDescent="0.25">
      <c r="A9" s="21" t="s">
        <v>1688</v>
      </c>
      <c r="B9">
        <v>5</v>
      </c>
    </row>
    <row r="10" spans="1:2" x14ac:dyDescent="0.25">
      <c r="A10" s="21" t="s">
        <v>1835</v>
      </c>
      <c r="B10">
        <v>5</v>
      </c>
    </row>
    <row r="11" spans="1:2" x14ac:dyDescent="0.25">
      <c r="A11" s="21" t="s">
        <v>1691</v>
      </c>
      <c r="B11">
        <v>5</v>
      </c>
    </row>
    <row r="12" spans="1:2" x14ac:dyDescent="0.25">
      <c r="A12" s="21" t="s">
        <v>1837</v>
      </c>
      <c r="B12">
        <v>5</v>
      </c>
    </row>
    <row r="13" spans="1:2" x14ac:dyDescent="0.25">
      <c r="A13" s="21" t="s">
        <v>1694</v>
      </c>
      <c r="B13">
        <v>5</v>
      </c>
    </row>
    <row r="14" spans="1:2" x14ac:dyDescent="0.25">
      <c r="A14" s="21" t="s">
        <v>1839</v>
      </c>
      <c r="B14">
        <v>5</v>
      </c>
    </row>
    <row r="15" spans="1:2" x14ac:dyDescent="0.25">
      <c r="A15" s="21" t="s">
        <v>1697</v>
      </c>
      <c r="B15">
        <v>5</v>
      </c>
    </row>
    <row r="16" spans="1:2" x14ac:dyDescent="0.25">
      <c r="A16" s="21" t="s">
        <v>1840</v>
      </c>
      <c r="B16">
        <v>5</v>
      </c>
    </row>
    <row r="17" spans="1:7" x14ac:dyDescent="0.25">
      <c r="A17" s="21" t="s">
        <v>1699</v>
      </c>
      <c r="B17">
        <v>5</v>
      </c>
    </row>
    <row r="18" spans="1:7" x14ac:dyDescent="0.25">
      <c r="A18" s="21" t="s">
        <v>1660</v>
      </c>
      <c r="B18">
        <v>5</v>
      </c>
    </row>
    <row r="19" spans="1:7" x14ac:dyDescent="0.25">
      <c r="A19" s="21" t="s">
        <v>1702</v>
      </c>
      <c r="B19">
        <v>5</v>
      </c>
      <c r="G19" t="s">
        <v>1973</v>
      </c>
    </row>
    <row r="20" spans="1:7" x14ac:dyDescent="0.25">
      <c r="A20" s="21" t="s">
        <v>1841</v>
      </c>
      <c r="B20">
        <v>5</v>
      </c>
    </row>
    <row r="21" spans="1:7" x14ac:dyDescent="0.25">
      <c r="A21" s="21" t="s">
        <v>1704</v>
      </c>
      <c r="B21">
        <v>5</v>
      </c>
    </row>
    <row r="22" spans="1:7" x14ac:dyDescent="0.25">
      <c r="A22" s="21" t="s">
        <v>1110</v>
      </c>
      <c r="B22">
        <v>5</v>
      </c>
    </row>
    <row r="23" spans="1:7" x14ac:dyDescent="0.25">
      <c r="A23" s="21" t="s">
        <v>1706</v>
      </c>
      <c r="B23">
        <v>5</v>
      </c>
    </row>
    <row r="24" spans="1:7" x14ac:dyDescent="0.25">
      <c r="A24" s="21" t="s">
        <v>1129</v>
      </c>
      <c r="B24">
        <v>5</v>
      </c>
    </row>
    <row r="25" spans="1:7" x14ac:dyDescent="0.25">
      <c r="A25" s="21" t="s">
        <v>1708</v>
      </c>
      <c r="B25">
        <v>5</v>
      </c>
    </row>
    <row r="26" spans="1:7" x14ac:dyDescent="0.25">
      <c r="A26" s="21" t="s">
        <v>1843</v>
      </c>
      <c r="B26">
        <v>5</v>
      </c>
    </row>
    <row r="27" spans="1:7" x14ac:dyDescent="0.25">
      <c r="A27" s="21" t="s">
        <v>1710</v>
      </c>
      <c r="B27">
        <v>5</v>
      </c>
    </row>
    <row r="28" spans="1:7" x14ac:dyDescent="0.25">
      <c r="A28" s="21" t="s">
        <v>1844</v>
      </c>
      <c r="B28">
        <v>5</v>
      </c>
    </row>
    <row r="29" spans="1:7" x14ac:dyDescent="0.25">
      <c r="A29" s="21" t="s">
        <v>1715</v>
      </c>
      <c r="B29">
        <v>5</v>
      </c>
    </row>
    <row r="30" spans="1:7" x14ac:dyDescent="0.25">
      <c r="A30" s="21" t="s">
        <v>1845</v>
      </c>
      <c r="B30">
        <v>5</v>
      </c>
    </row>
    <row r="31" spans="1:7" x14ac:dyDescent="0.25">
      <c r="A31" s="21" t="s">
        <v>1718</v>
      </c>
      <c r="B31">
        <v>5</v>
      </c>
    </row>
    <row r="32" spans="1:7" x14ac:dyDescent="0.25">
      <c r="A32" s="21" t="s">
        <v>1848</v>
      </c>
      <c r="B32">
        <v>5</v>
      </c>
    </row>
    <row r="33" spans="1:2" x14ac:dyDescent="0.25">
      <c r="A33" s="21" t="s">
        <v>1720</v>
      </c>
      <c r="B33">
        <v>5</v>
      </c>
    </row>
    <row r="34" spans="1:2" x14ac:dyDescent="0.25">
      <c r="A34" s="21" t="s">
        <v>1849</v>
      </c>
      <c r="B34">
        <v>5</v>
      </c>
    </row>
    <row r="35" spans="1:2" x14ac:dyDescent="0.25">
      <c r="A35" s="21" t="s">
        <v>1722</v>
      </c>
      <c r="B35">
        <v>5</v>
      </c>
    </row>
    <row r="36" spans="1:2" x14ac:dyDescent="0.25">
      <c r="A36" s="21" t="s">
        <v>1850</v>
      </c>
      <c r="B36">
        <v>5</v>
      </c>
    </row>
    <row r="37" spans="1:2" x14ac:dyDescent="0.25">
      <c r="A37" s="21" t="s">
        <v>1725</v>
      </c>
      <c r="B37">
        <v>5</v>
      </c>
    </row>
    <row r="38" spans="1:2" x14ac:dyDescent="0.25">
      <c r="A38" s="21" t="s">
        <v>1851</v>
      </c>
      <c r="B38">
        <v>5</v>
      </c>
    </row>
    <row r="39" spans="1:2" x14ac:dyDescent="0.25">
      <c r="A39" s="21" t="s">
        <v>1728</v>
      </c>
      <c r="B39">
        <v>5</v>
      </c>
    </row>
    <row r="40" spans="1:2" x14ac:dyDescent="0.25">
      <c r="A40" s="21" t="s">
        <v>1855</v>
      </c>
      <c r="B40">
        <v>5</v>
      </c>
    </row>
    <row r="41" spans="1:2" x14ac:dyDescent="0.25">
      <c r="A41" s="21" t="s">
        <v>1730</v>
      </c>
      <c r="B41">
        <v>5</v>
      </c>
    </row>
    <row r="42" spans="1:2" x14ac:dyDescent="0.25">
      <c r="A42" s="21" t="s">
        <v>1856</v>
      </c>
      <c r="B42">
        <v>5</v>
      </c>
    </row>
    <row r="43" spans="1:2" x14ac:dyDescent="0.25">
      <c r="A43" s="21" t="s">
        <v>1732</v>
      </c>
      <c r="B43">
        <v>5</v>
      </c>
    </row>
    <row r="44" spans="1:2" x14ac:dyDescent="0.25">
      <c r="A44" s="21" t="s">
        <v>1858</v>
      </c>
      <c r="B44">
        <v>5</v>
      </c>
    </row>
    <row r="45" spans="1:2" x14ac:dyDescent="0.25">
      <c r="A45" s="21" t="s">
        <v>1734</v>
      </c>
      <c r="B45">
        <v>5</v>
      </c>
    </row>
    <row r="46" spans="1:2" x14ac:dyDescent="0.25">
      <c r="A46" s="21" t="s">
        <v>1859</v>
      </c>
      <c r="B46">
        <v>5</v>
      </c>
    </row>
    <row r="47" spans="1:2" x14ac:dyDescent="0.25">
      <c r="A47" s="21" t="s">
        <v>1735</v>
      </c>
      <c r="B47">
        <v>5</v>
      </c>
    </row>
    <row r="48" spans="1:2" x14ac:dyDescent="0.25">
      <c r="A48" s="21" t="s">
        <v>1860</v>
      </c>
      <c r="B48">
        <v>5</v>
      </c>
    </row>
    <row r="49" spans="1:2" x14ac:dyDescent="0.25">
      <c r="A49" s="21" t="s">
        <v>1738</v>
      </c>
      <c r="B49">
        <v>5</v>
      </c>
    </row>
    <row r="50" spans="1:2" x14ac:dyDescent="0.25">
      <c r="A50" s="21" t="s">
        <v>1861</v>
      </c>
      <c r="B50">
        <v>5</v>
      </c>
    </row>
    <row r="51" spans="1:2" x14ac:dyDescent="0.25">
      <c r="A51" s="21" t="s">
        <v>1740</v>
      </c>
      <c r="B51">
        <v>5</v>
      </c>
    </row>
    <row r="52" spans="1:2" x14ac:dyDescent="0.25">
      <c r="A52" s="21" t="s">
        <v>1863</v>
      </c>
      <c r="B52">
        <v>5</v>
      </c>
    </row>
    <row r="53" spans="1:2" x14ac:dyDescent="0.25">
      <c r="A53" s="21" t="s">
        <v>1742</v>
      </c>
      <c r="B53">
        <v>5</v>
      </c>
    </row>
    <row r="54" spans="1:2" x14ac:dyDescent="0.25">
      <c r="A54" s="21" t="s">
        <v>1864</v>
      </c>
      <c r="B54">
        <v>5</v>
      </c>
    </row>
    <row r="55" spans="1:2" x14ac:dyDescent="0.25">
      <c r="A55" s="21" t="s">
        <v>1746</v>
      </c>
      <c r="B55">
        <v>5</v>
      </c>
    </row>
    <row r="56" spans="1:2" x14ac:dyDescent="0.25">
      <c r="A56" s="21" t="s">
        <v>1865</v>
      </c>
      <c r="B56">
        <v>5</v>
      </c>
    </row>
    <row r="57" spans="1:2" x14ac:dyDescent="0.25">
      <c r="A57" s="21" t="s">
        <v>1749</v>
      </c>
      <c r="B57">
        <v>5</v>
      </c>
    </row>
    <row r="58" spans="1:2" x14ac:dyDescent="0.25">
      <c r="A58" s="21" t="s">
        <v>1866</v>
      </c>
      <c r="B58">
        <v>5</v>
      </c>
    </row>
    <row r="59" spans="1:2" x14ac:dyDescent="0.25">
      <c r="A59" s="21" t="s">
        <v>1752</v>
      </c>
      <c r="B59">
        <v>5</v>
      </c>
    </row>
    <row r="60" spans="1:2" x14ac:dyDescent="0.25">
      <c r="A60" s="21" t="s">
        <v>1867</v>
      </c>
      <c r="B60">
        <v>5</v>
      </c>
    </row>
    <row r="61" spans="1:2" x14ac:dyDescent="0.25">
      <c r="A61" s="21" t="s">
        <v>1756</v>
      </c>
      <c r="B61">
        <v>5</v>
      </c>
    </row>
    <row r="62" spans="1:2" x14ac:dyDescent="0.25">
      <c r="A62" s="21" t="s">
        <v>1869</v>
      </c>
      <c r="B62">
        <v>5</v>
      </c>
    </row>
    <row r="63" spans="1:2" x14ac:dyDescent="0.25">
      <c r="A63" s="21" t="s">
        <v>1763</v>
      </c>
      <c r="B63">
        <v>5</v>
      </c>
    </row>
    <row r="64" spans="1:2" x14ac:dyDescent="0.25">
      <c r="A64" s="21" t="s">
        <v>1871</v>
      </c>
      <c r="B64">
        <v>5</v>
      </c>
    </row>
    <row r="65" spans="1:2" x14ac:dyDescent="0.25">
      <c r="A65" s="21" t="s">
        <v>1766</v>
      </c>
      <c r="B65">
        <v>5</v>
      </c>
    </row>
    <row r="66" spans="1:2" x14ac:dyDescent="0.25">
      <c r="A66" s="21" t="s">
        <v>1872</v>
      </c>
      <c r="B66">
        <v>5</v>
      </c>
    </row>
    <row r="67" spans="1:2" x14ac:dyDescent="0.25">
      <c r="A67" s="21" t="s">
        <v>1769</v>
      </c>
      <c r="B67">
        <v>5</v>
      </c>
    </row>
    <row r="68" spans="1:2" x14ac:dyDescent="0.25">
      <c r="A68" s="21" t="s">
        <v>1875</v>
      </c>
      <c r="B68">
        <v>5</v>
      </c>
    </row>
    <row r="69" spans="1:2" x14ac:dyDescent="0.25">
      <c r="A69" s="21" t="s">
        <v>1772</v>
      </c>
      <c r="B69">
        <v>5</v>
      </c>
    </row>
    <row r="70" spans="1:2" x14ac:dyDescent="0.25">
      <c r="A70" s="21" t="s">
        <v>1876</v>
      </c>
      <c r="B70">
        <v>5</v>
      </c>
    </row>
    <row r="71" spans="1:2" x14ac:dyDescent="0.25">
      <c r="A71" s="21" t="s">
        <v>1774</v>
      </c>
      <c r="B71">
        <v>5</v>
      </c>
    </row>
    <row r="72" spans="1:2" x14ac:dyDescent="0.25">
      <c r="A72" s="21" t="s">
        <v>1877</v>
      </c>
      <c r="B72">
        <v>5</v>
      </c>
    </row>
    <row r="73" spans="1:2" x14ac:dyDescent="0.25">
      <c r="A73" s="21" t="s">
        <v>1776</v>
      </c>
      <c r="B73">
        <v>5</v>
      </c>
    </row>
    <row r="74" spans="1:2" x14ac:dyDescent="0.25">
      <c r="A74" s="21" t="s">
        <v>1879</v>
      </c>
      <c r="B74">
        <v>5</v>
      </c>
    </row>
    <row r="75" spans="1:2" x14ac:dyDescent="0.25">
      <c r="A75" s="21" t="s">
        <v>1779</v>
      </c>
      <c r="B75">
        <v>5</v>
      </c>
    </row>
    <row r="76" spans="1:2" x14ac:dyDescent="0.25">
      <c r="A76" s="21" t="s">
        <v>1880</v>
      </c>
      <c r="B76">
        <v>5</v>
      </c>
    </row>
    <row r="77" spans="1:2" x14ac:dyDescent="0.25">
      <c r="A77" s="21" t="s">
        <v>1783</v>
      </c>
      <c r="B77">
        <v>5</v>
      </c>
    </row>
    <row r="78" spans="1:2" x14ac:dyDescent="0.25">
      <c r="A78" s="21" t="s">
        <v>1881</v>
      </c>
      <c r="B78">
        <v>5</v>
      </c>
    </row>
    <row r="79" spans="1:2" x14ac:dyDescent="0.25">
      <c r="A79" s="21" t="s">
        <v>1785</v>
      </c>
      <c r="B79">
        <v>5</v>
      </c>
    </row>
    <row r="80" spans="1:2" x14ac:dyDescent="0.25">
      <c r="A80" s="21" t="s">
        <v>1883</v>
      </c>
      <c r="B80">
        <v>5</v>
      </c>
    </row>
    <row r="81" spans="1:2" x14ac:dyDescent="0.25">
      <c r="A81" s="21" t="s">
        <v>1788</v>
      </c>
      <c r="B81">
        <v>5</v>
      </c>
    </row>
    <row r="82" spans="1:2" x14ac:dyDescent="0.25">
      <c r="A82" s="21" t="s">
        <v>1887</v>
      </c>
      <c r="B82">
        <v>5</v>
      </c>
    </row>
    <row r="83" spans="1:2" x14ac:dyDescent="0.25">
      <c r="A83" s="21" t="s">
        <v>1792</v>
      </c>
      <c r="B83">
        <v>5</v>
      </c>
    </row>
    <row r="84" spans="1:2" x14ac:dyDescent="0.25">
      <c r="A84" s="21" t="s">
        <v>1888</v>
      </c>
      <c r="B84">
        <v>5</v>
      </c>
    </row>
    <row r="85" spans="1:2" x14ac:dyDescent="0.25">
      <c r="A85" s="21" t="s">
        <v>1796</v>
      </c>
      <c r="B85">
        <v>5</v>
      </c>
    </row>
    <row r="86" spans="1:2" x14ac:dyDescent="0.25">
      <c r="A86" s="21" t="s">
        <v>1889</v>
      </c>
      <c r="B86">
        <v>5</v>
      </c>
    </row>
    <row r="87" spans="1:2" x14ac:dyDescent="0.25">
      <c r="A87" s="21" t="s">
        <v>1798</v>
      </c>
      <c r="B87">
        <v>5</v>
      </c>
    </row>
    <row r="88" spans="1:2" x14ac:dyDescent="0.25">
      <c r="A88" s="21" t="s">
        <v>1251</v>
      </c>
      <c r="B88">
        <v>5</v>
      </c>
    </row>
    <row r="89" spans="1:2" x14ac:dyDescent="0.25">
      <c r="A89" s="21" t="s">
        <v>1802</v>
      </c>
      <c r="B89">
        <v>5</v>
      </c>
    </row>
    <row r="90" spans="1:2" x14ac:dyDescent="0.25">
      <c r="A90" s="21" t="s">
        <v>1890</v>
      </c>
      <c r="B90">
        <v>5</v>
      </c>
    </row>
    <row r="91" spans="1:2" x14ac:dyDescent="0.25">
      <c r="A91" s="21" t="s">
        <v>1805</v>
      </c>
      <c r="B91">
        <v>5</v>
      </c>
    </row>
    <row r="92" spans="1:2" x14ac:dyDescent="0.25">
      <c r="A92" s="21" t="s">
        <v>1891</v>
      </c>
      <c r="B92">
        <v>5</v>
      </c>
    </row>
    <row r="93" spans="1:2" x14ac:dyDescent="0.25">
      <c r="A93" s="21" t="s">
        <v>1808</v>
      </c>
      <c r="B93">
        <v>5</v>
      </c>
    </row>
    <row r="94" spans="1:2" x14ac:dyDescent="0.25">
      <c r="A94" s="21" t="s">
        <v>1892</v>
      </c>
      <c r="B94">
        <v>5</v>
      </c>
    </row>
    <row r="95" spans="1:2" x14ac:dyDescent="0.25">
      <c r="A95" s="21" t="s">
        <v>1812</v>
      </c>
      <c r="B95">
        <v>5</v>
      </c>
    </row>
    <row r="96" spans="1:2" x14ac:dyDescent="0.25">
      <c r="A96" s="21" t="s">
        <v>1893</v>
      </c>
      <c r="B96">
        <v>5</v>
      </c>
    </row>
    <row r="97" spans="1:2" x14ac:dyDescent="0.25">
      <c r="A97" s="21" t="s">
        <v>1815</v>
      </c>
      <c r="B97">
        <v>5</v>
      </c>
    </row>
    <row r="98" spans="1:2" x14ac:dyDescent="0.25">
      <c r="A98" s="21" t="s">
        <v>1663</v>
      </c>
      <c r="B98">
        <v>5</v>
      </c>
    </row>
    <row r="99" spans="1:2" x14ac:dyDescent="0.25">
      <c r="A99" s="21" t="s">
        <v>1818</v>
      </c>
      <c r="B99">
        <v>5</v>
      </c>
    </row>
    <row r="100" spans="1:2" x14ac:dyDescent="0.25">
      <c r="A100" s="21" t="s">
        <v>1894</v>
      </c>
      <c r="B100">
        <v>5</v>
      </c>
    </row>
    <row r="101" spans="1:2" x14ac:dyDescent="0.25">
      <c r="A101" s="21" t="s">
        <v>1820</v>
      </c>
      <c r="B101">
        <v>5</v>
      </c>
    </row>
    <row r="102" spans="1:2" x14ac:dyDescent="0.25">
      <c r="A102" s="21" t="s">
        <v>1896</v>
      </c>
      <c r="B102">
        <v>5</v>
      </c>
    </row>
    <row r="103" spans="1:2" x14ac:dyDescent="0.25">
      <c r="A103" s="21" t="s">
        <v>1822</v>
      </c>
      <c r="B103">
        <v>5</v>
      </c>
    </row>
    <row r="104" spans="1:2" x14ac:dyDescent="0.25">
      <c r="A104" s="21" t="s">
        <v>1897</v>
      </c>
      <c r="B104">
        <v>5</v>
      </c>
    </row>
    <row r="105" spans="1:2" x14ac:dyDescent="0.25">
      <c r="A105" s="21" t="s">
        <v>1825</v>
      </c>
      <c r="B105">
        <v>5</v>
      </c>
    </row>
    <row r="106" spans="1:2" x14ac:dyDescent="0.25">
      <c r="A106" s="21" t="s">
        <v>1898</v>
      </c>
      <c r="B106">
        <v>5</v>
      </c>
    </row>
    <row r="107" spans="1:2" x14ac:dyDescent="0.25">
      <c r="A107" s="21" t="s">
        <v>1829</v>
      </c>
      <c r="B107">
        <v>5</v>
      </c>
    </row>
    <row r="108" spans="1:2" x14ac:dyDescent="0.25">
      <c r="A108" s="21" t="s">
        <v>1899</v>
      </c>
      <c r="B108">
        <v>5</v>
      </c>
    </row>
    <row r="109" spans="1:2" x14ac:dyDescent="0.25">
      <c r="A109" s="21" t="s">
        <v>1687</v>
      </c>
      <c r="B109">
        <v>5</v>
      </c>
    </row>
    <row r="110" spans="1:2" x14ac:dyDescent="0.25">
      <c r="A110" s="21" t="s">
        <v>1901</v>
      </c>
      <c r="B110">
        <v>5</v>
      </c>
    </row>
    <row r="111" spans="1:2" x14ac:dyDescent="0.25">
      <c r="A111" s="21" t="s">
        <v>1692</v>
      </c>
      <c r="B111">
        <v>5</v>
      </c>
    </row>
    <row r="112" spans="1:2" x14ac:dyDescent="0.25">
      <c r="A112" s="21" t="s">
        <v>1902</v>
      </c>
      <c r="B112">
        <v>5</v>
      </c>
    </row>
    <row r="113" spans="1:2" x14ac:dyDescent="0.25">
      <c r="A113" s="21" t="s">
        <v>1698</v>
      </c>
      <c r="B113">
        <v>5</v>
      </c>
    </row>
    <row r="114" spans="1:2" x14ac:dyDescent="0.25">
      <c r="A114" s="21" t="s">
        <v>1905</v>
      </c>
      <c r="B114">
        <v>5</v>
      </c>
    </row>
    <row r="115" spans="1:2" x14ac:dyDescent="0.25">
      <c r="A115" s="21" t="s">
        <v>1703</v>
      </c>
      <c r="B115">
        <v>5</v>
      </c>
    </row>
    <row r="116" spans="1:2" x14ac:dyDescent="0.25">
      <c r="A116" s="21" t="s">
        <v>1906</v>
      </c>
      <c r="B116">
        <v>5</v>
      </c>
    </row>
    <row r="117" spans="1:2" x14ac:dyDescent="0.25">
      <c r="A117" s="21" t="s">
        <v>1707</v>
      </c>
      <c r="B117">
        <v>5</v>
      </c>
    </row>
    <row r="118" spans="1:2" x14ac:dyDescent="0.25">
      <c r="A118" s="21" t="s">
        <v>1907</v>
      </c>
      <c r="B118">
        <v>5</v>
      </c>
    </row>
    <row r="119" spans="1:2" x14ac:dyDescent="0.25">
      <c r="A119" s="21" t="s">
        <v>1712</v>
      </c>
      <c r="B119">
        <v>5</v>
      </c>
    </row>
    <row r="120" spans="1:2" x14ac:dyDescent="0.25">
      <c r="A120" s="21" t="s">
        <v>1908</v>
      </c>
      <c r="B120">
        <v>5</v>
      </c>
    </row>
    <row r="121" spans="1:2" x14ac:dyDescent="0.25">
      <c r="A121" s="21" t="s">
        <v>1719</v>
      </c>
      <c r="B121">
        <v>5</v>
      </c>
    </row>
    <row r="122" spans="1:2" x14ac:dyDescent="0.25">
      <c r="A122" s="21" t="s">
        <v>1909</v>
      </c>
      <c r="B122">
        <v>5</v>
      </c>
    </row>
    <row r="123" spans="1:2" x14ac:dyDescent="0.25">
      <c r="A123" s="21" t="s">
        <v>1724</v>
      </c>
      <c r="B123">
        <v>5</v>
      </c>
    </row>
    <row r="124" spans="1:2" x14ac:dyDescent="0.25">
      <c r="A124" s="21" t="s">
        <v>1911</v>
      </c>
      <c r="B124">
        <v>5</v>
      </c>
    </row>
    <row r="125" spans="1:2" x14ac:dyDescent="0.25">
      <c r="A125" s="21" t="s">
        <v>1729</v>
      </c>
      <c r="B125">
        <v>5</v>
      </c>
    </row>
    <row r="126" spans="1:2" x14ac:dyDescent="0.25">
      <c r="A126" s="21" t="s">
        <v>1912</v>
      </c>
      <c r="B126">
        <v>5</v>
      </c>
    </row>
    <row r="127" spans="1:2" x14ac:dyDescent="0.25">
      <c r="A127" s="21" t="s">
        <v>1733</v>
      </c>
      <c r="B127">
        <v>5</v>
      </c>
    </row>
    <row r="128" spans="1:2" x14ac:dyDescent="0.25">
      <c r="A128" s="21" t="s">
        <v>1914</v>
      </c>
      <c r="B128">
        <v>5</v>
      </c>
    </row>
    <row r="129" spans="1:2" x14ac:dyDescent="0.25">
      <c r="A129" s="21" t="s">
        <v>1737</v>
      </c>
      <c r="B129">
        <v>5</v>
      </c>
    </row>
    <row r="130" spans="1:2" x14ac:dyDescent="0.25">
      <c r="A130" s="21" t="s">
        <v>1915</v>
      </c>
      <c r="B130">
        <v>5</v>
      </c>
    </row>
    <row r="131" spans="1:2" x14ac:dyDescent="0.25">
      <c r="A131" s="21" t="s">
        <v>1741</v>
      </c>
      <c r="B131">
        <v>5</v>
      </c>
    </row>
    <row r="132" spans="1:2" x14ac:dyDescent="0.25">
      <c r="A132" s="21" t="s">
        <v>1916</v>
      </c>
      <c r="B132">
        <v>5</v>
      </c>
    </row>
    <row r="133" spans="1:2" x14ac:dyDescent="0.25">
      <c r="A133" s="21" t="s">
        <v>1748</v>
      </c>
      <c r="B133">
        <v>5</v>
      </c>
    </row>
    <row r="134" spans="1:2" x14ac:dyDescent="0.25">
      <c r="A134" s="21" t="s">
        <v>1917</v>
      </c>
      <c r="B134">
        <v>5</v>
      </c>
    </row>
    <row r="135" spans="1:2" x14ac:dyDescent="0.25">
      <c r="A135" s="21" t="s">
        <v>1755</v>
      </c>
      <c r="B135">
        <v>5</v>
      </c>
    </row>
    <row r="136" spans="1:2" x14ac:dyDescent="0.25">
      <c r="A136" s="21" t="s">
        <v>1918</v>
      </c>
      <c r="B136">
        <v>5</v>
      </c>
    </row>
    <row r="137" spans="1:2" x14ac:dyDescent="0.25">
      <c r="A137" s="21" t="s">
        <v>1765</v>
      </c>
      <c r="B137">
        <v>5</v>
      </c>
    </row>
    <row r="138" spans="1:2" x14ac:dyDescent="0.25">
      <c r="A138" s="21" t="s">
        <v>1919</v>
      </c>
      <c r="B138">
        <v>5</v>
      </c>
    </row>
    <row r="139" spans="1:2" x14ac:dyDescent="0.25">
      <c r="A139" s="21" t="s">
        <v>1770</v>
      </c>
      <c r="B139">
        <v>5</v>
      </c>
    </row>
    <row r="140" spans="1:2" x14ac:dyDescent="0.25">
      <c r="A140" s="21" t="s">
        <v>1920</v>
      </c>
      <c r="B140">
        <v>5</v>
      </c>
    </row>
    <row r="141" spans="1:2" x14ac:dyDescent="0.25">
      <c r="A141" s="21" t="s">
        <v>1775</v>
      </c>
      <c r="B141">
        <v>5</v>
      </c>
    </row>
    <row r="142" spans="1:2" x14ac:dyDescent="0.25">
      <c r="A142" s="21" t="s">
        <v>1925</v>
      </c>
      <c r="B142">
        <v>5</v>
      </c>
    </row>
    <row r="143" spans="1:2" x14ac:dyDescent="0.25">
      <c r="A143" s="21" t="s">
        <v>1782</v>
      </c>
      <c r="B143">
        <v>5</v>
      </c>
    </row>
    <row r="144" spans="1:2" x14ac:dyDescent="0.25">
      <c r="A144" s="21" t="s">
        <v>1926</v>
      </c>
      <c r="B144">
        <v>5</v>
      </c>
    </row>
    <row r="145" spans="1:2" x14ac:dyDescent="0.25">
      <c r="A145" s="21" t="s">
        <v>1787</v>
      </c>
      <c r="B145">
        <v>5</v>
      </c>
    </row>
    <row r="146" spans="1:2" x14ac:dyDescent="0.25">
      <c r="A146" s="21" t="s">
        <v>1927</v>
      </c>
      <c r="B146">
        <v>5</v>
      </c>
    </row>
    <row r="147" spans="1:2" x14ac:dyDescent="0.25">
      <c r="A147" s="21" t="s">
        <v>1795</v>
      </c>
      <c r="B147">
        <v>5</v>
      </c>
    </row>
    <row r="148" spans="1:2" x14ac:dyDescent="0.25">
      <c r="A148" s="21" t="s">
        <v>1928</v>
      </c>
      <c r="B148">
        <v>5</v>
      </c>
    </row>
    <row r="149" spans="1:2" x14ac:dyDescent="0.25">
      <c r="A149" s="21" t="s">
        <v>1799</v>
      </c>
      <c r="B149">
        <v>5</v>
      </c>
    </row>
    <row r="150" spans="1:2" x14ac:dyDescent="0.25">
      <c r="A150" s="21" t="s">
        <v>1929</v>
      </c>
      <c r="B150">
        <v>5</v>
      </c>
    </row>
    <row r="151" spans="1:2" x14ac:dyDescent="0.25">
      <c r="A151" s="21" t="s">
        <v>1807</v>
      </c>
      <c r="B151">
        <v>5</v>
      </c>
    </row>
    <row r="152" spans="1:2" x14ac:dyDescent="0.25">
      <c r="A152" s="21" t="s">
        <v>1930</v>
      </c>
      <c r="B152">
        <v>5</v>
      </c>
    </row>
    <row r="153" spans="1:2" x14ac:dyDescent="0.25">
      <c r="A153" s="21" t="s">
        <v>1814</v>
      </c>
      <c r="B153">
        <v>5</v>
      </c>
    </row>
    <row r="154" spans="1:2" x14ac:dyDescent="0.25">
      <c r="A154" s="21" t="s">
        <v>1931</v>
      </c>
      <c r="B154">
        <v>5</v>
      </c>
    </row>
    <row r="155" spans="1:2" x14ac:dyDescent="0.25">
      <c r="A155" s="21" t="s">
        <v>1819</v>
      </c>
      <c r="B155">
        <v>5</v>
      </c>
    </row>
    <row r="156" spans="1:2" x14ac:dyDescent="0.25">
      <c r="A156" s="21" t="s">
        <v>1932</v>
      </c>
      <c r="B156">
        <v>5</v>
      </c>
    </row>
    <row r="157" spans="1:2" x14ac:dyDescent="0.25">
      <c r="A157" s="21" t="s">
        <v>1824</v>
      </c>
      <c r="B157">
        <v>5</v>
      </c>
    </row>
    <row r="158" spans="1:2" x14ac:dyDescent="0.25">
      <c r="A158" s="21" t="s">
        <v>1934</v>
      </c>
      <c r="B158">
        <v>5</v>
      </c>
    </row>
    <row r="159" spans="1:2" x14ac:dyDescent="0.25">
      <c r="A159" s="21" t="s">
        <v>1970</v>
      </c>
      <c r="B159">
        <v>5</v>
      </c>
    </row>
    <row r="160" spans="1:2" x14ac:dyDescent="0.25">
      <c r="A160" s="21" t="s">
        <v>1935</v>
      </c>
      <c r="B160">
        <v>5</v>
      </c>
    </row>
    <row r="161" spans="1:2" x14ac:dyDescent="0.25">
      <c r="A161" s="21" t="s">
        <v>1695</v>
      </c>
      <c r="B161">
        <v>5</v>
      </c>
    </row>
    <row r="162" spans="1:2" x14ac:dyDescent="0.25">
      <c r="A162" s="21" t="s">
        <v>1936</v>
      </c>
      <c r="B162">
        <v>5</v>
      </c>
    </row>
    <row r="163" spans="1:2" x14ac:dyDescent="0.25">
      <c r="A163" s="21" t="s">
        <v>1705</v>
      </c>
      <c r="B163">
        <v>5</v>
      </c>
    </row>
    <row r="164" spans="1:2" x14ac:dyDescent="0.25">
      <c r="A164" s="21" t="s">
        <v>1939</v>
      </c>
      <c r="B164">
        <v>5</v>
      </c>
    </row>
    <row r="165" spans="1:2" x14ac:dyDescent="0.25">
      <c r="A165" s="21" t="s">
        <v>1717</v>
      </c>
      <c r="B165">
        <v>5</v>
      </c>
    </row>
    <row r="166" spans="1:2" x14ac:dyDescent="0.25">
      <c r="A166" s="21" t="s">
        <v>1940</v>
      </c>
      <c r="B166">
        <v>5</v>
      </c>
    </row>
    <row r="167" spans="1:2" x14ac:dyDescent="0.25">
      <c r="A167" s="21" t="s">
        <v>1727</v>
      </c>
      <c r="B167">
        <v>5</v>
      </c>
    </row>
    <row r="168" spans="1:2" x14ac:dyDescent="0.25">
      <c r="A168" s="21" t="s">
        <v>1941</v>
      </c>
      <c r="B168">
        <v>5</v>
      </c>
    </row>
    <row r="169" spans="1:2" x14ac:dyDescent="0.25">
      <c r="A169" s="21" t="s">
        <v>1413</v>
      </c>
      <c r="B169">
        <v>5</v>
      </c>
    </row>
    <row r="170" spans="1:2" x14ac:dyDescent="0.25">
      <c r="A170" s="21" t="s">
        <v>1942</v>
      </c>
      <c r="B170">
        <v>5</v>
      </c>
    </row>
    <row r="171" spans="1:2" x14ac:dyDescent="0.25">
      <c r="A171" s="21" t="s">
        <v>1743</v>
      </c>
      <c r="B171">
        <v>5</v>
      </c>
    </row>
    <row r="172" spans="1:2" x14ac:dyDescent="0.25">
      <c r="A172" s="21" t="s">
        <v>1943</v>
      </c>
      <c r="B172">
        <v>5</v>
      </c>
    </row>
    <row r="173" spans="1:2" x14ac:dyDescent="0.25">
      <c r="A173" s="21" t="s">
        <v>1759</v>
      </c>
      <c r="B173">
        <v>5</v>
      </c>
    </row>
    <row r="174" spans="1:2" x14ac:dyDescent="0.25">
      <c r="A174" s="21" t="s">
        <v>1944</v>
      </c>
      <c r="B174">
        <v>5</v>
      </c>
    </row>
    <row r="175" spans="1:2" x14ac:dyDescent="0.25">
      <c r="A175" s="21" t="s">
        <v>1773</v>
      </c>
      <c r="B175">
        <v>5</v>
      </c>
    </row>
    <row r="176" spans="1:2" x14ac:dyDescent="0.25">
      <c r="A176" s="21" t="s">
        <v>1945</v>
      </c>
      <c r="B176">
        <v>5</v>
      </c>
    </row>
    <row r="177" spans="1:2" x14ac:dyDescent="0.25">
      <c r="A177" s="21" t="s">
        <v>1784</v>
      </c>
      <c r="B177">
        <v>5</v>
      </c>
    </row>
    <row r="178" spans="1:2" x14ac:dyDescent="0.25">
      <c r="A178" s="21" t="s">
        <v>1946</v>
      </c>
      <c r="B178">
        <v>5</v>
      </c>
    </row>
    <row r="179" spans="1:2" x14ac:dyDescent="0.25">
      <c r="A179" s="21" t="s">
        <v>1797</v>
      </c>
      <c r="B179">
        <v>5</v>
      </c>
    </row>
    <row r="180" spans="1:2" x14ac:dyDescent="0.25">
      <c r="A180" s="21" t="s">
        <v>1948</v>
      </c>
      <c r="B180">
        <v>5</v>
      </c>
    </row>
    <row r="181" spans="1:2" x14ac:dyDescent="0.25">
      <c r="A181" s="21" t="s">
        <v>1811</v>
      </c>
      <c r="B181">
        <v>5</v>
      </c>
    </row>
    <row r="182" spans="1:2" x14ac:dyDescent="0.25">
      <c r="A182" s="21" t="s">
        <v>1949</v>
      </c>
      <c r="B182">
        <v>5</v>
      </c>
    </row>
    <row r="183" spans="1:2" x14ac:dyDescent="0.25">
      <c r="A183" s="21" t="s">
        <v>1821</v>
      </c>
      <c r="B183">
        <v>5</v>
      </c>
    </row>
    <row r="184" spans="1:2" x14ac:dyDescent="0.25">
      <c r="A184" s="21" t="s">
        <v>1951</v>
      </c>
      <c r="B184">
        <v>5</v>
      </c>
    </row>
    <row r="185" spans="1:2" x14ac:dyDescent="0.25">
      <c r="A185" s="21" t="s">
        <v>1689</v>
      </c>
      <c r="B185">
        <v>5</v>
      </c>
    </row>
    <row r="186" spans="1:2" x14ac:dyDescent="0.25">
      <c r="A186" s="21" t="s">
        <v>1662</v>
      </c>
      <c r="B186">
        <v>5</v>
      </c>
    </row>
    <row r="187" spans="1:2" x14ac:dyDescent="0.25">
      <c r="A187" s="21" t="s">
        <v>1709</v>
      </c>
      <c r="B187">
        <v>5</v>
      </c>
    </row>
    <row r="188" spans="1:2" x14ac:dyDescent="0.25">
      <c r="A188" s="21" t="s">
        <v>1952</v>
      </c>
      <c r="B188">
        <v>5</v>
      </c>
    </row>
    <row r="189" spans="1:2" x14ac:dyDescent="0.25">
      <c r="A189" s="21" t="s">
        <v>1731</v>
      </c>
      <c r="B189">
        <v>5</v>
      </c>
    </row>
    <row r="190" spans="1:2" x14ac:dyDescent="0.25">
      <c r="A190" s="21" t="s">
        <v>1953</v>
      </c>
      <c r="B190">
        <v>5</v>
      </c>
    </row>
    <row r="191" spans="1:2" x14ac:dyDescent="0.25">
      <c r="A191" s="21" t="s">
        <v>1751</v>
      </c>
      <c r="B191">
        <v>5</v>
      </c>
    </row>
    <row r="192" spans="1:2" x14ac:dyDescent="0.25">
      <c r="A192" s="21" t="s">
        <v>1665</v>
      </c>
      <c r="B192">
        <v>5</v>
      </c>
    </row>
    <row r="193" spans="1:2" x14ac:dyDescent="0.25">
      <c r="A193" s="21" t="s">
        <v>1777</v>
      </c>
      <c r="B193">
        <v>5</v>
      </c>
    </row>
    <row r="194" spans="1:2" x14ac:dyDescent="0.25">
      <c r="A194" s="21" t="s">
        <v>1956</v>
      </c>
      <c r="B194">
        <v>5</v>
      </c>
    </row>
    <row r="195" spans="1:2" x14ac:dyDescent="0.25">
      <c r="A195" s="21" t="s">
        <v>1803</v>
      </c>
      <c r="B195">
        <v>5</v>
      </c>
    </row>
    <row r="196" spans="1:2" x14ac:dyDescent="0.25">
      <c r="A196" s="21" t="s">
        <v>1957</v>
      </c>
      <c r="B196">
        <v>5</v>
      </c>
    </row>
    <row r="197" spans="1:2" x14ac:dyDescent="0.25">
      <c r="A197" s="21" t="s">
        <v>1683</v>
      </c>
      <c r="B197">
        <v>5</v>
      </c>
    </row>
    <row r="198" spans="1:2" x14ac:dyDescent="0.25">
      <c r="A198" s="21" t="s">
        <v>1959</v>
      </c>
      <c r="B198">
        <v>5</v>
      </c>
    </row>
    <row r="199" spans="1:2" x14ac:dyDescent="0.25">
      <c r="A199" s="21" t="s">
        <v>1721</v>
      </c>
      <c r="B199">
        <v>5</v>
      </c>
    </row>
    <row r="200" spans="1:2" x14ac:dyDescent="0.25">
      <c r="A200" s="21" t="s">
        <v>1960</v>
      </c>
      <c r="B200">
        <v>5</v>
      </c>
    </row>
    <row r="201" spans="1:2" x14ac:dyDescent="0.25">
      <c r="A201" s="21" t="s">
        <v>1767</v>
      </c>
      <c r="B201">
        <v>5</v>
      </c>
    </row>
    <row r="202" spans="1:2" x14ac:dyDescent="0.25">
      <c r="A202" s="21" t="s">
        <v>1961</v>
      </c>
      <c r="B202">
        <v>5</v>
      </c>
    </row>
    <row r="203" spans="1:2" x14ac:dyDescent="0.25">
      <c r="A203" s="21" t="s">
        <v>1816</v>
      </c>
      <c r="B203">
        <v>5</v>
      </c>
    </row>
    <row r="204" spans="1:2" x14ac:dyDescent="0.25">
      <c r="A204" s="21" t="s">
        <v>1962</v>
      </c>
      <c r="B204">
        <v>5</v>
      </c>
    </row>
    <row r="205" spans="1:2" x14ac:dyDescent="0.25">
      <c r="A205" s="21" t="s">
        <v>1739</v>
      </c>
      <c r="B205">
        <v>5</v>
      </c>
    </row>
    <row r="206" spans="1:2" x14ac:dyDescent="0.25">
      <c r="A206" s="21" t="s">
        <v>1964</v>
      </c>
      <c r="B206">
        <v>5</v>
      </c>
    </row>
    <row r="207" spans="1:2" x14ac:dyDescent="0.25">
      <c r="A207" s="21" t="s">
        <v>1700</v>
      </c>
      <c r="B207">
        <v>5</v>
      </c>
    </row>
    <row r="208" spans="1:2" x14ac:dyDescent="0.25">
      <c r="A208" s="21" t="s">
        <v>1965</v>
      </c>
      <c r="B208">
        <v>5</v>
      </c>
    </row>
    <row r="209" spans="1:2" x14ac:dyDescent="0.25">
      <c r="A209" s="21" t="s">
        <v>1790</v>
      </c>
      <c r="B209">
        <v>5</v>
      </c>
    </row>
    <row r="210" spans="1:2" x14ac:dyDescent="0.25">
      <c r="A210" s="21" t="s">
        <v>1969</v>
      </c>
      <c r="B210">
        <v>5</v>
      </c>
    </row>
    <row r="211" spans="1:2" x14ac:dyDescent="0.25">
      <c r="A211" s="21" t="s">
        <v>1827</v>
      </c>
      <c r="B211">
        <v>4</v>
      </c>
    </row>
    <row r="212" spans="1:2" x14ac:dyDescent="0.25">
      <c r="A212" s="21" t="s">
        <v>1862</v>
      </c>
      <c r="B212">
        <v>4</v>
      </c>
    </row>
    <row r="213" spans="1:2" x14ac:dyDescent="0.25">
      <c r="A213" s="21" t="s">
        <v>1833</v>
      </c>
      <c r="B213">
        <v>4</v>
      </c>
    </row>
    <row r="214" spans="1:2" x14ac:dyDescent="0.25">
      <c r="A214" s="21" t="s">
        <v>1809</v>
      </c>
      <c r="B214">
        <v>4</v>
      </c>
    </row>
    <row r="215" spans="1:2" x14ac:dyDescent="0.25">
      <c r="A215" s="21" t="s">
        <v>1588</v>
      </c>
      <c r="B215">
        <v>4</v>
      </c>
    </row>
    <row r="216" spans="1:2" x14ac:dyDescent="0.25">
      <c r="A216" s="21" t="s">
        <v>1933</v>
      </c>
      <c r="B216">
        <v>4</v>
      </c>
    </row>
    <row r="217" spans="1:2" x14ac:dyDescent="0.25">
      <c r="A217" s="21" t="s">
        <v>1789</v>
      </c>
      <c r="B217">
        <v>4</v>
      </c>
    </row>
    <row r="218" spans="1:2" x14ac:dyDescent="0.25">
      <c r="A218" s="21" t="s">
        <v>1771</v>
      </c>
      <c r="B218">
        <v>4</v>
      </c>
    </row>
    <row r="219" spans="1:2" x14ac:dyDescent="0.25">
      <c r="A219" s="21" t="s">
        <v>1838</v>
      </c>
      <c r="B219">
        <v>4</v>
      </c>
    </row>
    <row r="220" spans="1:2" x14ac:dyDescent="0.25">
      <c r="A220" s="21" t="s">
        <v>1747</v>
      </c>
      <c r="B220">
        <v>4</v>
      </c>
    </row>
    <row r="221" spans="1:2" x14ac:dyDescent="0.25">
      <c r="A221" s="21" t="s">
        <v>1791</v>
      </c>
      <c r="B221">
        <v>4</v>
      </c>
    </row>
    <row r="222" spans="1:2" x14ac:dyDescent="0.25">
      <c r="A222" s="21" t="s">
        <v>1723</v>
      </c>
      <c r="B222">
        <v>4</v>
      </c>
    </row>
    <row r="223" spans="1:2" x14ac:dyDescent="0.25">
      <c r="A223" s="21" t="s">
        <v>1900</v>
      </c>
      <c r="B223">
        <v>4</v>
      </c>
    </row>
    <row r="224" spans="1:2" x14ac:dyDescent="0.25">
      <c r="A224" s="21" t="s">
        <v>1937</v>
      </c>
      <c r="B224">
        <v>4</v>
      </c>
    </row>
    <row r="225" spans="1:2" x14ac:dyDescent="0.25">
      <c r="A225" s="21" t="s">
        <v>1842</v>
      </c>
      <c r="B225">
        <v>4</v>
      </c>
    </row>
    <row r="226" spans="1:2" x14ac:dyDescent="0.25">
      <c r="A226" s="21" t="s">
        <v>1686</v>
      </c>
      <c r="B226">
        <v>4</v>
      </c>
    </row>
    <row r="227" spans="1:2" x14ac:dyDescent="0.25">
      <c r="A227" s="21" t="s">
        <v>1762</v>
      </c>
      <c r="B227">
        <v>4</v>
      </c>
    </row>
    <row r="228" spans="1:2" x14ac:dyDescent="0.25">
      <c r="A228" s="21" t="s">
        <v>1868</v>
      </c>
      <c r="B228">
        <v>4</v>
      </c>
    </row>
    <row r="229" spans="1:2" x14ac:dyDescent="0.25">
      <c r="A229" s="21" t="s">
        <v>1701</v>
      </c>
      <c r="B229">
        <v>4</v>
      </c>
    </row>
    <row r="230" spans="1:2" x14ac:dyDescent="0.25">
      <c r="A230" s="21" t="s">
        <v>1750</v>
      </c>
      <c r="B230">
        <v>4</v>
      </c>
    </row>
    <row r="231" spans="1:2" x14ac:dyDescent="0.25">
      <c r="A231" s="21" t="s">
        <v>1910</v>
      </c>
      <c r="B231">
        <v>4</v>
      </c>
    </row>
    <row r="232" spans="1:2" x14ac:dyDescent="0.25">
      <c r="A232" s="21" t="s">
        <v>1870</v>
      </c>
      <c r="B232">
        <v>4</v>
      </c>
    </row>
    <row r="233" spans="1:2" x14ac:dyDescent="0.25">
      <c r="A233" s="21" t="s">
        <v>1847</v>
      </c>
      <c r="B233">
        <v>4</v>
      </c>
    </row>
    <row r="234" spans="1:2" x14ac:dyDescent="0.25">
      <c r="A234" s="21" t="s">
        <v>1685</v>
      </c>
      <c r="B234">
        <v>4</v>
      </c>
    </row>
    <row r="235" spans="1:2" x14ac:dyDescent="0.25">
      <c r="A235" s="21" t="s">
        <v>1800</v>
      </c>
      <c r="B235">
        <v>4</v>
      </c>
    </row>
    <row r="236" spans="1:2" x14ac:dyDescent="0.25">
      <c r="A236" s="21" t="s">
        <v>1726</v>
      </c>
      <c r="B236">
        <v>4</v>
      </c>
    </row>
    <row r="237" spans="1:2" x14ac:dyDescent="0.25">
      <c r="A237" s="21" t="s">
        <v>1696</v>
      </c>
      <c r="B237">
        <v>4</v>
      </c>
    </row>
    <row r="238" spans="1:2" x14ac:dyDescent="0.25">
      <c r="A238" s="21" t="s">
        <v>1873</v>
      </c>
      <c r="B238">
        <v>4</v>
      </c>
    </row>
    <row r="239" spans="1:2" x14ac:dyDescent="0.25">
      <c r="A239" s="21" t="s">
        <v>1854</v>
      </c>
      <c r="B239">
        <v>4</v>
      </c>
    </row>
    <row r="240" spans="1:2" x14ac:dyDescent="0.25">
      <c r="A240" s="21" t="s">
        <v>1667</v>
      </c>
      <c r="B240">
        <v>4</v>
      </c>
    </row>
    <row r="241" spans="1:2" x14ac:dyDescent="0.25">
      <c r="A241" s="21" t="s">
        <v>1921</v>
      </c>
      <c r="B241">
        <v>4</v>
      </c>
    </row>
    <row r="242" spans="1:2" x14ac:dyDescent="0.25">
      <c r="A242" s="21" t="s">
        <v>1874</v>
      </c>
      <c r="B242">
        <v>4</v>
      </c>
    </row>
    <row r="243" spans="1:2" x14ac:dyDescent="0.25">
      <c r="A243" s="21" t="s">
        <v>1923</v>
      </c>
      <c r="B243">
        <v>4</v>
      </c>
    </row>
    <row r="244" spans="1:2" x14ac:dyDescent="0.25">
      <c r="A244" s="21" t="s">
        <v>1947</v>
      </c>
      <c r="B244">
        <v>4</v>
      </c>
    </row>
    <row r="245" spans="1:2" x14ac:dyDescent="0.25">
      <c r="A245" s="21" t="s">
        <v>1804</v>
      </c>
      <c r="B245">
        <v>4</v>
      </c>
    </row>
    <row r="246" spans="1:2" x14ac:dyDescent="0.25">
      <c r="A246" s="21" t="s">
        <v>1778</v>
      </c>
      <c r="B246">
        <v>4</v>
      </c>
    </row>
    <row r="247" spans="1:2" x14ac:dyDescent="0.25">
      <c r="A247" s="21" t="s">
        <v>1768</v>
      </c>
      <c r="B247">
        <v>4</v>
      </c>
    </row>
    <row r="248" spans="1:2" x14ac:dyDescent="0.25">
      <c r="A248" s="21" t="s">
        <v>1753</v>
      </c>
      <c r="B248">
        <v>4</v>
      </c>
    </row>
    <row r="249" spans="1:2" x14ac:dyDescent="0.25">
      <c r="A249" s="21" t="s">
        <v>1745</v>
      </c>
      <c r="B249">
        <v>4</v>
      </c>
    </row>
    <row r="250" spans="1:2" x14ac:dyDescent="0.25">
      <c r="A250" s="21" t="s">
        <v>1950</v>
      </c>
      <c r="B250">
        <v>4</v>
      </c>
    </row>
    <row r="251" spans="1:2" x14ac:dyDescent="0.25">
      <c r="A251" s="21" t="s">
        <v>1834</v>
      </c>
      <c r="B251">
        <v>4</v>
      </c>
    </row>
    <row r="252" spans="1:2" x14ac:dyDescent="0.25">
      <c r="A252" s="21" t="s">
        <v>1666</v>
      </c>
      <c r="B252">
        <v>4</v>
      </c>
    </row>
    <row r="253" spans="1:2" x14ac:dyDescent="0.25">
      <c r="A253" s="21" t="s">
        <v>1895</v>
      </c>
      <c r="B253">
        <v>4</v>
      </c>
    </row>
    <row r="254" spans="1:2" x14ac:dyDescent="0.25">
      <c r="A254" s="21" t="s">
        <v>1780</v>
      </c>
      <c r="B254">
        <v>4</v>
      </c>
    </row>
    <row r="255" spans="1:2" x14ac:dyDescent="0.25">
      <c r="A255" s="21" t="s">
        <v>1761</v>
      </c>
      <c r="B255">
        <v>4</v>
      </c>
    </row>
    <row r="256" spans="1:2" x14ac:dyDescent="0.25">
      <c r="A256" s="21" t="s">
        <v>1823</v>
      </c>
      <c r="B256">
        <v>4</v>
      </c>
    </row>
    <row r="257" spans="1:2" x14ac:dyDescent="0.25">
      <c r="A257" s="21" t="s">
        <v>1794</v>
      </c>
      <c r="B257">
        <v>4</v>
      </c>
    </row>
    <row r="258" spans="1:2" x14ac:dyDescent="0.25">
      <c r="A258" s="21" t="s">
        <v>1781</v>
      </c>
      <c r="B258">
        <v>4</v>
      </c>
    </row>
    <row r="259" spans="1:2" x14ac:dyDescent="0.25">
      <c r="A259" s="21" t="s">
        <v>1764</v>
      </c>
      <c r="B259">
        <v>4</v>
      </c>
    </row>
    <row r="260" spans="1:2" x14ac:dyDescent="0.25">
      <c r="A260" s="21" t="s">
        <v>1954</v>
      </c>
      <c r="B260">
        <v>4</v>
      </c>
    </row>
    <row r="261" spans="1:2" x14ac:dyDescent="0.25">
      <c r="A261" s="21" t="s">
        <v>1690</v>
      </c>
      <c r="B261">
        <v>4</v>
      </c>
    </row>
    <row r="262" spans="1:2" x14ac:dyDescent="0.25">
      <c r="A262" s="21" t="s">
        <v>1664</v>
      </c>
      <c r="B262">
        <v>4</v>
      </c>
    </row>
    <row r="263" spans="1:2" x14ac:dyDescent="0.25">
      <c r="A263" s="21" t="s">
        <v>1853</v>
      </c>
      <c r="B263">
        <v>4</v>
      </c>
    </row>
    <row r="264" spans="1:2" x14ac:dyDescent="0.25">
      <c r="A264" s="21" t="s">
        <v>1955</v>
      </c>
      <c r="B264">
        <v>4</v>
      </c>
    </row>
    <row r="265" spans="1:2" x14ac:dyDescent="0.25">
      <c r="A265" s="21" t="s">
        <v>1922</v>
      </c>
      <c r="B265">
        <v>4</v>
      </c>
    </row>
    <row r="266" spans="1:2" x14ac:dyDescent="0.25">
      <c r="A266" s="21" t="s">
        <v>1882</v>
      </c>
      <c r="B266">
        <v>4</v>
      </c>
    </row>
    <row r="267" spans="1:2" x14ac:dyDescent="0.25">
      <c r="A267" s="21" t="s">
        <v>1857</v>
      </c>
      <c r="B267">
        <v>4</v>
      </c>
    </row>
    <row r="268" spans="1:2" x14ac:dyDescent="0.25">
      <c r="A268" s="21" t="s">
        <v>1754</v>
      </c>
      <c r="B268">
        <v>4</v>
      </c>
    </row>
    <row r="269" spans="1:2" x14ac:dyDescent="0.25">
      <c r="A269" s="21" t="s">
        <v>1711</v>
      </c>
      <c r="B269">
        <v>4</v>
      </c>
    </row>
    <row r="270" spans="1:2" x14ac:dyDescent="0.25">
      <c r="A270" s="21" t="s">
        <v>1958</v>
      </c>
      <c r="B270">
        <v>4</v>
      </c>
    </row>
    <row r="271" spans="1:2" x14ac:dyDescent="0.25">
      <c r="A271" s="21" t="s">
        <v>1760</v>
      </c>
      <c r="B271">
        <v>4</v>
      </c>
    </row>
    <row r="272" spans="1:2" x14ac:dyDescent="0.25">
      <c r="A272" s="21" t="s">
        <v>1884</v>
      </c>
      <c r="B272">
        <v>4</v>
      </c>
    </row>
    <row r="273" spans="1:2" x14ac:dyDescent="0.25">
      <c r="A273" s="21" t="s">
        <v>1589</v>
      </c>
      <c r="B273">
        <v>4</v>
      </c>
    </row>
    <row r="274" spans="1:2" x14ac:dyDescent="0.25">
      <c r="A274" s="21" t="s">
        <v>1885</v>
      </c>
      <c r="B274">
        <v>4</v>
      </c>
    </row>
    <row r="275" spans="1:2" x14ac:dyDescent="0.25">
      <c r="A275" s="21" t="s">
        <v>1801</v>
      </c>
      <c r="B275">
        <v>4</v>
      </c>
    </row>
    <row r="276" spans="1:2" x14ac:dyDescent="0.25">
      <c r="A276" s="21" t="s">
        <v>1886</v>
      </c>
      <c r="B276">
        <v>4</v>
      </c>
    </row>
    <row r="277" spans="1:2" x14ac:dyDescent="0.25">
      <c r="A277" s="21" t="s">
        <v>1924</v>
      </c>
      <c r="B277">
        <v>4</v>
      </c>
    </row>
    <row r="278" spans="1:2" x14ac:dyDescent="0.25">
      <c r="A278" s="21" t="s">
        <v>1716</v>
      </c>
      <c r="B278">
        <v>4</v>
      </c>
    </row>
    <row r="279" spans="1:2" x14ac:dyDescent="0.25">
      <c r="A279" s="21" t="s">
        <v>1836</v>
      </c>
      <c r="B279">
        <v>4</v>
      </c>
    </row>
    <row r="280" spans="1:2" x14ac:dyDescent="0.25">
      <c r="A280" s="21" t="s">
        <v>1963</v>
      </c>
      <c r="B280">
        <v>4</v>
      </c>
    </row>
    <row r="281" spans="1:2" x14ac:dyDescent="0.25">
      <c r="A281" s="21" t="s">
        <v>1846</v>
      </c>
      <c r="B281">
        <v>4</v>
      </c>
    </row>
    <row r="282" spans="1:2" x14ac:dyDescent="0.25">
      <c r="A282" s="21" t="s">
        <v>1693</v>
      </c>
      <c r="B282">
        <v>4</v>
      </c>
    </row>
    <row r="283" spans="1:2" x14ac:dyDescent="0.25">
      <c r="A283" s="21" t="s">
        <v>1806</v>
      </c>
      <c r="B283">
        <v>4</v>
      </c>
    </row>
    <row r="284" spans="1:2" x14ac:dyDescent="0.25">
      <c r="A284" s="21" t="s">
        <v>1757</v>
      </c>
      <c r="B284">
        <v>4</v>
      </c>
    </row>
    <row r="285" spans="1:2" x14ac:dyDescent="0.25">
      <c r="A285" s="21" t="s">
        <v>1744</v>
      </c>
      <c r="B285">
        <v>4</v>
      </c>
    </row>
    <row r="286" spans="1:2" x14ac:dyDescent="0.25">
      <c r="A286" s="21" t="s">
        <v>1786</v>
      </c>
      <c r="B286">
        <v>4</v>
      </c>
    </row>
    <row r="287" spans="1:2" x14ac:dyDescent="0.25">
      <c r="A287" s="21" t="s">
        <v>1793</v>
      </c>
      <c r="B287">
        <v>4</v>
      </c>
    </row>
    <row r="288" spans="1:2" x14ac:dyDescent="0.25">
      <c r="A288" s="21" t="s">
        <v>1758</v>
      </c>
      <c r="B288">
        <v>4</v>
      </c>
    </row>
    <row r="289" spans="1:2" x14ac:dyDescent="0.25">
      <c r="A289" s="21" t="s">
        <v>1830</v>
      </c>
      <c r="B289">
        <v>3</v>
      </c>
    </row>
    <row r="290" spans="1:2" x14ac:dyDescent="0.25">
      <c r="A290" s="21" t="s">
        <v>1813</v>
      </c>
      <c r="B290">
        <v>3</v>
      </c>
    </row>
    <row r="291" spans="1:2" x14ac:dyDescent="0.25">
      <c r="A291" s="21" t="s">
        <v>1661</v>
      </c>
      <c r="B291">
        <v>3</v>
      </c>
    </row>
    <row r="292" spans="1:2" x14ac:dyDescent="0.25">
      <c r="A292" s="21" t="s">
        <v>1967</v>
      </c>
      <c r="B292">
        <v>3</v>
      </c>
    </row>
    <row r="293" spans="1:2" x14ac:dyDescent="0.25">
      <c r="A293" s="21" t="s">
        <v>1938</v>
      </c>
      <c r="B293">
        <v>3</v>
      </c>
    </row>
    <row r="294" spans="1:2" x14ac:dyDescent="0.25">
      <c r="A294" s="21" t="s">
        <v>1659</v>
      </c>
      <c r="B294">
        <v>3</v>
      </c>
    </row>
    <row r="295" spans="1:2" x14ac:dyDescent="0.25">
      <c r="A295" s="21" t="s">
        <v>1817</v>
      </c>
      <c r="B295">
        <v>3</v>
      </c>
    </row>
    <row r="296" spans="1:2" x14ac:dyDescent="0.25">
      <c r="A296" s="21" t="s">
        <v>1878</v>
      </c>
      <c r="B296">
        <v>3</v>
      </c>
    </row>
    <row r="297" spans="1:2" x14ac:dyDescent="0.25">
      <c r="A297" s="21" t="s">
        <v>1904</v>
      </c>
      <c r="B297">
        <v>3</v>
      </c>
    </row>
    <row r="298" spans="1:2" x14ac:dyDescent="0.25">
      <c r="A298" s="21" t="s">
        <v>1913</v>
      </c>
      <c r="B298">
        <v>3</v>
      </c>
    </row>
    <row r="299" spans="1:2" x14ac:dyDescent="0.25">
      <c r="A299" s="21" t="s">
        <v>1826</v>
      </c>
      <c r="B299">
        <v>3</v>
      </c>
    </row>
    <row r="300" spans="1:2" x14ac:dyDescent="0.25">
      <c r="A300" s="21" t="s">
        <v>1736</v>
      </c>
      <c r="B300">
        <v>2</v>
      </c>
    </row>
    <row r="301" spans="1:2" x14ac:dyDescent="0.25">
      <c r="A301" s="21" t="s">
        <v>1714</v>
      </c>
      <c r="B301">
        <v>2</v>
      </c>
    </row>
    <row r="302" spans="1:2" x14ac:dyDescent="0.25">
      <c r="A302" s="21" t="s">
        <v>1852</v>
      </c>
      <c r="B302">
        <v>2</v>
      </c>
    </row>
    <row r="303" spans="1:2" x14ac:dyDescent="0.25">
      <c r="A303" s="21" t="s">
        <v>1968</v>
      </c>
      <c r="B303">
        <v>2</v>
      </c>
    </row>
    <row r="304" spans="1:2" x14ac:dyDescent="0.25">
      <c r="A304" s="21" t="s">
        <v>1966</v>
      </c>
      <c r="B304">
        <v>2</v>
      </c>
    </row>
    <row r="305" spans="1:2" x14ac:dyDescent="0.25">
      <c r="A305" s="21" t="s">
        <v>1810</v>
      </c>
      <c r="B305">
        <v>2</v>
      </c>
    </row>
    <row r="306" spans="1:2" x14ac:dyDescent="0.25">
      <c r="A306" s="21" t="s">
        <v>1903</v>
      </c>
      <c r="B306">
        <v>1</v>
      </c>
    </row>
    <row r="307" spans="1:2" x14ac:dyDescent="0.25">
      <c r="A307" s="21" t="s">
        <v>1713</v>
      </c>
      <c r="B307">
        <v>1</v>
      </c>
    </row>
    <row r="308" spans="1:2" x14ac:dyDescent="0.25">
      <c r="A308" s="21" t="s">
        <v>1828</v>
      </c>
      <c r="B308">
        <v>1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13E4-9118-AA45-9E62-E585C86E8186}">
  <dimension ref="A1:S435"/>
  <sheetViews>
    <sheetView topLeftCell="G1" workbookViewId="0">
      <selection activeCell="Q1" sqref="Q1:Q1048576"/>
    </sheetView>
  </sheetViews>
  <sheetFormatPr defaultColWidth="8.85546875" defaultRowHeight="15" x14ac:dyDescent="0.25"/>
  <cols>
    <col min="1" max="1" width="12.7109375" customWidth="1"/>
    <col min="2" max="2" width="26.5703125" customWidth="1"/>
    <col min="3" max="3" width="42.5703125" bestFit="1" customWidth="1"/>
    <col min="4" max="4" width="32.5703125" customWidth="1"/>
    <col min="5" max="5" width="27.140625" customWidth="1"/>
    <col min="6" max="6" width="14.28515625" bestFit="1" customWidth="1"/>
    <col min="7" max="7" width="12.7109375" bestFit="1" customWidth="1"/>
    <col min="8" max="8" width="14.28515625" bestFit="1" customWidth="1"/>
    <col min="9" max="9" width="16.7109375" customWidth="1"/>
    <col min="10" max="10" width="16.28515625" bestFit="1" customWidth="1"/>
    <col min="11" max="11" width="28" bestFit="1" customWidth="1"/>
    <col min="13" max="13" width="8.85546875" customWidth="1"/>
    <col min="17" max="18" width="14.140625" bestFit="1" customWidth="1"/>
    <col min="19" max="19" width="22.85546875" bestFit="1" customWidth="1"/>
  </cols>
  <sheetData>
    <row r="1" spans="1:19" x14ac:dyDescent="0.25">
      <c r="A1" s="52" t="s">
        <v>7</v>
      </c>
      <c r="B1" s="52" t="s">
        <v>1013</v>
      </c>
      <c r="C1" s="52" t="s">
        <v>1012</v>
      </c>
      <c r="D1" s="52" t="s">
        <v>1011</v>
      </c>
      <c r="E1" s="52" t="s">
        <v>1010</v>
      </c>
      <c r="F1" s="52" t="s">
        <v>1080</v>
      </c>
      <c r="G1" s="52" t="s">
        <v>139</v>
      </c>
      <c r="H1" s="52" t="s">
        <v>1086</v>
      </c>
      <c r="I1" s="52" t="s">
        <v>1087</v>
      </c>
      <c r="J1" s="52" t="s">
        <v>1088</v>
      </c>
      <c r="K1" t="s">
        <v>1089</v>
      </c>
      <c r="M1" t="s">
        <v>1668</v>
      </c>
      <c r="N1" t="s">
        <v>1090</v>
      </c>
      <c r="O1" t="s">
        <v>1091</v>
      </c>
      <c r="Q1" t="s">
        <v>1087</v>
      </c>
      <c r="R1" t="s">
        <v>1088</v>
      </c>
      <c r="S1" t="s">
        <v>1395</v>
      </c>
    </row>
    <row r="2" spans="1:19" x14ac:dyDescent="0.25">
      <c r="A2" s="51">
        <v>249</v>
      </c>
      <c r="B2" t="s">
        <v>629</v>
      </c>
      <c r="C2" t="s">
        <v>628</v>
      </c>
      <c r="D2" t="s">
        <v>143</v>
      </c>
      <c r="E2" s="26">
        <v>44781</v>
      </c>
      <c r="F2" t="str">
        <f t="shared" ref="F2:F65" si="0">LEFT(B2,LEN(B2)-13)</f>
        <v>+7</v>
      </c>
      <c r="G2" t="str">
        <f>INDEX('коды стран'!$A$2:$A$7, MATCH(F2, 'коды стран'!$B$2:$B$7, 0))</f>
        <v>Россия</v>
      </c>
      <c r="H2" t="s">
        <v>137</v>
      </c>
      <c r="I2" t="str">
        <f>LEFT(Таблица8[[#This Row],[ФИО]],(M2-1))</f>
        <v>Абрамов</v>
      </c>
      <c r="J2" t="str">
        <f>MID(Таблица8[[#This Row],[ФИО]],M2,(N2-M2))</f>
        <v xml:space="preserve"> Адриан</v>
      </c>
      <c r="K2" t="str">
        <f>RIGHT(Таблица8[[#This Row],[ФИО]],(O2-N2))</f>
        <v>Фролович</v>
      </c>
      <c r="M2" s="59">
        <f>FIND(" ",Таблица8[[#This Row],[ФИО]],2)</f>
        <v>8</v>
      </c>
      <c r="N2">
        <f>FIND(" ",Таблица8[[#This Row],[ФИО]],(M2+1))</f>
        <v>15</v>
      </c>
      <c r="O2">
        <f>LEN(Таблица8[[#This Row],[ФИО]])</f>
        <v>23</v>
      </c>
      <c r="Q2" s="59" t="str">
        <f>MID(Таблица8[[#This Row],[ФИО]],M2,(N2-M2))</f>
        <v xml:space="preserve"> Адриан</v>
      </c>
      <c r="R2" t="s">
        <v>1144</v>
      </c>
      <c r="S2" t="s">
        <v>1396</v>
      </c>
    </row>
    <row r="3" spans="1:19" x14ac:dyDescent="0.25">
      <c r="A3" s="51">
        <v>343</v>
      </c>
      <c r="B3" t="s">
        <v>203</v>
      </c>
      <c r="C3" t="s">
        <v>202</v>
      </c>
      <c r="D3" t="s">
        <v>140</v>
      </c>
      <c r="E3" s="26">
        <v>44874</v>
      </c>
      <c r="F3" t="str">
        <f t="shared" si="0"/>
        <v>+380</v>
      </c>
      <c r="G3" t="str">
        <f>INDEX('коды стран'!$A$2:$A$7, MATCH(F3, 'коды стран'!$B$2:$B$7, 0))</f>
        <v>Украина</v>
      </c>
      <c r="H3" t="s">
        <v>128</v>
      </c>
      <c r="I3" t="str">
        <f>LEFT(Таблица8[[#This Row],[ФИО]],(M3-1))</f>
        <v>Абрамов</v>
      </c>
      <c r="J3" t="str">
        <f>MID(Таблица8[[#This Row],[ФИО]],M3,(N3-M3))</f>
        <v xml:space="preserve"> Амвросий</v>
      </c>
      <c r="K3" t="str">
        <f>RIGHT(Таблица8[[#This Row],[ФИО]],(O3-N3))</f>
        <v>Богданович</v>
      </c>
      <c r="M3" s="60">
        <f>FIND(" ",Таблица8[[#This Row],[ФИО]],2)</f>
        <v>8</v>
      </c>
      <c r="N3">
        <f>FIND(" ",Таблица8[[#This Row],[ФИО]],(M3+1))</f>
        <v>17</v>
      </c>
      <c r="O3">
        <f>LEN(Таблица8[[#This Row],[ФИО]])</f>
        <v>27</v>
      </c>
      <c r="Q3" s="60" t="str">
        <f>MID(Таблица8[[#This Row],[ФИО]],M3,(N3-M3))</f>
        <v xml:space="preserve"> Амвросий</v>
      </c>
      <c r="R3" t="s">
        <v>1144</v>
      </c>
      <c r="S3" t="s">
        <v>1397</v>
      </c>
    </row>
    <row r="4" spans="1:19" x14ac:dyDescent="0.25">
      <c r="A4" s="51">
        <v>34</v>
      </c>
      <c r="B4" t="s">
        <v>907</v>
      </c>
      <c r="C4" t="s">
        <v>906</v>
      </c>
      <c r="D4" t="s">
        <v>140</v>
      </c>
      <c r="E4" s="26">
        <v>44654</v>
      </c>
      <c r="F4" t="str">
        <f t="shared" si="0"/>
        <v>+992</v>
      </c>
      <c r="G4" t="str">
        <f>INDEX('коды стран'!$A$2:$A$7, MATCH(F4, 'коды стран'!$B$2:$B$7, 0))</f>
        <v>Таджикистан</v>
      </c>
      <c r="H4" t="s">
        <v>130</v>
      </c>
      <c r="I4" t="str">
        <f>LEFT(Таблица8[[#This Row],[ФИО]],(M4-1))</f>
        <v>Абрамова</v>
      </c>
      <c r="J4" t="str">
        <f>MID(Таблица8[[#This Row],[ФИО]],M4,(N4-M4))</f>
        <v xml:space="preserve"> Евдокия</v>
      </c>
      <c r="K4" t="str">
        <f>RIGHT(Таблица8[[#This Row],[ФИО]],(O4-N4))</f>
        <v>Егоровна</v>
      </c>
      <c r="M4" s="59">
        <f>FIND(" ",Таблица8[[#This Row],[ФИО]],2)</f>
        <v>9</v>
      </c>
      <c r="N4">
        <f>FIND(" ",Таблица8[[#This Row],[ФИО]],(M4+1))</f>
        <v>17</v>
      </c>
      <c r="O4">
        <f>LEN(Таблица8[[#This Row],[ФИО]])</f>
        <v>25</v>
      </c>
      <c r="Q4" s="59" t="str">
        <f>MID(Таблица8[[#This Row],[ФИО]],M4,(N4-M4))</f>
        <v xml:space="preserve"> Евдокия</v>
      </c>
      <c r="R4" t="s">
        <v>1145</v>
      </c>
      <c r="S4" t="s">
        <v>1398</v>
      </c>
    </row>
    <row r="5" spans="1:19" x14ac:dyDescent="0.25">
      <c r="A5" s="51">
        <v>365</v>
      </c>
      <c r="B5" t="s">
        <v>841</v>
      </c>
      <c r="C5" t="s">
        <v>840</v>
      </c>
      <c r="D5" t="s">
        <v>140</v>
      </c>
      <c r="E5" s="26">
        <v>44841</v>
      </c>
      <c r="F5" t="str">
        <f t="shared" si="0"/>
        <v>+375</v>
      </c>
      <c r="G5" t="str">
        <f>INDEX('коды стран'!$A$2:$A$7, MATCH(F5, 'коды стран'!$B$2:$B$7, 0))</f>
        <v>Беларусь</v>
      </c>
      <c r="H5" t="s">
        <v>134</v>
      </c>
      <c r="I5" t="str">
        <f>LEFT(Таблица8[[#This Row],[ФИО]],(M5-1))</f>
        <v>Абрамова</v>
      </c>
      <c r="J5" t="str">
        <f>MID(Таблица8[[#This Row],[ФИО]],M5,(N5-M5))</f>
        <v xml:space="preserve"> Елизавета</v>
      </c>
      <c r="K5" t="str">
        <f>RIGHT(Таблица8[[#This Row],[ФИО]],(O5-N5))</f>
        <v>Эдуардовна</v>
      </c>
      <c r="M5" s="60">
        <f>FIND(" ",Таблица8[[#This Row],[ФИО]],2)</f>
        <v>9</v>
      </c>
      <c r="N5">
        <f>FIND(" ",Таблица8[[#This Row],[ФИО]],(M5+1))</f>
        <v>19</v>
      </c>
      <c r="O5">
        <f>LEN(Таблица8[[#This Row],[ФИО]])</f>
        <v>29</v>
      </c>
      <c r="Q5" s="60" t="str">
        <f>MID(Таблица8[[#This Row],[ФИО]],M5,(N5-M5))</f>
        <v xml:space="preserve"> Елизавета</v>
      </c>
      <c r="R5" t="s">
        <v>1145</v>
      </c>
      <c r="S5" t="s">
        <v>1399</v>
      </c>
    </row>
    <row r="6" spans="1:19" x14ac:dyDescent="0.25">
      <c r="A6" s="51">
        <v>413</v>
      </c>
      <c r="B6" t="s">
        <v>991</v>
      </c>
      <c r="C6" t="s">
        <v>990</v>
      </c>
      <c r="D6" t="s">
        <v>140</v>
      </c>
      <c r="E6" s="26">
        <v>44699</v>
      </c>
      <c r="F6" t="str">
        <f t="shared" si="0"/>
        <v>+7</v>
      </c>
      <c r="G6" t="str">
        <f>INDEX('коды стран'!$A$2:$A$7, MATCH(F6, 'коды стран'!$B$2:$B$7, 0))</f>
        <v>Россия</v>
      </c>
      <c r="H6" t="s">
        <v>137</v>
      </c>
      <c r="I6" t="str">
        <f>LEFT(Таблица8[[#This Row],[ФИО]],(M6-1))</f>
        <v>Август</v>
      </c>
      <c r="J6" t="str">
        <f>MID(Таблица8[[#This Row],[ФИО]],M6,(N6-M6))</f>
        <v xml:space="preserve"> Вячеславович</v>
      </c>
      <c r="K6" t="str">
        <f>RIGHT(Таблица8[[#This Row],[ФИО]],(O6-N6))</f>
        <v>Брагин</v>
      </c>
      <c r="M6" s="59">
        <f>FIND(" ",Таблица8[[#This Row],[ФИО]],2)</f>
        <v>7</v>
      </c>
      <c r="N6">
        <f>FIND(" ",Таблица8[[#This Row],[ФИО]],(M6+1))</f>
        <v>20</v>
      </c>
      <c r="O6">
        <f>LEN(Таблица8[[#This Row],[ФИО]])</f>
        <v>26</v>
      </c>
      <c r="Q6" s="59" t="str">
        <f>LEFT(Таблица8[[#This Row],[ФИО]],(M6-1))</f>
        <v>Август</v>
      </c>
      <c r="R6" t="s">
        <v>1092</v>
      </c>
      <c r="S6" t="s">
        <v>1400</v>
      </c>
    </row>
    <row r="7" spans="1:19" x14ac:dyDescent="0.25">
      <c r="A7" s="51">
        <v>93</v>
      </c>
      <c r="B7" t="s">
        <v>153</v>
      </c>
      <c r="C7" t="s">
        <v>152</v>
      </c>
      <c r="D7" t="s">
        <v>140</v>
      </c>
      <c r="E7" s="26">
        <v>44905</v>
      </c>
      <c r="F7" t="str">
        <f t="shared" si="0"/>
        <v>+380</v>
      </c>
      <c r="G7" t="str">
        <f>INDEX('коды стран'!$A$2:$A$7, MATCH(F7, 'коды стран'!$B$2:$B$7, 0))</f>
        <v>Украина</v>
      </c>
      <c r="H7" t="s">
        <v>128</v>
      </c>
      <c r="I7" t="str">
        <f>LEFT(Таблица8[[#This Row],[ФИО]],(M7-1))</f>
        <v>Авдеев</v>
      </c>
      <c r="J7" t="str">
        <f>MID(Таблица8[[#This Row],[ФИО]],M7,(N7-M7))</f>
        <v xml:space="preserve"> Олимпий</v>
      </c>
      <c r="K7" t="str">
        <f>RIGHT(Таблица8[[#This Row],[ФИО]],(O7-N7))</f>
        <v>Жанович</v>
      </c>
      <c r="M7" s="60">
        <f>FIND(" ",Таблица8[[#This Row],[ФИО]],2)</f>
        <v>7</v>
      </c>
      <c r="N7">
        <f>FIND(" ",Таблица8[[#This Row],[ФИО]],(M7+1))</f>
        <v>15</v>
      </c>
      <c r="O7">
        <f>LEN(Таблица8[[#This Row],[ФИО]])</f>
        <v>22</v>
      </c>
      <c r="Q7" s="60" t="str">
        <f>MID(Таблица8[[#This Row],[ФИО]],M7,(N7-M7))</f>
        <v xml:space="preserve"> Олимпий</v>
      </c>
      <c r="R7" t="s">
        <v>1093</v>
      </c>
      <c r="S7" t="s">
        <v>1401</v>
      </c>
    </row>
    <row r="8" spans="1:19" x14ac:dyDescent="0.25">
      <c r="A8" s="51">
        <v>349</v>
      </c>
      <c r="B8" t="s">
        <v>741</v>
      </c>
      <c r="C8" t="s">
        <v>740</v>
      </c>
      <c r="D8" t="s">
        <v>140</v>
      </c>
      <c r="E8" s="26">
        <v>44673</v>
      </c>
      <c r="F8" t="str">
        <f t="shared" si="0"/>
        <v>+7</v>
      </c>
      <c r="G8" t="str">
        <f>INDEX('коды стран'!$A$2:$A$7, MATCH(F8, 'коды стран'!$B$2:$B$7, 0))</f>
        <v>Россия</v>
      </c>
      <c r="H8" t="s">
        <v>137</v>
      </c>
      <c r="I8" t="str">
        <f>LEFT(Таблица8[[#This Row],[ФИО]],(M8-1))</f>
        <v>Авдеев</v>
      </c>
      <c r="J8" t="str">
        <f>MID(Таблица8[[#This Row],[ФИО]],M8,(N8-M8))</f>
        <v xml:space="preserve"> Филипп</v>
      </c>
      <c r="K8" t="str">
        <f>RIGHT(Таблица8[[#This Row],[ФИО]],(O8-N8))</f>
        <v>Елисеевич</v>
      </c>
      <c r="M8" s="59">
        <f>FIND(" ",Таблица8[[#This Row],[ФИО]],2)</f>
        <v>7</v>
      </c>
      <c r="N8">
        <f>FIND(" ",Таблица8[[#This Row],[ФИО]],(M8+1))</f>
        <v>14</v>
      </c>
      <c r="O8">
        <f>LEN(Таблица8[[#This Row],[ФИО]])</f>
        <v>23</v>
      </c>
      <c r="Q8" s="59" t="str">
        <f>MID(Таблица8[[#This Row],[ФИО]],M8,(N8-M8))</f>
        <v xml:space="preserve"> Филипп</v>
      </c>
      <c r="R8" t="s">
        <v>1093</v>
      </c>
      <c r="S8" t="s">
        <v>1402</v>
      </c>
    </row>
    <row r="9" spans="1:19" x14ac:dyDescent="0.25">
      <c r="A9" s="51">
        <v>362</v>
      </c>
      <c r="B9" t="s">
        <v>771</v>
      </c>
      <c r="C9" t="s">
        <v>770</v>
      </c>
      <c r="D9" t="s">
        <v>140</v>
      </c>
      <c r="E9" s="26">
        <v>44916</v>
      </c>
      <c r="F9" t="str">
        <f t="shared" si="0"/>
        <v>+7</v>
      </c>
      <c r="G9" t="str">
        <f>INDEX('коды стран'!$A$2:$A$7, MATCH(F9, 'коды стран'!$B$2:$B$7, 0))</f>
        <v>Россия</v>
      </c>
      <c r="H9" t="s">
        <v>137</v>
      </c>
      <c r="I9" t="str">
        <f>LEFT(Таблица8[[#This Row],[ФИО]],(M9-1))</f>
        <v>Авдей</v>
      </c>
      <c r="J9" t="str">
        <f>MID(Таблица8[[#This Row],[ФИО]],M9,(N9-M9))</f>
        <v xml:space="preserve"> Брониславович</v>
      </c>
      <c r="K9" t="str">
        <f>RIGHT(Таблица8[[#This Row],[ФИО]],(O9-N9))</f>
        <v>Владимиров</v>
      </c>
      <c r="M9" s="60">
        <f>FIND(" ",Таблица8[[#This Row],[ФИО]],2)</f>
        <v>6</v>
      </c>
      <c r="N9">
        <f>FIND(" ",Таблица8[[#This Row],[ФИО]],(M9+1))</f>
        <v>20</v>
      </c>
      <c r="O9">
        <f>LEN(Таблица8[[#This Row],[ФИО]])</f>
        <v>30</v>
      </c>
      <c r="Q9" s="60" t="str">
        <f>LEFT(Таблица8[[#This Row],[ФИО]],(M9-1))</f>
        <v>Авдей</v>
      </c>
      <c r="R9" t="s">
        <v>1094</v>
      </c>
      <c r="S9" t="s">
        <v>1403</v>
      </c>
    </row>
    <row r="10" spans="1:19" x14ac:dyDescent="0.25">
      <c r="A10" s="51">
        <v>389</v>
      </c>
      <c r="B10" t="s">
        <v>631</v>
      </c>
      <c r="C10" t="s">
        <v>630</v>
      </c>
      <c r="D10" t="s">
        <v>143</v>
      </c>
      <c r="E10" s="26">
        <v>44876</v>
      </c>
      <c r="F10" t="str">
        <f t="shared" si="0"/>
        <v>+7</v>
      </c>
      <c r="G10" t="str">
        <f>INDEX('коды стран'!$A$2:$A$7, MATCH(F10, 'коды стран'!$B$2:$B$7, 0))</f>
        <v>Россия</v>
      </c>
      <c r="H10" t="s">
        <v>137</v>
      </c>
      <c r="I10" t="str">
        <f>LEFT(Таблица8[[#This Row],[ФИО]],(M10-1))</f>
        <v>Автоном</v>
      </c>
      <c r="J10" t="str">
        <f>MID(Таблица8[[#This Row],[ФИО]],M10,(N10-M10))</f>
        <v xml:space="preserve"> Терентьевич</v>
      </c>
      <c r="K10" t="str">
        <f>RIGHT(Таблица8[[#This Row],[ФИО]],(O10-N10))</f>
        <v>Филиппов</v>
      </c>
      <c r="M10" s="59">
        <f>FIND(" ",Таблица8[[#This Row],[ФИО]],2)</f>
        <v>8</v>
      </c>
      <c r="N10">
        <f>FIND(" ",Таблица8[[#This Row],[ФИО]],(M10+1))</f>
        <v>20</v>
      </c>
      <c r="O10">
        <f>LEN(Таблица8[[#This Row],[ФИО]])</f>
        <v>28</v>
      </c>
      <c r="Q10" s="59" t="str">
        <f>LEFT(Таблица8[[#This Row],[ФИО]],(M10-1))</f>
        <v>Автоном</v>
      </c>
      <c r="R10" t="s">
        <v>1095</v>
      </c>
      <c r="S10" t="s">
        <v>1404</v>
      </c>
    </row>
    <row r="11" spans="1:19" x14ac:dyDescent="0.25">
      <c r="A11" s="51">
        <v>226</v>
      </c>
      <c r="B11" t="s">
        <v>563</v>
      </c>
      <c r="C11" t="s">
        <v>562</v>
      </c>
      <c r="D11" t="s">
        <v>143</v>
      </c>
      <c r="E11" s="26">
        <v>44702</v>
      </c>
      <c r="F11" t="str">
        <f t="shared" si="0"/>
        <v>+7</v>
      </c>
      <c r="G11" t="str">
        <f>INDEX('коды стран'!$A$2:$A$7, MATCH(F11, 'коды стран'!$B$2:$B$7, 0))</f>
        <v>Россия</v>
      </c>
      <c r="H11" t="s">
        <v>137</v>
      </c>
      <c r="I11" t="str">
        <f>LEFT(Таблица8[[#This Row],[ФИО]],(M11-1))</f>
        <v>Агап</v>
      </c>
      <c r="J11" t="str">
        <f>MID(Таблица8[[#This Row],[ФИО]],M11,(N11-M11))</f>
        <v xml:space="preserve"> Валерьевич</v>
      </c>
      <c r="K11" t="str">
        <f>RIGHT(Таблица8[[#This Row],[ФИО]],(O11-N11))</f>
        <v>Логинов</v>
      </c>
      <c r="M11" s="60">
        <f>FIND(" ",Таблица8[[#This Row],[ФИО]],2)</f>
        <v>5</v>
      </c>
      <c r="N11">
        <f>FIND(" ",Таблица8[[#This Row],[ФИО]],(M11+1))</f>
        <v>16</v>
      </c>
      <c r="O11">
        <f>LEN(Таблица8[[#This Row],[ФИО]])</f>
        <v>23</v>
      </c>
      <c r="Q11" s="60" t="str">
        <f>LEFT(Таблица8[[#This Row],[ФИО]],(M11-1))</f>
        <v>Агап</v>
      </c>
      <c r="R11" t="s">
        <v>1096</v>
      </c>
      <c r="S11" t="s">
        <v>1405</v>
      </c>
    </row>
    <row r="12" spans="1:19" x14ac:dyDescent="0.25">
      <c r="A12" s="51">
        <v>142</v>
      </c>
      <c r="B12" t="s">
        <v>897</v>
      </c>
      <c r="C12" t="s">
        <v>896</v>
      </c>
      <c r="D12" t="s">
        <v>140</v>
      </c>
      <c r="E12" s="26">
        <v>44683</v>
      </c>
      <c r="F12" t="str">
        <f t="shared" si="0"/>
        <v>+7</v>
      </c>
      <c r="G12" t="str">
        <f>INDEX('коды стран'!$A$2:$A$7, MATCH(F12, 'коды стран'!$B$2:$B$7, 0))</f>
        <v>Россия</v>
      </c>
      <c r="H12" t="s">
        <v>137</v>
      </c>
      <c r="I12" t="str">
        <f>LEFT(Таблица8[[#This Row],[ФИО]],(M12-1))</f>
        <v>Агата</v>
      </c>
      <c r="J12" t="str">
        <f>MID(Таблица8[[#This Row],[ФИО]],M12,(N12-M12))</f>
        <v xml:space="preserve"> Геннадьевна</v>
      </c>
      <c r="K12" t="str">
        <f>RIGHT(Таблица8[[#This Row],[ФИО]],(O12-N12))</f>
        <v>Колесникова</v>
      </c>
      <c r="M12" s="59">
        <f>FIND(" ",Таблица8[[#This Row],[ФИО]],2)</f>
        <v>6</v>
      </c>
      <c r="N12">
        <f>FIND(" ",Таблица8[[#This Row],[ФИО]],(M12+1))</f>
        <v>18</v>
      </c>
      <c r="O12">
        <f>LEN(Таблица8[[#This Row],[ФИО]])</f>
        <v>29</v>
      </c>
      <c r="Q12" s="59" t="str">
        <f>LEFT(Таблица8[[#This Row],[ФИО]],(M12-1))</f>
        <v>Агата</v>
      </c>
      <c r="R12" t="s">
        <v>1097</v>
      </c>
      <c r="S12" t="s">
        <v>1406</v>
      </c>
    </row>
    <row r="13" spans="1:19" x14ac:dyDescent="0.25">
      <c r="A13" s="51">
        <v>443</v>
      </c>
      <c r="B13" t="s">
        <v>193</v>
      </c>
      <c r="C13" t="s">
        <v>192</v>
      </c>
      <c r="D13" t="s">
        <v>143</v>
      </c>
      <c r="E13" s="26">
        <v>44649</v>
      </c>
      <c r="F13" t="str">
        <f t="shared" si="0"/>
        <v>+7</v>
      </c>
      <c r="G13" t="str">
        <f>INDEX('коды стран'!$A$2:$A$7, MATCH(F13, 'коды стран'!$B$2:$B$7, 0))</f>
        <v>Россия</v>
      </c>
      <c r="H13" t="s">
        <v>137</v>
      </c>
      <c r="I13" t="str">
        <f>LEFT(Таблица8[[#This Row],[ФИО]],(M13-1))</f>
        <v>Агата</v>
      </c>
      <c r="J13" t="str">
        <f>MID(Таблица8[[#This Row],[ФИО]],M13,(N13-M13))</f>
        <v xml:space="preserve"> Олеговна</v>
      </c>
      <c r="K13" t="str">
        <f>RIGHT(Таблица8[[#This Row],[ФИО]],(O13-N13))</f>
        <v>Мартынова</v>
      </c>
      <c r="M13" s="60">
        <f>FIND(" ",Таблица8[[#This Row],[ФИО]],2)</f>
        <v>6</v>
      </c>
      <c r="N13">
        <f>FIND(" ",Таблица8[[#This Row],[ФИО]],(M13+1))</f>
        <v>15</v>
      </c>
      <c r="O13">
        <f>LEN(Таблица8[[#This Row],[ФИО]])</f>
        <v>24</v>
      </c>
      <c r="Q13" s="60" t="str">
        <f>LEFT(Таблица8[[#This Row],[ФИО]],(M13-1))</f>
        <v>Агата</v>
      </c>
      <c r="R13" t="s">
        <v>1098</v>
      </c>
      <c r="S13" t="s">
        <v>1407</v>
      </c>
    </row>
    <row r="14" spans="1:19" x14ac:dyDescent="0.25">
      <c r="A14" s="51">
        <v>332</v>
      </c>
      <c r="B14" t="s">
        <v>985</v>
      </c>
      <c r="C14" t="s">
        <v>984</v>
      </c>
      <c r="D14" t="s">
        <v>140</v>
      </c>
      <c r="E14" s="26">
        <v>44858</v>
      </c>
      <c r="F14" t="str">
        <f t="shared" si="0"/>
        <v>+998</v>
      </c>
      <c r="G14" t="str">
        <f>INDEX('коды стран'!$A$2:$A$7, MATCH(F14, 'коды стран'!$B$2:$B$7, 0))</f>
        <v>Узбекистан</v>
      </c>
      <c r="H14" t="s">
        <v>132</v>
      </c>
      <c r="I14" t="str">
        <f>LEFT(Таблица8[[#This Row],[ФИО]],(M14-1))</f>
        <v>Агата</v>
      </c>
      <c r="J14" t="str">
        <f>MID(Таблица8[[#This Row],[ФИО]],M14,(N14-M14))</f>
        <v xml:space="preserve"> Юрьевна</v>
      </c>
      <c r="K14" t="str">
        <f>RIGHT(Таблица8[[#This Row],[ФИО]],(O14-N14))</f>
        <v>Галкина</v>
      </c>
      <c r="M14" s="59">
        <f>FIND(" ",Таблица8[[#This Row],[ФИО]],2)</f>
        <v>6</v>
      </c>
      <c r="N14">
        <f>FIND(" ",Таблица8[[#This Row],[ФИО]],(M14+1))</f>
        <v>14</v>
      </c>
      <c r="O14">
        <f>LEN(Таблица8[[#This Row],[ФИО]])</f>
        <v>21</v>
      </c>
      <c r="Q14" s="59" t="str">
        <f>LEFT(Таблица8[[#This Row],[ФИО]],(M14-1))</f>
        <v>Агата</v>
      </c>
      <c r="R14" t="s">
        <v>1099</v>
      </c>
      <c r="S14" t="s">
        <v>1408</v>
      </c>
    </row>
    <row r="15" spans="1:19" x14ac:dyDescent="0.25">
      <c r="A15" s="51">
        <v>27</v>
      </c>
      <c r="B15" t="s">
        <v>355</v>
      </c>
      <c r="C15" t="s">
        <v>354</v>
      </c>
      <c r="D15" t="s">
        <v>140</v>
      </c>
      <c r="E15" s="26">
        <v>44586</v>
      </c>
      <c r="F15" t="str">
        <f t="shared" si="0"/>
        <v>+380</v>
      </c>
      <c r="G15" t="str">
        <f>INDEX('коды стран'!$A$2:$A$7, MATCH(F15, 'коды стран'!$B$2:$B$7, 0))</f>
        <v>Украина</v>
      </c>
      <c r="H15" t="s">
        <v>128</v>
      </c>
      <c r="I15" t="str">
        <f>LEFT(Таблица8[[#This Row],[ФИО]],(M15-1))</f>
        <v>Аггей</v>
      </c>
      <c r="J15" t="str">
        <f>MID(Таблица8[[#This Row],[ФИО]],M15,(N15-M15))</f>
        <v xml:space="preserve"> Валентинович</v>
      </c>
      <c r="K15" t="str">
        <f>RIGHT(Таблица8[[#This Row],[ФИО]],(O15-N15))</f>
        <v>Артемьев</v>
      </c>
      <c r="M15" s="60">
        <f>FIND(" ",Таблица8[[#This Row],[ФИО]],2)</f>
        <v>6</v>
      </c>
      <c r="N15">
        <f>FIND(" ",Таблица8[[#This Row],[ФИО]],(M15+1))</f>
        <v>19</v>
      </c>
      <c r="O15">
        <f>LEN(Таблица8[[#This Row],[ФИО]])</f>
        <v>27</v>
      </c>
      <c r="Q15" s="60" t="str">
        <f>LEFT(Таблица8[[#This Row],[ФИО]],(M15-1))</f>
        <v>Аггей</v>
      </c>
      <c r="R15" t="s">
        <v>1100</v>
      </c>
      <c r="S15" t="s">
        <v>1409</v>
      </c>
    </row>
    <row r="16" spans="1:19" x14ac:dyDescent="0.25">
      <c r="A16" s="51">
        <v>25</v>
      </c>
      <c r="B16" t="s">
        <v>867</v>
      </c>
      <c r="C16" t="s">
        <v>866</v>
      </c>
      <c r="D16" t="s">
        <v>143</v>
      </c>
      <c r="E16" s="26">
        <v>44582</v>
      </c>
      <c r="F16" t="str">
        <f t="shared" si="0"/>
        <v>+992</v>
      </c>
      <c r="G16" t="str">
        <f>INDEX('коды стран'!$A$2:$A$7, MATCH(F16, 'коды стран'!$B$2:$B$7, 0))</f>
        <v>Таджикистан</v>
      </c>
      <c r="H16" t="s">
        <v>130</v>
      </c>
      <c r="I16" t="str">
        <f>LEFT(Таблица8[[#This Row],[ФИО]],(M16-1))</f>
        <v>Аггей</v>
      </c>
      <c r="J16" t="str">
        <f>MID(Таблица8[[#This Row],[ФИО]],M16,(N16-M16))</f>
        <v xml:space="preserve"> Терентьевич</v>
      </c>
      <c r="K16" t="str">
        <f>RIGHT(Таблица8[[#This Row],[ФИО]],(O16-N16))</f>
        <v>Волков</v>
      </c>
      <c r="M16" s="59">
        <f>FIND(" ",Таблица8[[#This Row],[ФИО]],2)</f>
        <v>6</v>
      </c>
      <c r="N16">
        <f>FIND(" ",Таблица8[[#This Row],[ФИО]],(M16+1))</f>
        <v>18</v>
      </c>
      <c r="O16">
        <f>LEN(Таблица8[[#This Row],[ФИО]])</f>
        <v>24</v>
      </c>
      <c r="Q16" s="59" t="str">
        <f>LEFT(Таблица8[[#This Row],[ФИО]],(M16-1))</f>
        <v>Аггей</v>
      </c>
      <c r="R16" t="s">
        <v>1101</v>
      </c>
      <c r="S16" t="s">
        <v>1404</v>
      </c>
    </row>
    <row r="17" spans="1:19" x14ac:dyDescent="0.25">
      <c r="A17" s="51">
        <v>218</v>
      </c>
      <c r="B17" t="s">
        <v>249</v>
      </c>
      <c r="C17" t="s">
        <v>248</v>
      </c>
      <c r="D17" t="s">
        <v>140</v>
      </c>
      <c r="E17" s="26">
        <v>44721</v>
      </c>
      <c r="F17" t="str">
        <f t="shared" si="0"/>
        <v>+998</v>
      </c>
      <c r="G17" t="str">
        <f>INDEX('коды стран'!$A$2:$A$7, MATCH(F17, 'коды стран'!$B$2:$B$7, 0))</f>
        <v>Узбекистан</v>
      </c>
      <c r="H17" t="s">
        <v>132</v>
      </c>
      <c r="I17" t="str">
        <f>LEFT(Таблица8[[#This Row],[ФИО]],(M17-1))</f>
        <v>Алевтина</v>
      </c>
      <c r="J17" t="str">
        <f>MID(Таблица8[[#This Row],[ФИО]],M17,(N17-M17))</f>
        <v xml:space="preserve"> Алексеевна</v>
      </c>
      <c r="K17" t="str">
        <f>RIGHT(Таблица8[[#This Row],[ФИО]],(O17-N17))</f>
        <v>Исакова</v>
      </c>
      <c r="M17" s="60">
        <f>FIND(" ",Таблица8[[#This Row],[ФИО]],2)</f>
        <v>9</v>
      </c>
      <c r="N17">
        <f>FIND(" ",Таблица8[[#This Row],[ФИО]],(M17+1))</f>
        <v>20</v>
      </c>
      <c r="O17">
        <f>LEN(Таблица8[[#This Row],[ФИО]])</f>
        <v>27</v>
      </c>
      <c r="Q17" s="60" t="str">
        <f>LEFT(Таблица8[[#This Row],[ФИО]],(M17-1))</f>
        <v>Алевтина</v>
      </c>
      <c r="R17" t="s">
        <v>1102</v>
      </c>
      <c r="S17" t="s">
        <v>1410</v>
      </c>
    </row>
    <row r="18" spans="1:19" x14ac:dyDescent="0.25">
      <c r="A18" s="51">
        <v>341</v>
      </c>
      <c r="B18" t="s">
        <v>587</v>
      </c>
      <c r="C18" t="s">
        <v>586</v>
      </c>
      <c r="D18" t="s">
        <v>140</v>
      </c>
      <c r="E18" s="26">
        <v>44724</v>
      </c>
      <c r="F18" t="str">
        <f t="shared" si="0"/>
        <v>+7</v>
      </c>
      <c r="G18" t="str">
        <f>INDEX('коды стран'!$A$2:$A$7, MATCH(F18, 'коды стран'!$B$2:$B$7, 0))</f>
        <v>Россия</v>
      </c>
      <c r="H18" t="s">
        <v>137</v>
      </c>
      <c r="I18" t="str">
        <f>LEFT(Таблица8[[#This Row],[ФИО]],(M18-1))</f>
        <v>Алевтина</v>
      </c>
      <c r="J18" t="str">
        <f>MID(Таблица8[[#This Row],[ФИО]],M18,(N18-M18))</f>
        <v xml:space="preserve"> Архиповна</v>
      </c>
      <c r="K18" t="str">
        <f>RIGHT(Таблица8[[#This Row],[ФИО]],(O18-N18))</f>
        <v>Ефимова</v>
      </c>
      <c r="M18" s="59">
        <f>FIND(" ",Таблица8[[#This Row],[ФИО]],2)</f>
        <v>9</v>
      </c>
      <c r="N18">
        <f>FIND(" ",Таблица8[[#This Row],[ФИО]],(M18+1))</f>
        <v>19</v>
      </c>
      <c r="O18">
        <f>LEN(Таблица8[[#This Row],[ФИО]])</f>
        <v>26</v>
      </c>
      <c r="Q18" s="59" t="str">
        <f>LEFT(Таблица8[[#This Row],[ФИО]],(M18-1))</f>
        <v>Алевтина</v>
      </c>
      <c r="R18" t="s">
        <v>1103</v>
      </c>
      <c r="S18" t="s">
        <v>1411</v>
      </c>
    </row>
    <row r="19" spans="1:19" x14ac:dyDescent="0.25">
      <c r="A19" s="51">
        <v>460</v>
      </c>
      <c r="B19" t="s">
        <v>289</v>
      </c>
      <c r="C19" t="s">
        <v>288</v>
      </c>
      <c r="D19" t="s">
        <v>140</v>
      </c>
      <c r="E19" s="26">
        <v>44821</v>
      </c>
      <c r="F19" t="str">
        <f t="shared" si="0"/>
        <v>+7</v>
      </c>
      <c r="G19" t="str">
        <f>INDEX('коды стран'!$A$2:$A$7, MATCH(F19, 'коды стран'!$B$2:$B$7, 0))</f>
        <v>Россия</v>
      </c>
      <c r="H19" t="s">
        <v>137</v>
      </c>
      <c r="I19" t="str">
        <f>LEFT(Таблица8[[#This Row],[ФИО]],(M19-1))</f>
        <v>Алевтина</v>
      </c>
      <c r="J19" t="str">
        <f>MID(Таблица8[[#This Row],[ФИО]],M19,(N19-M19))</f>
        <v xml:space="preserve"> Егоровна</v>
      </c>
      <c r="K19" t="str">
        <f>RIGHT(Таблица8[[#This Row],[ФИО]],(O19-N19))</f>
        <v>Кузнецова</v>
      </c>
      <c r="M19" s="60">
        <f>FIND(" ",Таблица8[[#This Row],[ФИО]],2)</f>
        <v>9</v>
      </c>
      <c r="N19">
        <f>FIND(" ",Таблица8[[#This Row],[ФИО]],(M19+1))</f>
        <v>18</v>
      </c>
      <c r="O19">
        <f>LEN(Таблица8[[#This Row],[ФИО]])</f>
        <v>27</v>
      </c>
      <c r="Q19" s="60" t="str">
        <f>LEFT(Таблица8[[#This Row],[ФИО]],(M19-1))</f>
        <v>Алевтина</v>
      </c>
      <c r="R19" t="s">
        <v>1104</v>
      </c>
      <c r="S19" t="s">
        <v>1412</v>
      </c>
    </row>
    <row r="20" spans="1:19" x14ac:dyDescent="0.25">
      <c r="A20" s="51">
        <v>425</v>
      </c>
      <c r="B20" t="s">
        <v>411</v>
      </c>
      <c r="C20" t="s">
        <v>410</v>
      </c>
      <c r="D20" t="s">
        <v>140</v>
      </c>
      <c r="E20" s="26">
        <v>44782</v>
      </c>
      <c r="F20" t="str">
        <f t="shared" si="0"/>
        <v>+998</v>
      </c>
      <c r="G20" t="str">
        <f>INDEX('коды стран'!$A$2:$A$7, MATCH(F20, 'коды стран'!$B$2:$B$7, 0))</f>
        <v>Узбекистан</v>
      </c>
      <c r="H20" t="s">
        <v>132</v>
      </c>
      <c r="I20" t="str">
        <f>LEFT(Таблица8[[#This Row],[ФИО]],(M20-1))</f>
        <v>Алевтина</v>
      </c>
      <c r="J20" t="str">
        <f>MID(Таблица8[[#This Row],[ФИО]],M20,(N20-M20))</f>
        <v xml:space="preserve"> Ефимовна</v>
      </c>
      <c r="K20" t="str">
        <f>RIGHT(Таблица8[[#This Row],[ФИО]],(O20-N20))</f>
        <v>Белякова</v>
      </c>
      <c r="M20" s="59">
        <f>FIND(" ",Таблица8[[#This Row],[ФИО]],2)</f>
        <v>9</v>
      </c>
      <c r="N20">
        <f>FIND(" ",Таблица8[[#This Row],[ФИО]],(M20+1))</f>
        <v>18</v>
      </c>
      <c r="O20">
        <f>LEN(Таблица8[[#This Row],[ФИО]])</f>
        <v>26</v>
      </c>
      <c r="Q20" s="59" t="str">
        <f>LEFT(Таблица8[[#This Row],[ФИО]],(M20-1))</f>
        <v>Алевтина</v>
      </c>
      <c r="R20" t="s">
        <v>1105</v>
      </c>
      <c r="S20" t="s">
        <v>1413</v>
      </c>
    </row>
    <row r="21" spans="1:19" x14ac:dyDescent="0.25">
      <c r="A21" s="51">
        <v>259</v>
      </c>
      <c r="B21" t="s">
        <v>677</v>
      </c>
      <c r="C21" t="s">
        <v>676</v>
      </c>
      <c r="D21" t="s">
        <v>143</v>
      </c>
      <c r="E21" s="26">
        <v>44707</v>
      </c>
      <c r="F21" t="str">
        <f t="shared" si="0"/>
        <v>+375</v>
      </c>
      <c r="G21" t="str">
        <f>INDEX('коды стран'!$A$2:$A$7, MATCH(F21, 'коды стран'!$B$2:$B$7, 0))</f>
        <v>Беларусь</v>
      </c>
      <c r="H21" t="s">
        <v>134</v>
      </c>
      <c r="I21" t="str">
        <f>LEFT(Таблица8[[#This Row],[ФИО]],(M21-1))</f>
        <v>Алевтина</v>
      </c>
      <c r="J21" t="str">
        <f>MID(Таблица8[[#This Row],[ФИО]],M21,(N21-M21))</f>
        <v xml:space="preserve"> Михайловна</v>
      </c>
      <c r="K21" t="str">
        <f>RIGHT(Таблица8[[#This Row],[ФИО]],(O21-N21))</f>
        <v>Зыкова</v>
      </c>
      <c r="M21" s="60">
        <f>FIND(" ",Таблица8[[#This Row],[ФИО]],2)</f>
        <v>9</v>
      </c>
      <c r="N21">
        <f>FIND(" ",Таблица8[[#This Row],[ФИО]],(M21+1))</f>
        <v>20</v>
      </c>
      <c r="O21">
        <f>LEN(Таблица8[[#This Row],[ФИО]])</f>
        <v>26</v>
      </c>
      <c r="Q21" s="60" t="str">
        <f>LEFT(Таблица8[[#This Row],[ФИО]],(M21-1))</f>
        <v>Алевтина</v>
      </c>
      <c r="R21" t="s">
        <v>1106</v>
      </c>
      <c r="S21" t="s">
        <v>1414</v>
      </c>
    </row>
    <row r="22" spans="1:19" x14ac:dyDescent="0.25">
      <c r="A22" s="51">
        <v>483</v>
      </c>
      <c r="B22" t="s">
        <v>617</v>
      </c>
      <c r="C22" t="s">
        <v>616</v>
      </c>
      <c r="D22" t="s">
        <v>143</v>
      </c>
      <c r="E22" s="26">
        <v>44855</v>
      </c>
      <c r="F22" t="str">
        <f t="shared" si="0"/>
        <v>+7</v>
      </c>
      <c r="G22" t="str">
        <f>INDEX('коды стран'!$A$2:$A$7, MATCH(F22, 'коды стран'!$B$2:$B$7, 0))</f>
        <v>Россия</v>
      </c>
      <c r="H22" t="s">
        <v>137</v>
      </c>
      <c r="I22" t="str">
        <f>LEFT(Таблица8[[#This Row],[ФИО]],(M22-1))</f>
        <v>Александр</v>
      </c>
      <c r="J22" t="str">
        <f>MID(Таблица8[[#This Row],[ФИО]],M22,(N22-M22))</f>
        <v xml:space="preserve"> Архипович</v>
      </c>
      <c r="K22" t="str">
        <f>RIGHT(Таблица8[[#This Row],[ФИО]],(O22-N22))</f>
        <v>Гущин</v>
      </c>
      <c r="M22" s="59">
        <f>FIND(" ",Таблица8[[#This Row],[ФИО]],2)</f>
        <v>10</v>
      </c>
      <c r="N22">
        <f>FIND(" ",Таблица8[[#This Row],[ФИО]],(M22+1))</f>
        <v>20</v>
      </c>
      <c r="O22">
        <f>LEN(Таблица8[[#This Row],[ФИО]])</f>
        <v>25</v>
      </c>
      <c r="Q22" s="59" t="str">
        <f>LEFT(Таблица8[[#This Row],[ФИО]],(M22-1))</f>
        <v>Александр</v>
      </c>
      <c r="R22" t="s">
        <v>1107</v>
      </c>
      <c r="S22" t="s">
        <v>1415</v>
      </c>
    </row>
    <row r="23" spans="1:19" x14ac:dyDescent="0.25">
      <c r="A23" s="51">
        <v>474</v>
      </c>
      <c r="B23" t="s">
        <v>825</v>
      </c>
      <c r="C23" t="s">
        <v>824</v>
      </c>
      <c r="D23" t="s">
        <v>140</v>
      </c>
      <c r="E23" s="26">
        <v>44605</v>
      </c>
      <c r="F23" t="str">
        <f t="shared" si="0"/>
        <v>+7</v>
      </c>
      <c r="G23" t="str">
        <f>INDEX('коды стран'!$A$2:$A$7, MATCH(F23, 'коды стран'!$B$2:$B$7, 0))</f>
        <v>Россия</v>
      </c>
      <c r="H23" t="s">
        <v>137</v>
      </c>
      <c r="I23" t="str">
        <f>LEFT(Таблица8[[#This Row],[ФИО]],(M23-1))</f>
        <v>Александра</v>
      </c>
      <c r="J23" t="str">
        <f>MID(Таблица8[[#This Row],[ФИО]],M23,(N23-M23))</f>
        <v xml:space="preserve"> Владиславовна</v>
      </c>
      <c r="K23" t="str">
        <f>RIGHT(Таблица8[[#This Row],[ФИО]],(O23-N23))</f>
        <v>Беляева</v>
      </c>
      <c r="M23" s="60">
        <f>FIND(" ",Таблица8[[#This Row],[ФИО]],2)</f>
        <v>11</v>
      </c>
      <c r="N23">
        <f>FIND(" ",Таблица8[[#This Row],[ФИО]],(M23+1))</f>
        <v>25</v>
      </c>
      <c r="O23">
        <f>LEN(Таблица8[[#This Row],[ФИО]])</f>
        <v>32</v>
      </c>
      <c r="Q23" s="60" t="str">
        <f>LEFT(Таблица8[[#This Row],[ФИО]],(M23-1))</f>
        <v>Александра</v>
      </c>
      <c r="R23" t="s">
        <v>1108</v>
      </c>
      <c r="S23" t="s">
        <v>1416</v>
      </c>
    </row>
    <row r="24" spans="1:19" x14ac:dyDescent="0.25">
      <c r="A24" s="51">
        <v>338</v>
      </c>
      <c r="B24" t="s">
        <v>209</v>
      </c>
      <c r="C24" t="s">
        <v>208</v>
      </c>
      <c r="D24" t="s">
        <v>140</v>
      </c>
      <c r="E24" s="26">
        <v>44577</v>
      </c>
      <c r="F24" t="str">
        <f t="shared" si="0"/>
        <v>+992</v>
      </c>
      <c r="G24" t="str">
        <f>INDEX('коды стран'!$A$2:$A$7, MATCH(F24, 'коды стран'!$B$2:$B$7, 0))</f>
        <v>Таджикистан</v>
      </c>
      <c r="H24" t="s">
        <v>130</v>
      </c>
      <c r="I24" t="str">
        <f>LEFT(Таблица8[[#This Row],[ФИО]],(M24-1))</f>
        <v>Александра</v>
      </c>
      <c r="J24" t="str">
        <f>MID(Таблица8[[#This Row],[ФИО]],M24,(N24-M24))</f>
        <v xml:space="preserve"> Геннадиевна</v>
      </c>
      <c r="K24" t="str">
        <f>RIGHT(Таблица8[[#This Row],[ФИО]],(O24-N24))</f>
        <v>Филатова</v>
      </c>
      <c r="M24" s="59">
        <f>FIND(" ",Таблица8[[#This Row],[ФИО]],2)</f>
        <v>11</v>
      </c>
      <c r="N24">
        <f>FIND(" ",Таблица8[[#This Row],[ФИО]],(M24+1))</f>
        <v>23</v>
      </c>
      <c r="O24">
        <f>LEN(Таблица8[[#This Row],[ФИО]])</f>
        <v>31</v>
      </c>
      <c r="Q24" s="59" t="str">
        <f>LEFT(Таблица8[[#This Row],[ФИО]],(M24-1))</f>
        <v>Александра</v>
      </c>
      <c r="R24" t="s">
        <v>1109</v>
      </c>
      <c r="S24" t="s">
        <v>1417</v>
      </c>
    </row>
    <row r="25" spans="1:19" x14ac:dyDescent="0.25">
      <c r="A25" s="51">
        <v>471</v>
      </c>
      <c r="B25" t="s">
        <v>1001</v>
      </c>
      <c r="C25" t="s">
        <v>1000</v>
      </c>
      <c r="D25" t="s">
        <v>143</v>
      </c>
      <c r="E25" s="26">
        <v>44577</v>
      </c>
      <c r="F25" t="str">
        <f t="shared" si="0"/>
        <v>+380</v>
      </c>
      <c r="G25" t="str">
        <f>INDEX('коды стран'!$A$2:$A$7, MATCH(F25, 'коды стран'!$B$2:$B$7, 0))</f>
        <v>Украина</v>
      </c>
      <c r="H25" t="s">
        <v>128</v>
      </c>
      <c r="I25" t="str">
        <f>LEFT(Таблица8[[#This Row],[ФИО]],(M25-1))</f>
        <v>Александра</v>
      </c>
      <c r="J25" t="str">
        <f>MID(Таблица8[[#This Row],[ФИО]],M25,(N25-M25))</f>
        <v xml:space="preserve"> Матвеевна</v>
      </c>
      <c r="K25" t="str">
        <f>RIGHT(Таблица8[[#This Row],[ФИО]],(O25-N25))</f>
        <v>Артемьева</v>
      </c>
      <c r="M25" s="60">
        <f>FIND(" ",Таблица8[[#This Row],[ФИО]],2)</f>
        <v>11</v>
      </c>
      <c r="N25">
        <f>FIND(" ",Таблица8[[#This Row],[ФИО]],(M25+1))</f>
        <v>21</v>
      </c>
      <c r="O25">
        <f>LEN(Таблица8[[#This Row],[ФИО]])</f>
        <v>30</v>
      </c>
      <c r="Q25" s="60" t="str">
        <f>LEFT(Таблица8[[#This Row],[ФИО]],(M25-1))</f>
        <v>Александра</v>
      </c>
      <c r="R25" t="s">
        <v>1110</v>
      </c>
      <c r="S25" t="s">
        <v>1418</v>
      </c>
    </row>
    <row r="26" spans="1:19" x14ac:dyDescent="0.25">
      <c r="A26" s="51">
        <v>324</v>
      </c>
      <c r="B26" t="s">
        <v>945</v>
      </c>
      <c r="C26" t="s">
        <v>944</v>
      </c>
      <c r="D26" t="s">
        <v>140</v>
      </c>
      <c r="E26" s="26">
        <v>44761</v>
      </c>
      <c r="F26" t="str">
        <f t="shared" si="0"/>
        <v>+998</v>
      </c>
      <c r="G26" t="str">
        <f>INDEX('коды стран'!$A$2:$A$7, MATCH(F26, 'коды стран'!$B$2:$B$7, 0))</f>
        <v>Узбекистан</v>
      </c>
      <c r="H26" t="s">
        <v>132</v>
      </c>
      <c r="I26" t="str">
        <f>LEFT(Таблица8[[#This Row],[ФИО]],(M26-1))</f>
        <v>Алексеев</v>
      </c>
      <c r="J26" t="str">
        <f>MID(Таблица8[[#This Row],[ФИО]],M26,(N26-M26))</f>
        <v xml:space="preserve"> Касьян</v>
      </c>
      <c r="K26" t="str">
        <f>RIGHT(Таблица8[[#This Row],[ФИО]],(O26-N26))</f>
        <v>Ефимович</v>
      </c>
      <c r="M26" s="59">
        <f>FIND(" ",Таблица8[[#This Row],[ФИО]],2)</f>
        <v>9</v>
      </c>
      <c r="N26">
        <f>FIND(" ",Таблица8[[#This Row],[ФИО]],(M26+1))</f>
        <v>16</v>
      </c>
      <c r="O26">
        <f>LEN(Таблица8[[#This Row],[ФИО]])</f>
        <v>24</v>
      </c>
      <c r="Q26" s="59" t="str">
        <f>MID(Таблица8[[#This Row],[ФИО]],M26,(N26-M26))</f>
        <v xml:space="preserve"> Касьян</v>
      </c>
      <c r="R26" t="s">
        <v>1111</v>
      </c>
      <c r="S26" t="s">
        <v>1111</v>
      </c>
    </row>
    <row r="27" spans="1:19" x14ac:dyDescent="0.25">
      <c r="A27" s="51">
        <v>15</v>
      </c>
      <c r="B27" t="s">
        <v>383</v>
      </c>
      <c r="C27" t="s">
        <v>382</v>
      </c>
      <c r="D27" t="s">
        <v>140</v>
      </c>
      <c r="E27" s="26">
        <v>44711</v>
      </c>
      <c r="F27" t="str">
        <f t="shared" si="0"/>
        <v>+380</v>
      </c>
      <c r="G27" t="str">
        <f>INDEX('коды стран'!$A$2:$A$7, MATCH(F27, 'коды стран'!$B$2:$B$7, 0))</f>
        <v>Украина</v>
      </c>
      <c r="H27" t="s">
        <v>128</v>
      </c>
      <c r="I27" t="str">
        <f>LEFT(Таблица8[[#This Row],[ФИО]],(M27-1))</f>
        <v>Алексей</v>
      </c>
      <c r="J27" t="str">
        <f>MID(Таблица8[[#This Row],[ФИО]],M27,(N27-M27))</f>
        <v xml:space="preserve"> Трифонович</v>
      </c>
      <c r="K27" t="str">
        <f>RIGHT(Таблица8[[#This Row],[ФИО]],(O27-N27))</f>
        <v>Блинов</v>
      </c>
      <c r="M27" s="60">
        <f>FIND(" ",Таблица8[[#This Row],[ФИО]],2)</f>
        <v>8</v>
      </c>
      <c r="N27">
        <f>FIND(" ",Таблица8[[#This Row],[ФИО]],(M27+1))</f>
        <v>19</v>
      </c>
      <c r="O27">
        <f>LEN(Таблица8[[#This Row],[ФИО]])</f>
        <v>25</v>
      </c>
      <c r="Q27" s="60" t="str">
        <f>LEFT(Таблица8[[#This Row],[ФИО]],(M27-1))</f>
        <v>Алексей</v>
      </c>
      <c r="R27" t="s">
        <v>1112</v>
      </c>
      <c r="S27" t="s">
        <v>1419</v>
      </c>
    </row>
    <row r="28" spans="1:19" x14ac:dyDescent="0.25">
      <c r="A28" s="51">
        <v>382</v>
      </c>
      <c r="B28" t="s">
        <v>899</v>
      </c>
      <c r="C28" t="s">
        <v>898</v>
      </c>
      <c r="D28" t="s">
        <v>143</v>
      </c>
      <c r="E28" s="26">
        <v>44850</v>
      </c>
      <c r="F28" t="str">
        <f t="shared" si="0"/>
        <v>+375</v>
      </c>
      <c r="G28" t="str">
        <f>INDEX('коды стран'!$A$2:$A$7, MATCH(F28, 'коды стран'!$B$2:$B$7, 0))</f>
        <v>Беларусь</v>
      </c>
      <c r="H28" t="s">
        <v>134</v>
      </c>
      <c r="I28" t="str">
        <f>LEFT(Таблица8[[#This Row],[ФИО]],(M28-1))</f>
        <v>Алина</v>
      </c>
      <c r="J28" t="str">
        <f>MID(Таблица8[[#This Row],[ФИО]],M28,(N28-M28))</f>
        <v xml:space="preserve"> Михайловна</v>
      </c>
      <c r="K28" t="str">
        <f>RIGHT(Таблица8[[#This Row],[ФИО]],(O28-N28))</f>
        <v>Шестакова</v>
      </c>
      <c r="M28" s="59">
        <f>FIND(" ",Таблица8[[#This Row],[ФИО]],2)</f>
        <v>6</v>
      </c>
      <c r="N28">
        <f>FIND(" ",Таблица8[[#This Row],[ФИО]],(M28+1))</f>
        <v>17</v>
      </c>
      <c r="O28">
        <f>LEN(Таблица8[[#This Row],[ФИО]])</f>
        <v>26</v>
      </c>
      <c r="Q28" s="59" t="str">
        <f>LEFT(Таблица8[[#This Row],[ФИО]],(M28-1))</f>
        <v>Алина</v>
      </c>
      <c r="R28" t="s">
        <v>1113</v>
      </c>
      <c r="S28" t="s">
        <v>1414</v>
      </c>
    </row>
    <row r="29" spans="1:19" x14ac:dyDescent="0.25">
      <c r="A29" s="51">
        <v>67</v>
      </c>
      <c r="B29" t="s">
        <v>365</v>
      </c>
      <c r="C29" t="s">
        <v>364</v>
      </c>
      <c r="D29" t="s">
        <v>143</v>
      </c>
      <c r="E29" s="26">
        <v>44731</v>
      </c>
      <c r="F29" t="str">
        <f t="shared" si="0"/>
        <v>+998</v>
      </c>
      <c r="G29" t="str">
        <f>INDEX('коды стран'!$A$2:$A$7, MATCH(F29, 'коды стран'!$B$2:$B$7, 0))</f>
        <v>Узбекистан</v>
      </c>
      <c r="H29" t="s">
        <v>132</v>
      </c>
      <c r="I29" t="str">
        <f>LEFT(Таблица8[[#This Row],[ФИО]],(M29-1))</f>
        <v>Алла</v>
      </c>
      <c r="J29" t="str">
        <f>MID(Таблица8[[#This Row],[ФИО]],M29,(N29-M29))</f>
        <v xml:space="preserve"> Геннадьевна</v>
      </c>
      <c r="K29" t="str">
        <f>RIGHT(Таблица8[[#This Row],[ФИО]],(O29-N29))</f>
        <v>Фомина</v>
      </c>
      <c r="M29" s="60">
        <f>FIND(" ",Таблица8[[#This Row],[ФИО]],2)</f>
        <v>5</v>
      </c>
      <c r="N29">
        <f>FIND(" ",Таблица8[[#This Row],[ФИО]],(M29+1))</f>
        <v>17</v>
      </c>
      <c r="O29">
        <f>LEN(Таблица8[[#This Row],[ФИО]])</f>
        <v>23</v>
      </c>
      <c r="Q29" s="60" t="str">
        <f>LEFT(Таблица8[[#This Row],[ФИО]],(M29-1))</f>
        <v>Алла</v>
      </c>
      <c r="R29" t="s">
        <v>1114</v>
      </c>
      <c r="S29" t="s">
        <v>1406</v>
      </c>
    </row>
    <row r="30" spans="1:19" x14ac:dyDescent="0.25">
      <c r="A30" s="51">
        <v>108</v>
      </c>
      <c r="B30" t="s">
        <v>195</v>
      </c>
      <c r="C30" t="s">
        <v>194</v>
      </c>
      <c r="D30" t="s">
        <v>143</v>
      </c>
      <c r="E30" s="26">
        <v>44835</v>
      </c>
      <c r="F30" t="str">
        <f t="shared" si="0"/>
        <v>+998</v>
      </c>
      <c r="G30" t="str">
        <f>INDEX('коды стран'!$A$2:$A$7, MATCH(F30, 'коды стран'!$B$2:$B$7, 0))</f>
        <v>Узбекистан</v>
      </c>
      <c r="H30" t="s">
        <v>132</v>
      </c>
      <c r="I30" t="str">
        <f>LEFT(Таблица8[[#This Row],[ФИО]],(M30-1))</f>
        <v>Алла</v>
      </c>
      <c r="J30" t="str">
        <f>MID(Таблица8[[#This Row],[ФИО]],M30,(N30-M30))</f>
        <v xml:space="preserve"> Рудольфовна</v>
      </c>
      <c r="K30" t="str">
        <f>RIGHT(Таблица8[[#This Row],[ФИО]],(O30-N30))</f>
        <v>Сидорова</v>
      </c>
      <c r="M30" s="59">
        <f>FIND(" ",Таблица8[[#This Row],[ФИО]],2)</f>
        <v>5</v>
      </c>
      <c r="N30">
        <f>FIND(" ",Таблица8[[#This Row],[ФИО]],(M30+1))</f>
        <v>17</v>
      </c>
      <c r="O30">
        <f>LEN(Таблица8[[#This Row],[ФИО]])</f>
        <v>25</v>
      </c>
      <c r="Q30" s="59" t="str">
        <f>LEFT(Таблица8[[#This Row],[ФИО]],(M30-1))</f>
        <v>Алла</v>
      </c>
      <c r="R30" t="s">
        <v>1115</v>
      </c>
      <c r="S30" t="s">
        <v>1420</v>
      </c>
    </row>
    <row r="31" spans="1:19" x14ac:dyDescent="0.25">
      <c r="A31" s="51">
        <v>40</v>
      </c>
      <c r="B31" t="s">
        <v>321</v>
      </c>
      <c r="C31" t="s">
        <v>320</v>
      </c>
      <c r="D31" t="s">
        <v>140</v>
      </c>
      <c r="E31" s="26">
        <v>44855</v>
      </c>
      <c r="F31" t="str">
        <f t="shared" si="0"/>
        <v>+7</v>
      </c>
      <c r="G31" t="str">
        <f>INDEX('коды стран'!$A$2:$A$7, MATCH(F31, 'коды стран'!$B$2:$B$7, 0))</f>
        <v>Россия</v>
      </c>
      <c r="H31" t="s">
        <v>137</v>
      </c>
      <c r="I31" t="str">
        <f>LEFT(Таблица8[[#This Row],[ФИО]],(M31-1))</f>
        <v>Амвросий</v>
      </c>
      <c r="J31" t="str">
        <f>MID(Таблица8[[#This Row],[ФИО]],M31,(N31-M31))</f>
        <v xml:space="preserve"> Артемьевич</v>
      </c>
      <c r="K31" t="str">
        <f>RIGHT(Таблица8[[#This Row],[ФИО]],(O31-N31))</f>
        <v>Гаврилов</v>
      </c>
      <c r="M31" s="60">
        <f>FIND(" ",Таблица8[[#This Row],[ФИО]],2)</f>
        <v>9</v>
      </c>
      <c r="N31">
        <f>FIND(" ",Таблица8[[#This Row],[ФИО]],(M31+1))</f>
        <v>20</v>
      </c>
      <c r="O31">
        <f>LEN(Таблица8[[#This Row],[ФИО]])</f>
        <v>28</v>
      </c>
      <c r="Q31" s="60" t="str">
        <f>LEFT(Таблица8[[#This Row],[ФИО]],(M31-1))</f>
        <v>Амвросий</v>
      </c>
      <c r="R31" t="s">
        <v>1116</v>
      </c>
      <c r="S31" t="s">
        <v>1421</v>
      </c>
    </row>
    <row r="32" spans="1:19" x14ac:dyDescent="0.25">
      <c r="A32" s="51">
        <v>20</v>
      </c>
      <c r="B32" t="s">
        <v>147</v>
      </c>
      <c r="C32" t="s">
        <v>146</v>
      </c>
      <c r="D32" t="s">
        <v>140</v>
      </c>
      <c r="E32" s="26">
        <v>44691</v>
      </c>
      <c r="F32" t="str">
        <f t="shared" si="0"/>
        <v>+998</v>
      </c>
      <c r="G32" t="str">
        <f>INDEX('коды стран'!$A$2:$A$7, MATCH(F32, 'коды стран'!$B$2:$B$7, 0))</f>
        <v>Узбекистан</v>
      </c>
      <c r="H32" t="s">
        <v>132</v>
      </c>
      <c r="I32" t="str">
        <f>LEFT(Таблица8[[#This Row],[ФИО]],(M32-1))</f>
        <v>Амвросий</v>
      </c>
      <c r="J32" t="str">
        <f>MID(Таблица8[[#This Row],[ФИО]],M32,(N32-M32))</f>
        <v xml:space="preserve"> Игнатович</v>
      </c>
      <c r="K32" t="str">
        <f>RIGHT(Таблица8[[#This Row],[ФИО]],(O32-N32))</f>
        <v>Юдин</v>
      </c>
      <c r="M32" s="59">
        <f>FIND(" ",Таблица8[[#This Row],[ФИО]],2)</f>
        <v>9</v>
      </c>
      <c r="N32">
        <f>FIND(" ",Таблица8[[#This Row],[ФИО]],(M32+1))</f>
        <v>19</v>
      </c>
      <c r="O32">
        <f>LEN(Таблица8[[#This Row],[ФИО]])</f>
        <v>23</v>
      </c>
      <c r="Q32" s="59" t="str">
        <f>LEFT(Таблица8[[#This Row],[ФИО]],(M32-1))</f>
        <v>Амвросий</v>
      </c>
      <c r="R32" t="s">
        <v>1117</v>
      </c>
      <c r="S32" t="s">
        <v>1422</v>
      </c>
    </row>
    <row r="33" spans="1:19" x14ac:dyDescent="0.25">
      <c r="A33" s="51">
        <v>212</v>
      </c>
      <c r="B33" t="s">
        <v>161</v>
      </c>
      <c r="C33" t="s">
        <v>160</v>
      </c>
      <c r="D33" t="s">
        <v>140</v>
      </c>
      <c r="E33" s="26">
        <v>44815</v>
      </c>
      <c r="F33" t="str">
        <f t="shared" si="0"/>
        <v>+998</v>
      </c>
      <c r="G33" t="str">
        <f>INDEX('коды стран'!$A$2:$A$7, MATCH(F33, 'коды стран'!$B$2:$B$7, 0))</f>
        <v>Узбекистан</v>
      </c>
      <c r="H33" t="s">
        <v>132</v>
      </c>
      <c r="I33" t="str">
        <f>LEFT(Таблица8[[#This Row],[ФИО]],(M33-1))</f>
        <v>Амос</v>
      </c>
      <c r="J33" t="str">
        <f>MID(Таблица8[[#This Row],[ФИО]],M33,(N33-M33))</f>
        <v xml:space="preserve"> Гордеевич</v>
      </c>
      <c r="K33" t="str">
        <f>RIGHT(Таблица8[[#This Row],[ФИО]],(O33-N33))</f>
        <v>Евсеев</v>
      </c>
      <c r="M33" s="60">
        <f>FIND(" ",Таблица8[[#This Row],[ФИО]],2)</f>
        <v>5</v>
      </c>
      <c r="N33">
        <f>FIND(" ",Таблица8[[#This Row],[ФИО]],(M33+1))</f>
        <v>15</v>
      </c>
      <c r="O33">
        <f>LEN(Таблица8[[#This Row],[ФИО]])</f>
        <v>21</v>
      </c>
      <c r="Q33" s="60" t="str">
        <f>LEFT(Таблица8[[#This Row],[ФИО]],(M33-1))</f>
        <v>Амос</v>
      </c>
      <c r="R33" t="s">
        <v>1118</v>
      </c>
      <c r="S33" t="s">
        <v>1423</v>
      </c>
    </row>
    <row r="34" spans="1:19" x14ac:dyDescent="0.25">
      <c r="A34" s="51">
        <v>144</v>
      </c>
      <c r="B34" t="s">
        <v>519</v>
      </c>
      <c r="C34" t="s">
        <v>518</v>
      </c>
      <c r="D34" t="s">
        <v>143</v>
      </c>
      <c r="E34" s="26">
        <v>44705</v>
      </c>
      <c r="F34" t="str">
        <f t="shared" si="0"/>
        <v>+380</v>
      </c>
      <c r="G34" t="str">
        <f>INDEX('коды стран'!$A$2:$A$7, MATCH(F34, 'коды стран'!$B$2:$B$7, 0))</f>
        <v>Украина</v>
      </c>
      <c r="H34" t="s">
        <v>128</v>
      </c>
      <c r="I34" t="str">
        <f>LEFT(Таблица8[[#This Row],[ФИО]],(M34-1))</f>
        <v>Анастасия</v>
      </c>
      <c r="J34" t="str">
        <f>MID(Таблица8[[#This Row],[ФИО]],M34,(N34-M34))</f>
        <v xml:space="preserve"> Альбертовна</v>
      </c>
      <c r="K34" t="str">
        <f>RIGHT(Таблица8[[#This Row],[ФИО]],(O34-N34))</f>
        <v>Фролова</v>
      </c>
      <c r="M34" s="59">
        <f>FIND(" ",Таблица8[[#This Row],[ФИО]],2)</f>
        <v>10</v>
      </c>
      <c r="N34">
        <f>FIND(" ",Таблица8[[#This Row],[ФИО]],(M34+1))</f>
        <v>22</v>
      </c>
      <c r="O34">
        <f>LEN(Таблица8[[#This Row],[ФИО]])</f>
        <v>29</v>
      </c>
      <c r="Q34" s="59" t="str">
        <f>LEFT(Таблица8[[#This Row],[ФИО]],(M34-1))</f>
        <v>Анастасия</v>
      </c>
      <c r="R34" t="s">
        <v>1119</v>
      </c>
      <c r="S34" t="s">
        <v>1424</v>
      </c>
    </row>
    <row r="35" spans="1:19" x14ac:dyDescent="0.25">
      <c r="A35" s="51">
        <v>432</v>
      </c>
      <c r="B35" t="s">
        <v>447</v>
      </c>
      <c r="C35" t="s">
        <v>446</v>
      </c>
      <c r="D35" t="s">
        <v>140</v>
      </c>
      <c r="E35" s="26">
        <v>44718</v>
      </c>
      <c r="F35" t="str">
        <f t="shared" si="0"/>
        <v>+992</v>
      </c>
      <c r="G35" t="str">
        <f>INDEX('коды стран'!$A$2:$A$7, MATCH(F35, 'коды стран'!$B$2:$B$7, 0))</f>
        <v>Таджикистан</v>
      </c>
      <c r="H35" t="s">
        <v>130</v>
      </c>
      <c r="I35" t="str">
        <f>LEFT(Таблица8[[#This Row],[ФИО]],(M35-1))</f>
        <v>Анастасия</v>
      </c>
      <c r="J35" t="str">
        <f>MID(Таблица8[[#This Row],[ФИО]],M35,(N35-M35))</f>
        <v xml:space="preserve"> Игоревна</v>
      </c>
      <c r="K35" t="str">
        <f>RIGHT(Таблица8[[#This Row],[ФИО]],(O35-N35))</f>
        <v>Белова</v>
      </c>
      <c r="M35" s="60">
        <f>FIND(" ",Таблица8[[#This Row],[ФИО]],2)</f>
        <v>10</v>
      </c>
      <c r="N35">
        <f>FIND(" ",Таблица8[[#This Row],[ФИО]],(M35+1))</f>
        <v>19</v>
      </c>
      <c r="O35">
        <f>LEN(Таблица8[[#This Row],[ФИО]])</f>
        <v>25</v>
      </c>
      <c r="Q35" s="60" t="str">
        <f>LEFT(Таблица8[[#This Row],[ФИО]],(M35-1))</f>
        <v>Анастасия</v>
      </c>
      <c r="R35" t="s">
        <v>1120</v>
      </c>
      <c r="S35" t="s">
        <v>1425</v>
      </c>
    </row>
    <row r="36" spans="1:19" x14ac:dyDescent="0.25">
      <c r="A36" s="51">
        <v>275</v>
      </c>
      <c r="B36" t="s">
        <v>649</v>
      </c>
      <c r="C36" t="s">
        <v>648</v>
      </c>
      <c r="D36" t="s">
        <v>140</v>
      </c>
      <c r="E36" s="26">
        <v>44651</v>
      </c>
      <c r="F36" t="str">
        <f t="shared" si="0"/>
        <v>+992</v>
      </c>
      <c r="G36" t="str">
        <f>INDEX('коды стран'!$A$2:$A$7, MATCH(F36, 'коды стран'!$B$2:$B$7, 0))</f>
        <v>Таджикистан</v>
      </c>
      <c r="H36" t="s">
        <v>130</v>
      </c>
      <c r="I36" t="str">
        <f>LEFT(Таблица8[[#This Row],[ФИО]],(M36-1))</f>
        <v>Андрон</v>
      </c>
      <c r="J36" t="str">
        <f>MID(Таблица8[[#This Row],[ФИО]],M36,(N36-M36))</f>
        <v xml:space="preserve"> Валерьевич</v>
      </c>
      <c r="K36" t="str">
        <f>RIGHT(Таблица8[[#This Row],[ФИО]],(O36-N36))</f>
        <v>Морозов</v>
      </c>
      <c r="M36" s="59">
        <f>FIND(" ",Таблица8[[#This Row],[ФИО]],2)</f>
        <v>7</v>
      </c>
      <c r="N36">
        <f>FIND(" ",Таблица8[[#This Row],[ФИО]],(M36+1))</f>
        <v>18</v>
      </c>
      <c r="O36">
        <f>LEN(Таблица8[[#This Row],[ФИО]])</f>
        <v>25</v>
      </c>
      <c r="Q36" s="59" t="str">
        <f>LEFT(Таблица8[[#This Row],[ФИО]],(M36-1))</f>
        <v>Андрон</v>
      </c>
      <c r="R36" t="s">
        <v>1121</v>
      </c>
      <c r="S36" t="s">
        <v>1405</v>
      </c>
    </row>
    <row r="37" spans="1:19" x14ac:dyDescent="0.25">
      <c r="A37" s="51">
        <v>354</v>
      </c>
      <c r="B37" t="s">
        <v>673</v>
      </c>
      <c r="C37" t="s">
        <v>672</v>
      </c>
      <c r="D37" t="s">
        <v>140</v>
      </c>
      <c r="E37" s="26">
        <v>44811</v>
      </c>
      <c r="F37" t="str">
        <f t="shared" si="0"/>
        <v>+998</v>
      </c>
      <c r="G37" t="str">
        <f>INDEX('коды стран'!$A$2:$A$7, MATCH(F37, 'коды стран'!$B$2:$B$7, 0))</f>
        <v>Узбекистан</v>
      </c>
      <c r="H37" t="s">
        <v>132</v>
      </c>
      <c r="I37" t="str">
        <f>LEFT(Таблица8[[#This Row],[ФИО]],(M37-1))</f>
        <v>Анжела</v>
      </c>
      <c r="J37" t="str">
        <f>MID(Таблица8[[#This Row],[ФИО]],M37,(N37-M37))</f>
        <v xml:space="preserve"> Ивановна</v>
      </c>
      <c r="K37" t="str">
        <f>RIGHT(Таблица8[[#This Row],[ФИО]],(O37-N37))</f>
        <v>Григорьева</v>
      </c>
      <c r="M37" s="60">
        <f>FIND(" ",Таблица8[[#This Row],[ФИО]],2)</f>
        <v>7</v>
      </c>
      <c r="N37">
        <f>FIND(" ",Таблица8[[#This Row],[ФИО]],(M37+1))</f>
        <v>16</v>
      </c>
      <c r="O37">
        <f>LEN(Таблица8[[#This Row],[ФИО]])</f>
        <v>26</v>
      </c>
      <c r="Q37" s="60" t="str">
        <f>LEFT(Таблица8[[#This Row],[ФИО]],(M37-1))</f>
        <v>Анжела</v>
      </c>
      <c r="R37" t="s">
        <v>1122</v>
      </c>
      <c r="S37" t="s">
        <v>1426</v>
      </c>
    </row>
    <row r="38" spans="1:19" x14ac:dyDescent="0.25">
      <c r="A38" s="51">
        <v>269</v>
      </c>
      <c r="B38" t="s">
        <v>793</v>
      </c>
      <c r="C38" t="s">
        <v>792</v>
      </c>
      <c r="D38" t="s">
        <v>140</v>
      </c>
      <c r="E38" s="26">
        <v>44720</v>
      </c>
      <c r="F38" t="str">
        <f t="shared" si="0"/>
        <v>+7</v>
      </c>
      <c r="G38" t="str">
        <f>INDEX('коды стран'!$A$2:$A$7, MATCH(F38, 'коды стран'!$B$2:$B$7, 0))</f>
        <v>Россия</v>
      </c>
      <c r="H38" t="s">
        <v>137</v>
      </c>
      <c r="I38" t="str">
        <f>LEFT(Таблица8[[#This Row],[ФИО]],(M38-1))</f>
        <v>Анжела</v>
      </c>
      <c r="J38" t="str">
        <f>MID(Таблица8[[#This Row],[ФИО]],M38,(N38-M38))</f>
        <v xml:space="preserve"> Филипповна</v>
      </c>
      <c r="K38" t="str">
        <f>RIGHT(Таблица8[[#This Row],[ФИО]],(O38-N38))</f>
        <v>Новикова</v>
      </c>
      <c r="M38" s="59">
        <f>FIND(" ",Таблица8[[#This Row],[ФИО]],2)</f>
        <v>7</v>
      </c>
      <c r="N38">
        <f>FIND(" ",Таблица8[[#This Row],[ФИО]],(M38+1))</f>
        <v>18</v>
      </c>
      <c r="O38">
        <f>LEN(Таблица8[[#This Row],[ФИО]])</f>
        <v>26</v>
      </c>
      <c r="Q38" s="59" t="str">
        <f>LEFT(Таблица8[[#This Row],[ФИО]],(M38-1))</f>
        <v>Анжела</v>
      </c>
      <c r="R38" t="s">
        <v>1123</v>
      </c>
      <c r="S38" t="s">
        <v>1427</v>
      </c>
    </row>
    <row r="39" spans="1:19" x14ac:dyDescent="0.25">
      <c r="A39" s="51">
        <v>448</v>
      </c>
      <c r="B39" t="s">
        <v>667</v>
      </c>
      <c r="C39" t="s">
        <v>666</v>
      </c>
      <c r="D39" t="s">
        <v>140</v>
      </c>
      <c r="E39" s="26">
        <v>44770</v>
      </c>
      <c r="F39" t="str">
        <f t="shared" si="0"/>
        <v>+7</v>
      </c>
      <c r="G39" t="str">
        <f>INDEX('коды стран'!$A$2:$A$7, MATCH(F39, 'коды стран'!$B$2:$B$7, 0))</f>
        <v>Россия</v>
      </c>
      <c r="H39" t="s">
        <v>137</v>
      </c>
      <c r="I39" t="str">
        <f>LEFT(Таблица8[[#This Row],[ФИО]],(M39-1))</f>
        <v>Анжелика</v>
      </c>
      <c r="J39" t="str">
        <f>MID(Таблица8[[#This Row],[ФИО]],M39,(N39-M39))</f>
        <v xml:space="preserve"> Валериевна</v>
      </c>
      <c r="K39" t="str">
        <f>RIGHT(Таблица8[[#This Row],[ФИО]],(O39-N39))</f>
        <v>Рожкова</v>
      </c>
      <c r="M39" s="60">
        <f>FIND(" ",Таблица8[[#This Row],[ФИО]],2)</f>
        <v>9</v>
      </c>
      <c r="N39">
        <f>FIND(" ",Таблица8[[#This Row],[ФИО]],(M39+1))</f>
        <v>20</v>
      </c>
      <c r="O39">
        <f>LEN(Таблица8[[#This Row],[ФИО]])</f>
        <v>27</v>
      </c>
      <c r="Q39" s="60" t="str">
        <f>LEFT(Таблица8[[#This Row],[ФИО]],(M39-1))</f>
        <v>Анжелика</v>
      </c>
      <c r="R39" t="s">
        <v>1124</v>
      </c>
      <c r="S39" t="s">
        <v>1428</v>
      </c>
    </row>
    <row r="40" spans="1:19" x14ac:dyDescent="0.25">
      <c r="A40" s="51">
        <v>366</v>
      </c>
      <c r="B40" t="s">
        <v>721</v>
      </c>
      <c r="C40" t="s">
        <v>720</v>
      </c>
      <c r="D40" t="s">
        <v>140</v>
      </c>
      <c r="E40" s="26">
        <v>44827</v>
      </c>
      <c r="F40" t="str">
        <f t="shared" si="0"/>
        <v>+998</v>
      </c>
      <c r="G40" t="str">
        <f>INDEX('коды стран'!$A$2:$A$7, MATCH(F40, 'коды стран'!$B$2:$B$7, 0))</f>
        <v>Узбекистан</v>
      </c>
      <c r="H40" t="s">
        <v>132</v>
      </c>
      <c r="I40" t="str">
        <f>LEFT(Таблица8[[#This Row],[ФИО]],(M40-1))</f>
        <v>Анна</v>
      </c>
      <c r="J40" t="str">
        <f>MID(Таблица8[[#This Row],[ФИО]],M40,(N40-M40))</f>
        <v xml:space="preserve"> Альбертовна</v>
      </c>
      <c r="K40" t="str">
        <f>RIGHT(Таблица8[[#This Row],[ФИО]],(O40-N40))</f>
        <v>Никифорова</v>
      </c>
      <c r="M40" s="59">
        <f>FIND(" ",Таблица8[[#This Row],[ФИО]],2)</f>
        <v>5</v>
      </c>
      <c r="N40">
        <f>FIND(" ",Таблица8[[#This Row],[ФИО]],(M40+1))</f>
        <v>17</v>
      </c>
      <c r="O40">
        <f>LEN(Таблица8[[#This Row],[ФИО]])</f>
        <v>27</v>
      </c>
      <c r="Q40" s="59" t="str">
        <f>LEFT(Таблица8[[#This Row],[ФИО]],(M40-1))</f>
        <v>Анна</v>
      </c>
      <c r="R40" t="s">
        <v>1125</v>
      </c>
      <c r="S40" t="s">
        <v>1424</v>
      </c>
    </row>
    <row r="41" spans="1:19" x14ac:dyDescent="0.25">
      <c r="A41" s="51">
        <v>53</v>
      </c>
      <c r="B41" t="s">
        <v>353</v>
      </c>
      <c r="C41" t="s">
        <v>352</v>
      </c>
      <c r="D41" t="s">
        <v>140</v>
      </c>
      <c r="E41" s="26">
        <v>44593</v>
      </c>
      <c r="F41" t="str">
        <f t="shared" si="0"/>
        <v>+7</v>
      </c>
      <c r="G41" t="str">
        <f>INDEX('коды стран'!$A$2:$A$7, MATCH(F41, 'коды стран'!$B$2:$B$7, 0))</f>
        <v>Россия</v>
      </c>
      <c r="H41" t="s">
        <v>137</v>
      </c>
      <c r="I41" t="str">
        <f>LEFT(Таблица8[[#This Row],[ФИО]],(M41-1))</f>
        <v>Антонина</v>
      </c>
      <c r="J41" t="str">
        <f>MID(Таблица8[[#This Row],[ФИО]],M41,(N41-M41))</f>
        <v xml:space="preserve"> Борисовна</v>
      </c>
      <c r="K41" t="str">
        <f>RIGHT(Таблица8[[#This Row],[ФИО]],(O41-N41))</f>
        <v>Жданова</v>
      </c>
      <c r="M41" s="60">
        <f>FIND(" ",Таблица8[[#This Row],[ФИО]],2)</f>
        <v>9</v>
      </c>
      <c r="N41">
        <f>FIND(" ",Таблица8[[#This Row],[ФИО]],(M41+1))</f>
        <v>19</v>
      </c>
      <c r="O41">
        <f>LEN(Таблица8[[#This Row],[ФИО]])</f>
        <v>26</v>
      </c>
      <c r="Q41" s="60" t="str">
        <f>LEFT(Таблица8[[#This Row],[ФИО]],(M41-1))</f>
        <v>Антонина</v>
      </c>
      <c r="R41" t="s">
        <v>1126</v>
      </c>
      <c r="S41" t="s">
        <v>1429</v>
      </c>
    </row>
    <row r="42" spans="1:19" x14ac:dyDescent="0.25">
      <c r="A42" s="51">
        <v>61</v>
      </c>
      <c r="B42" t="s">
        <v>759</v>
      </c>
      <c r="C42" t="s">
        <v>758</v>
      </c>
      <c r="D42" t="s">
        <v>140</v>
      </c>
      <c r="E42" s="26">
        <v>44769</v>
      </c>
      <c r="F42" t="str">
        <f t="shared" si="0"/>
        <v>+992</v>
      </c>
      <c r="G42" t="str">
        <f>INDEX('коды стран'!$A$2:$A$7, MATCH(F42, 'коды стран'!$B$2:$B$7, 0))</f>
        <v>Таджикистан</v>
      </c>
      <c r="H42" t="s">
        <v>130</v>
      </c>
      <c r="I42" t="str">
        <f>LEFT(Таблица8[[#This Row],[ФИО]],(M42-1))</f>
        <v>Арсений</v>
      </c>
      <c r="J42" t="str">
        <f>MID(Таблица8[[#This Row],[ФИО]],M42,(N42-M42))</f>
        <v xml:space="preserve"> Вилорович</v>
      </c>
      <c r="K42" t="str">
        <f>RIGHT(Таблица8[[#This Row],[ФИО]],(O42-N42))</f>
        <v>Лобанов</v>
      </c>
      <c r="M42" s="59">
        <f>FIND(" ",Таблица8[[#This Row],[ФИО]],2)</f>
        <v>8</v>
      </c>
      <c r="N42">
        <f>FIND(" ",Таблица8[[#This Row],[ФИО]],(M42+1))</f>
        <v>18</v>
      </c>
      <c r="O42">
        <f>LEN(Таблица8[[#This Row],[ФИО]])</f>
        <v>25</v>
      </c>
      <c r="Q42" s="59" t="str">
        <f>LEFT(Таблица8[[#This Row],[ФИО]],(M42-1))</f>
        <v>Арсений</v>
      </c>
      <c r="R42" t="s">
        <v>1127</v>
      </c>
      <c r="S42" t="s">
        <v>1430</v>
      </c>
    </row>
    <row r="43" spans="1:19" x14ac:dyDescent="0.25">
      <c r="A43" s="51">
        <v>219</v>
      </c>
      <c r="B43" t="s">
        <v>453</v>
      </c>
      <c r="C43" t="s">
        <v>452</v>
      </c>
      <c r="D43" t="s">
        <v>143</v>
      </c>
      <c r="E43" s="26">
        <v>44585</v>
      </c>
      <c r="F43" t="str">
        <f t="shared" si="0"/>
        <v>+992</v>
      </c>
      <c r="G43" t="str">
        <f>INDEX('коды стран'!$A$2:$A$7, MATCH(F43, 'коды стран'!$B$2:$B$7, 0))</f>
        <v>Таджикистан</v>
      </c>
      <c r="H43" t="s">
        <v>130</v>
      </c>
      <c r="I43" t="str">
        <f>LEFT(Таблица8[[#This Row],[ФИО]],(M43-1))</f>
        <v>Арсений</v>
      </c>
      <c r="J43" t="str">
        <f>MID(Таблица8[[#This Row],[ФИО]],M43,(N43-M43))</f>
        <v xml:space="preserve"> Ермолаевич</v>
      </c>
      <c r="K43" t="str">
        <f>RIGHT(Таблица8[[#This Row],[ФИО]],(O43-N43))</f>
        <v>Емельянов</v>
      </c>
      <c r="M43" s="60">
        <f>FIND(" ",Таблица8[[#This Row],[ФИО]],2)</f>
        <v>8</v>
      </c>
      <c r="N43">
        <f>FIND(" ",Таблица8[[#This Row],[ФИО]],(M43+1))</f>
        <v>19</v>
      </c>
      <c r="O43">
        <f>LEN(Таблица8[[#This Row],[ФИО]])</f>
        <v>28</v>
      </c>
      <c r="Q43" s="60" t="str">
        <f>LEFT(Таблица8[[#This Row],[ФИО]],(M43-1))</f>
        <v>Арсений</v>
      </c>
      <c r="R43" t="s">
        <v>1128</v>
      </c>
      <c r="S43" t="s">
        <v>1431</v>
      </c>
    </row>
    <row r="44" spans="1:19" x14ac:dyDescent="0.25">
      <c r="A44" s="51">
        <v>314</v>
      </c>
      <c r="B44" t="s">
        <v>465</v>
      </c>
      <c r="C44" t="s">
        <v>464</v>
      </c>
      <c r="D44" t="s">
        <v>140</v>
      </c>
      <c r="E44" s="26">
        <v>44899</v>
      </c>
      <c r="F44" t="str">
        <f t="shared" si="0"/>
        <v>+7</v>
      </c>
      <c r="G44" t="str">
        <f>INDEX('коды стран'!$A$2:$A$7, MATCH(F44, 'коды стран'!$B$2:$B$7, 0))</f>
        <v>Россия</v>
      </c>
      <c r="H44" t="s">
        <v>137</v>
      </c>
      <c r="I44" t="str">
        <f>LEFT(Таблица8[[#This Row],[ФИО]],(M44-1))</f>
        <v>Артемьева</v>
      </c>
      <c r="J44" t="str">
        <f>MID(Таблица8[[#This Row],[ФИО]],M44,(N44-M44))</f>
        <v xml:space="preserve"> София</v>
      </c>
      <c r="K44" t="str">
        <f>RIGHT(Таблица8[[#This Row],[ФИО]],(O44-N44))</f>
        <v>Ильинична</v>
      </c>
      <c r="M44" s="59">
        <f>FIND(" ",Таблица8[[#This Row],[ФИО]],2)</f>
        <v>10</v>
      </c>
      <c r="N44">
        <f>FIND(" ",Таблица8[[#This Row],[ФИО]],(M44+1))</f>
        <v>16</v>
      </c>
      <c r="O44">
        <f>LEN(Таблица8[[#This Row],[ФИО]])</f>
        <v>25</v>
      </c>
      <c r="Q44" s="59" t="str">
        <f>LEFT(Таблица8[[#This Row],[ФИО]],(M44-1))</f>
        <v>Артемьева</v>
      </c>
      <c r="R44" t="s">
        <v>1110</v>
      </c>
      <c r="S44" t="s">
        <v>1432</v>
      </c>
    </row>
    <row r="45" spans="1:19" x14ac:dyDescent="0.25">
      <c r="A45" s="51">
        <v>347</v>
      </c>
      <c r="B45" t="s">
        <v>157</v>
      </c>
      <c r="C45" t="s">
        <v>156</v>
      </c>
      <c r="D45" t="s">
        <v>143</v>
      </c>
      <c r="E45" s="26">
        <v>44588</v>
      </c>
      <c r="F45" t="str">
        <f t="shared" si="0"/>
        <v>+992</v>
      </c>
      <c r="G45" t="str">
        <f>INDEX('коды стран'!$A$2:$A$7, MATCH(F45, 'коды стран'!$B$2:$B$7, 0))</f>
        <v>Таджикистан</v>
      </c>
      <c r="H45" t="s">
        <v>130</v>
      </c>
      <c r="I45" t="str">
        <f>LEFT(Таблица8[[#This Row],[ФИО]],(M45-1))</f>
        <v>Афанасьев</v>
      </c>
      <c r="J45" t="str">
        <f>MID(Таблица8[[#This Row],[ФИО]],M45,(N45-M45))</f>
        <v xml:space="preserve"> Кузьма</v>
      </c>
      <c r="K45" t="str">
        <f>RIGHT(Таблица8[[#This Row],[ФИО]],(O45-N45))</f>
        <v>Исидорович</v>
      </c>
      <c r="M45" s="60">
        <f>FIND(" ",Таблица8[[#This Row],[ФИО]],2)</f>
        <v>10</v>
      </c>
      <c r="N45">
        <f>FIND(" ",Таблица8[[#This Row],[ФИО]],(M45+1))</f>
        <v>17</v>
      </c>
      <c r="O45">
        <f>LEN(Таблица8[[#This Row],[ФИО]])</f>
        <v>27</v>
      </c>
      <c r="Q45" s="60" t="str">
        <f>LEFT(Таблица8[[#This Row],[ФИО]],(M45-1))</f>
        <v>Афанасьев</v>
      </c>
      <c r="R45" t="s">
        <v>1129</v>
      </c>
      <c r="S45" t="s">
        <v>1433</v>
      </c>
    </row>
    <row r="46" spans="1:19" x14ac:dyDescent="0.25">
      <c r="A46" s="51">
        <v>171</v>
      </c>
      <c r="B46" t="s">
        <v>887</v>
      </c>
      <c r="C46" t="s">
        <v>886</v>
      </c>
      <c r="D46" t="s">
        <v>143</v>
      </c>
      <c r="E46" s="26">
        <v>44710</v>
      </c>
      <c r="F46" t="str">
        <f t="shared" si="0"/>
        <v>+7</v>
      </c>
      <c r="G46" t="str">
        <f>INDEX('коды стран'!$A$2:$A$7, MATCH(F46, 'коды стран'!$B$2:$B$7, 0))</f>
        <v>Россия</v>
      </c>
      <c r="H46" t="s">
        <v>137</v>
      </c>
      <c r="I46" t="str">
        <f>LEFT(Таблица8[[#This Row],[ФИО]],(M46-1))</f>
        <v>Бажен</v>
      </c>
      <c r="J46" t="str">
        <f>MID(Таблица8[[#This Row],[ФИО]],M46,(N46-M46))</f>
        <v xml:space="preserve"> Дмитриевич</v>
      </c>
      <c r="K46" t="str">
        <f>RIGHT(Таблица8[[#This Row],[ФИО]],(O46-N46))</f>
        <v>Исаков</v>
      </c>
      <c r="M46" s="59">
        <f>FIND(" ",Таблица8[[#This Row],[ФИО]],2)</f>
        <v>6</v>
      </c>
      <c r="N46">
        <f>FIND(" ",Таблица8[[#This Row],[ФИО]],(M46+1))</f>
        <v>17</v>
      </c>
      <c r="O46">
        <f>LEN(Таблица8[[#This Row],[ФИО]])</f>
        <v>23</v>
      </c>
      <c r="Q46" s="59" t="str">
        <f>LEFT(Таблица8[[#This Row],[ФИО]],(M46-1))</f>
        <v>Бажен</v>
      </c>
      <c r="R46" t="s">
        <v>1130</v>
      </c>
      <c r="S46" t="s">
        <v>1434</v>
      </c>
    </row>
    <row r="47" spans="1:19" x14ac:dyDescent="0.25">
      <c r="A47" s="51">
        <v>265</v>
      </c>
      <c r="B47" t="s">
        <v>541</v>
      </c>
      <c r="C47" t="s">
        <v>540</v>
      </c>
      <c r="D47" t="s">
        <v>140</v>
      </c>
      <c r="E47" s="26">
        <v>44756</v>
      </c>
      <c r="F47" t="str">
        <f t="shared" si="0"/>
        <v>+998</v>
      </c>
      <c r="G47" t="str">
        <f>INDEX('коды стран'!$A$2:$A$7, MATCH(F47, 'коды стран'!$B$2:$B$7, 0))</f>
        <v>Узбекистан</v>
      </c>
      <c r="H47" t="s">
        <v>132</v>
      </c>
      <c r="I47" t="str">
        <f>LEFT(Таблица8[[#This Row],[ФИО]],(M47-1))</f>
        <v>Баранов</v>
      </c>
      <c r="J47" t="str">
        <f>MID(Таблица8[[#This Row],[ФИО]],M47,(N47-M47))</f>
        <v xml:space="preserve"> Эраст</v>
      </c>
      <c r="K47" t="str">
        <f>RIGHT(Таблица8[[#This Row],[ФИО]],(O47-N47))</f>
        <v>Терентьевич</v>
      </c>
      <c r="M47" s="60">
        <f>FIND(" ",Таблица8[[#This Row],[ФИО]],2)</f>
        <v>8</v>
      </c>
      <c r="N47">
        <f>FIND(" ",Таблица8[[#This Row],[ФИО]],(M47+1))</f>
        <v>14</v>
      </c>
      <c r="O47">
        <f>LEN(Таблица8[[#This Row],[ФИО]])</f>
        <v>25</v>
      </c>
      <c r="Q47" s="60" t="str">
        <f>MID(Таблица8[[#This Row],[ФИО]],M47,(N47-M47))</f>
        <v xml:space="preserve"> Эраст</v>
      </c>
      <c r="R47" t="s">
        <v>1146</v>
      </c>
      <c r="S47" t="s">
        <v>1435</v>
      </c>
    </row>
    <row r="48" spans="1:19" x14ac:dyDescent="0.25">
      <c r="A48" s="51">
        <v>7</v>
      </c>
      <c r="B48" t="s">
        <v>269</v>
      </c>
      <c r="C48" t="s">
        <v>268</v>
      </c>
      <c r="D48" t="s">
        <v>143</v>
      </c>
      <c r="E48" s="26">
        <v>44893</v>
      </c>
      <c r="F48" t="str">
        <f t="shared" si="0"/>
        <v>+7</v>
      </c>
      <c r="G48" t="str">
        <f>INDEX('коды стран'!$A$2:$A$7, MATCH(F48, 'коды стран'!$B$2:$B$7, 0))</f>
        <v>Россия</v>
      </c>
      <c r="H48" t="s">
        <v>137</v>
      </c>
      <c r="I48" t="str">
        <f>LEFT(Таблица8[[#This Row],[ФИО]],(M48-1))</f>
        <v>Баранова</v>
      </c>
      <c r="J48" t="str">
        <f>MID(Таблица8[[#This Row],[ФИО]],M48,(N48-M48))</f>
        <v xml:space="preserve"> Раиса</v>
      </c>
      <c r="K48" t="str">
        <f>RIGHT(Таблица8[[#This Row],[ФИО]],(O48-N48))</f>
        <v>Эльдаровна</v>
      </c>
      <c r="M48" s="59">
        <f>FIND(" ",Таблица8[[#This Row],[ФИО]],2)</f>
        <v>9</v>
      </c>
      <c r="N48">
        <f>FIND(" ",Таблица8[[#This Row],[ФИО]],(M48+1))</f>
        <v>15</v>
      </c>
      <c r="O48">
        <f>LEN(Таблица8[[#This Row],[ФИО]])</f>
        <v>25</v>
      </c>
      <c r="Q48" s="59" t="str">
        <f>MID(Таблица8[[#This Row],[ФИО]],M48,(N48-M48))</f>
        <v xml:space="preserve"> Раиса</v>
      </c>
      <c r="R48" t="s">
        <v>1147</v>
      </c>
      <c r="S48" t="s">
        <v>1436</v>
      </c>
    </row>
    <row r="49" spans="1:19" x14ac:dyDescent="0.25">
      <c r="A49" s="51">
        <v>156</v>
      </c>
      <c r="B49" t="s">
        <v>653</v>
      </c>
      <c r="C49" t="s">
        <v>652</v>
      </c>
      <c r="D49" t="s">
        <v>143</v>
      </c>
      <c r="E49" s="26">
        <v>44905</v>
      </c>
      <c r="F49" t="str">
        <f t="shared" si="0"/>
        <v>+380</v>
      </c>
      <c r="G49" t="str">
        <f>INDEX('коды стран'!$A$2:$A$7, MATCH(F49, 'коды стран'!$B$2:$B$7, 0))</f>
        <v>Украина</v>
      </c>
      <c r="H49" t="s">
        <v>128</v>
      </c>
      <c r="I49" t="str">
        <f>LEFT(Таблица8[[#This Row],[ФИО]],(M49-1))</f>
        <v>Белов</v>
      </c>
      <c r="J49" t="str">
        <f>MID(Таблица8[[#This Row],[ФИО]],M49,(N49-M49))</f>
        <v xml:space="preserve"> Симон</v>
      </c>
      <c r="K49" t="str">
        <f>RIGHT(Таблица8[[#This Row],[ФИО]],(O49-N49))</f>
        <v>Иосипович</v>
      </c>
      <c r="M49" s="60">
        <f>FIND(" ",Таблица8[[#This Row],[ФИО]],2)</f>
        <v>6</v>
      </c>
      <c r="N49">
        <f>FIND(" ",Таблица8[[#This Row],[ФИО]],(M49+1))</f>
        <v>12</v>
      </c>
      <c r="O49">
        <f>LEN(Таблица8[[#This Row],[ФИО]])</f>
        <v>21</v>
      </c>
      <c r="Q49" s="60" t="str">
        <f>MID(Таблица8[[#This Row],[ФИО]],M49,(N49-M49))</f>
        <v xml:space="preserve"> Симон</v>
      </c>
      <c r="R49" t="s">
        <v>1148</v>
      </c>
      <c r="S49" t="s">
        <v>1437</v>
      </c>
    </row>
    <row r="50" spans="1:19" x14ac:dyDescent="0.25">
      <c r="A50" s="51">
        <v>16</v>
      </c>
      <c r="B50" t="s">
        <v>791</v>
      </c>
      <c r="C50" t="s">
        <v>790</v>
      </c>
      <c r="D50" t="s">
        <v>140</v>
      </c>
      <c r="E50" s="26">
        <v>44713</v>
      </c>
      <c r="F50" t="str">
        <f t="shared" si="0"/>
        <v>+380</v>
      </c>
      <c r="G50" t="str">
        <f>INDEX('коды стран'!$A$2:$A$7, MATCH(F50, 'коды стран'!$B$2:$B$7, 0))</f>
        <v>Украина</v>
      </c>
      <c r="H50" t="s">
        <v>128</v>
      </c>
      <c r="I50" t="str">
        <f>LEFT(Таблица8[[#This Row],[ФИО]],(M50-1))</f>
        <v>Белозеров</v>
      </c>
      <c r="J50" t="str">
        <f>MID(Таблица8[[#This Row],[ФИО]],M50,(N50-M50))</f>
        <v xml:space="preserve"> Лука</v>
      </c>
      <c r="K50" t="str">
        <f>RIGHT(Таблица8[[#This Row],[ФИО]],(O50-N50))</f>
        <v>Харлампьевич</v>
      </c>
      <c r="M50" s="59">
        <f>FIND(" ",Таблица8[[#This Row],[ФИО]],2)</f>
        <v>10</v>
      </c>
      <c r="N50">
        <f>FIND(" ",Таблица8[[#This Row],[ФИО]],(M50+1))</f>
        <v>15</v>
      </c>
      <c r="O50">
        <f>LEN(Таблица8[[#This Row],[ФИО]])</f>
        <v>27</v>
      </c>
      <c r="Q50" s="59" t="str">
        <f>MID(Таблица8[[#This Row],[ФИО]],M50,(N50-M50))</f>
        <v xml:space="preserve"> Лука</v>
      </c>
      <c r="R50" t="s">
        <v>1149</v>
      </c>
      <c r="S50" t="s">
        <v>1438</v>
      </c>
    </row>
    <row r="51" spans="1:19" x14ac:dyDescent="0.25">
      <c r="A51" s="51">
        <v>95</v>
      </c>
      <c r="B51" t="s">
        <v>149</v>
      </c>
      <c r="C51" t="s">
        <v>148</v>
      </c>
      <c r="D51" t="s">
        <v>140</v>
      </c>
      <c r="E51" s="26">
        <v>44704</v>
      </c>
      <c r="F51" t="str">
        <f t="shared" si="0"/>
        <v>+998</v>
      </c>
      <c r="G51" t="str">
        <f>INDEX('коды стран'!$A$2:$A$7, MATCH(F51, 'коды стран'!$B$2:$B$7, 0))</f>
        <v>Узбекистан</v>
      </c>
      <c r="H51" t="s">
        <v>132</v>
      </c>
      <c r="I51" t="str">
        <f>LEFT(Таблица8[[#This Row],[ФИО]],(M51-1))</f>
        <v>Белоусова</v>
      </c>
      <c r="J51" t="str">
        <f>MID(Таблица8[[#This Row],[ФИО]],M51,(N51-M51))</f>
        <v xml:space="preserve"> Жанна</v>
      </c>
      <c r="K51" t="str">
        <f>RIGHT(Таблица8[[#This Row],[ФИО]],(O51-N51))</f>
        <v>Кузьминична</v>
      </c>
      <c r="M51" s="60">
        <f>FIND(" ",Таблица8[[#This Row],[ФИО]],2)</f>
        <v>10</v>
      </c>
      <c r="N51">
        <f>FIND(" ",Таблица8[[#This Row],[ФИО]],(M51+1))</f>
        <v>16</v>
      </c>
      <c r="O51">
        <f>LEN(Таблица8[[#This Row],[ФИО]])</f>
        <v>27</v>
      </c>
      <c r="Q51" s="60" t="str">
        <f>MID(Таблица8[[#This Row],[ФИО]],M51,(N51-M51))</f>
        <v xml:space="preserve"> Жанна</v>
      </c>
      <c r="R51" t="s">
        <v>1150</v>
      </c>
      <c r="S51" t="s">
        <v>1439</v>
      </c>
    </row>
    <row r="52" spans="1:19" x14ac:dyDescent="0.25">
      <c r="A52" s="51">
        <v>39</v>
      </c>
      <c r="B52" t="s">
        <v>963</v>
      </c>
      <c r="C52" t="s">
        <v>962</v>
      </c>
      <c r="D52" t="s">
        <v>143</v>
      </c>
      <c r="E52" s="26">
        <v>44653</v>
      </c>
      <c r="F52" t="str">
        <f t="shared" si="0"/>
        <v>+375</v>
      </c>
      <c r="G52" t="str">
        <f>INDEX('коды стран'!$A$2:$A$7, MATCH(F52, 'коды стран'!$B$2:$B$7, 0))</f>
        <v>Беларусь</v>
      </c>
      <c r="H52" t="s">
        <v>134</v>
      </c>
      <c r="I52" t="str">
        <f>LEFT(Таблица8[[#This Row],[ФИО]],(M52-1))</f>
        <v>Бирюков</v>
      </c>
      <c r="J52" t="str">
        <f>MID(Таблица8[[#This Row],[ФИО]],M52,(N52-M52))</f>
        <v xml:space="preserve"> Олимпий</v>
      </c>
      <c r="K52" t="str">
        <f>RIGHT(Таблица8[[#This Row],[ФИО]],(O52-N52))</f>
        <v>Иосифович</v>
      </c>
      <c r="M52" s="59">
        <f>FIND(" ",Таблица8[[#This Row],[ФИО]],2)</f>
        <v>8</v>
      </c>
      <c r="N52">
        <f>FIND(" ",Таблица8[[#This Row],[ФИО]],(M52+1))</f>
        <v>16</v>
      </c>
      <c r="O52">
        <f>LEN(Таблица8[[#This Row],[ФИО]])</f>
        <v>25</v>
      </c>
      <c r="Q52" s="59" t="str">
        <f>MID(Таблица8[[#This Row],[ФИО]],M52,(N52-M52))</f>
        <v xml:space="preserve"> Олимпий</v>
      </c>
      <c r="R52" t="s">
        <v>1151</v>
      </c>
      <c r="S52" t="s">
        <v>1440</v>
      </c>
    </row>
    <row r="53" spans="1:19" x14ac:dyDescent="0.25">
      <c r="A53" s="51">
        <v>147</v>
      </c>
      <c r="B53" t="s">
        <v>637</v>
      </c>
      <c r="C53" t="s">
        <v>636</v>
      </c>
      <c r="D53" t="s">
        <v>143</v>
      </c>
      <c r="E53" s="26">
        <v>44827</v>
      </c>
      <c r="F53" t="str">
        <f t="shared" si="0"/>
        <v>+7</v>
      </c>
      <c r="G53" t="str">
        <f>INDEX('коды стран'!$A$2:$A$7, MATCH(F53, 'коды стран'!$B$2:$B$7, 0))</f>
        <v>Россия</v>
      </c>
      <c r="H53" t="s">
        <v>137</v>
      </c>
      <c r="I53" t="str">
        <f>LEFT(Таблица8[[#This Row],[ФИО]],(M53-1))</f>
        <v>Бирюкова</v>
      </c>
      <c r="J53" t="str">
        <f>MID(Таблица8[[#This Row],[ФИО]],M53,(N53-M53))</f>
        <v xml:space="preserve"> Агафья</v>
      </c>
      <c r="K53" t="str">
        <f>RIGHT(Таблица8[[#This Row],[ФИО]],(O53-N53))</f>
        <v>Артемовна</v>
      </c>
      <c r="M53" s="60">
        <f>FIND(" ",Таблица8[[#This Row],[ФИО]],2)</f>
        <v>9</v>
      </c>
      <c r="N53">
        <f>FIND(" ",Таблица8[[#This Row],[ФИО]],(M53+1))</f>
        <v>16</v>
      </c>
      <c r="O53">
        <f>LEN(Таблица8[[#This Row],[ФИО]])</f>
        <v>25</v>
      </c>
      <c r="Q53" s="60" t="str">
        <f>MID(Таблица8[[#This Row],[ФИО]],M53,(N53-M53))</f>
        <v xml:space="preserve"> Агафья</v>
      </c>
      <c r="R53" t="s">
        <v>1152</v>
      </c>
      <c r="S53" t="s">
        <v>1441</v>
      </c>
    </row>
    <row r="54" spans="1:19" x14ac:dyDescent="0.25">
      <c r="A54" s="51">
        <v>321</v>
      </c>
      <c r="B54" t="s">
        <v>801</v>
      </c>
      <c r="C54" t="s">
        <v>800</v>
      </c>
      <c r="D54" t="s">
        <v>140</v>
      </c>
      <c r="E54" s="26">
        <v>44756</v>
      </c>
      <c r="F54" t="str">
        <f t="shared" si="0"/>
        <v>+992</v>
      </c>
      <c r="G54" t="str">
        <f>INDEX('коды стран'!$A$2:$A$7, MATCH(F54, 'коды стран'!$B$2:$B$7, 0))</f>
        <v>Таджикистан</v>
      </c>
      <c r="H54" t="s">
        <v>130</v>
      </c>
      <c r="I54" t="str">
        <f>LEFT(Таблица8[[#This Row],[ФИО]],(M54-1))</f>
        <v>Блинов</v>
      </c>
      <c r="J54" t="str">
        <f>MID(Таблица8[[#This Row],[ФИО]],M54,(N54-M54))</f>
        <v xml:space="preserve"> Натан</v>
      </c>
      <c r="K54" t="str">
        <f>RIGHT(Таблица8[[#This Row],[ФИО]],(O54-N54))</f>
        <v>Всеволодович</v>
      </c>
      <c r="M54" s="59">
        <f>FIND(" ",Таблица8[[#This Row],[ФИО]],2)</f>
        <v>7</v>
      </c>
      <c r="N54">
        <f>FIND(" ",Таблица8[[#This Row],[ФИО]],(M54+1))</f>
        <v>13</v>
      </c>
      <c r="O54">
        <f>LEN(Таблица8[[#This Row],[ФИО]])</f>
        <v>25</v>
      </c>
      <c r="Q54" s="59" t="str">
        <f>MID(Таблица8[[#This Row],[ФИО]],M54,(N54-M54))</f>
        <v xml:space="preserve"> Натан</v>
      </c>
      <c r="R54" t="s">
        <v>1112</v>
      </c>
      <c r="S54" t="s">
        <v>1442</v>
      </c>
    </row>
    <row r="55" spans="1:19" x14ac:dyDescent="0.25">
      <c r="A55" s="51">
        <v>333</v>
      </c>
      <c r="B55" t="s">
        <v>807</v>
      </c>
      <c r="C55" t="s">
        <v>806</v>
      </c>
      <c r="D55" t="s">
        <v>143</v>
      </c>
      <c r="E55" s="26">
        <v>44857</v>
      </c>
      <c r="F55" t="str">
        <f t="shared" si="0"/>
        <v>+7</v>
      </c>
      <c r="G55" t="str">
        <f>INDEX('коды стран'!$A$2:$A$7, MATCH(F55, 'коды стран'!$B$2:$B$7, 0))</f>
        <v>Россия</v>
      </c>
      <c r="H55" t="s">
        <v>137</v>
      </c>
      <c r="I55" t="str">
        <f>LEFT(Таблица8[[#This Row],[ФИО]],(M55-1))</f>
        <v>Бобылев</v>
      </c>
      <c r="J55" t="str">
        <f>MID(Таблица8[[#This Row],[ФИО]],M55,(N55-M55))</f>
        <v xml:space="preserve"> Никодим</v>
      </c>
      <c r="K55" t="str">
        <f>RIGHT(Таблица8[[#This Row],[ФИО]],(O55-N55))</f>
        <v>Виленович</v>
      </c>
      <c r="M55" s="60">
        <f>FIND(" ",Таблица8[[#This Row],[ФИО]],2)</f>
        <v>8</v>
      </c>
      <c r="N55">
        <f>FIND(" ",Таблица8[[#This Row],[ФИО]],(M55+1))</f>
        <v>16</v>
      </c>
      <c r="O55">
        <f>LEN(Таблица8[[#This Row],[ФИО]])</f>
        <v>25</v>
      </c>
      <c r="Q55" s="60" t="str">
        <f>MID(Таблица8[[#This Row],[ФИО]],M55,(N55-M55))</f>
        <v xml:space="preserve"> Никодим</v>
      </c>
      <c r="R55" t="s">
        <v>1153</v>
      </c>
      <c r="S55" t="s">
        <v>1443</v>
      </c>
    </row>
    <row r="56" spans="1:19" x14ac:dyDescent="0.25">
      <c r="A56" s="51">
        <v>36</v>
      </c>
      <c r="B56" t="s">
        <v>243</v>
      </c>
      <c r="C56" t="s">
        <v>242</v>
      </c>
      <c r="D56" t="s">
        <v>140</v>
      </c>
      <c r="E56" s="26">
        <v>44700</v>
      </c>
      <c r="F56" t="str">
        <f t="shared" si="0"/>
        <v>+7</v>
      </c>
      <c r="G56" t="str">
        <f>INDEX('коды стран'!$A$2:$A$7, MATCH(F56, 'коды стран'!$B$2:$B$7, 0))</f>
        <v>Россия</v>
      </c>
      <c r="H56" t="s">
        <v>137</v>
      </c>
      <c r="I56" t="str">
        <f>LEFT(Таблица8[[#This Row],[ФИО]],(M56-1))</f>
        <v>Бобылева</v>
      </c>
      <c r="J56" t="str">
        <f>MID(Таблица8[[#This Row],[ФИО]],M56,(N56-M56))</f>
        <v xml:space="preserve"> Анна</v>
      </c>
      <c r="K56" t="str">
        <f>RIGHT(Таблица8[[#This Row],[ФИО]],(O56-N56))</f>
        <v>Мироновна</v>
      </c>
      <c r="M56" s="59">
        <f>FIND(" ",Таблица8[[#This Row],[ФИО]],2)</f>
        <v>9</v>
      </c>
      <c r="N56">
        <f>FIND(" ",Таблица8[[#This Row],[ФИО]],(M56+1))</f>
        <v>14</v>
      </c>
      <c r="O56">
        <f>LEN(Таблица8[[#This Row],[ФИО]])</f>
        <v>23</v>
      </c>
      <c r="Q56" s="59" t="str">
        <f>MID(Таблица8[[#This Row],[ФИО]],M56,(N56-M56))</f>
        <v xml:space="preserve"> Анна</v>
      </c>
      <c r="R56" t="s">
        <v>1154</v>
      </c>
      <c r="S56" t="s">
        <v>1444</v>
      </c>
    </row>
    <row r="57" spans="1:19" x14ac:dyDescent="0.25">
      <c r="A57" s="51">
        <v>107</v>
      </c>
      <c r="B57" t="s">
        <v>615</v>
      </c>
      <c r="C57" t="s">
        <v>614</v>
      </c>
      <c r="D57" t="s">
        <v>140</v>
      </c>
      <c r="E57" s="26">
        <v>44744</v>
      </c>
      <c r="F57" t="str">
        <f t="shared" si="0"/>
        <v>+992</v>
      </c>
      <c r="G57" t="str">
        <f>INDEX('коды стран'!$A$2:$A$7, MATCH(F57, 'коды стран'!$B$2:$B$7, 0))</f>
        <v>Таджикистан</v>
      </c>
      <c r="H57" t="s">
        <v>130</v>
      </c>
      <c r="I57" t="str">
        <f>LEFT(Таблица8[[#This Row],[ФИО]],(M57-1))</f>
        <v>Большаков</v>
      </c>
      <c r="J57" t="str">
        <f>MID(Таблица8[[#This Row],[ФИО]],M57,(N57-M57))</f>
        <v xml:space="preserve"> Антип</v>
      </c>
      <c r="K57" t="str">
        <f>RIGHT(Таблица8[[#This Row],[ФИО]],(O57-N57))</f>
        <v>Тихонович</v>
      </c>
      <c r="M57" s="60">
        <f>FIND(" ",Таблица8[[#This Row],[ФИО]],2)</f>
        <v>10</v>
      </c>
      <c r="N57">
        <f>FIND(" ",Таблица8[[#This Row],[ФИО]],(M57+1))</f>
        <v>16</v>
      </c>
      <c r="O57">
        <f>LEN(Таблица8[[#This Row],[ФИО]])</f>
        <v>25</v>
      </c>
      <c r="Q57" s="60" t="str">
        <f>MID(Таблица8[[#This Row],[ФИО]],M57,(N57-M57))</f>
        <v xml:space="preserve"> Антип</v>
      </c>
      <c r="R57" t="s">
        <v>1155</v>
      </c>
      <c r="S57" t="s">
        <v>1445</v>
      </c>
    </row>
    <row r="58" spans="1:19" x14ac:dyDescent="0.25">
      <c r="A58" s="51">
        <v>375</v>
      </c>
      <c r="B58" t="s">
        <v>461</v>
      </c>
      <c r="C58" t="s">
        <v>460</v>
      </c>
      <c r="D58" t="s">
        <v>143</v>
      </c>
      <c r="E58" s="26">
        <v>44674</v>
      </c>
      <c r="F58" t="str">
        <f t="shared" si="0"/>
        <v>+7</v>
      </c>
      <c r="G58" t="str">
        <f>INDEX('коды стран'!$A$2:$A$7, MATCH(F58, 'коды стран'!$B$2:$B$7, 0))</f>
        <v>Россия</v>
      </c>
      <c r="H58" t="s">
        <v>137</v>
      </c>
      <c r="I58" t="str">
        <f>LEFT(Таблица8[[#This Row],[ФИО]],(M58-1))</f>
        <v>Боян</v>
      </c>
      <c r="J58" t="str">
        <f>MID(Таблица8[[#This Row],[ФИО]],M58,(N58-M58))</f>
        <v xml:space="preserve"> Дорофеевич</v>
      </c>
      <c r="K58" t="str">
        <f>RIGHT(Таблица8[[#This Row],[ФИО]],(O58-N58))</f>
        <v>Калашников</v>
      </c>
      <c r="M58" s="59">
        <f>FIND(" ",Таблица8[[#This Row],[ФИО]],2)</f>
        <v>5</v>
      </c>
      <c r="N58">
        <f>FIND(" ",Таблица8[[#This Row],[ФИО]],(M58+1))</f>
        <v>16</v>
      </c>
      <c r="O58">
        <f>LEN(Таблица8[[#This Row],[ФИО]])</f>
        <v>26</v>
      </c>
      <c r="Q58" s="59" t="str">
        <f>LEFT(Таблица8[[#This Row],[ФИО]],(M58-1))</f>
        <v>Боян</v>
      </c>
      <c r="R58" t="s">
        <v>1156</v>
      </c>
      <c r="S58" t="s">
        <v>1446</v>
      </c>
    </row>
    <row r="59" spans="1:19" x14ac:dyDescent="0.25">
      <c r="A59" s="51">
        <v>293</v>
      </c>
      <c r="B59" t="s">
        <v>775</v>
      </c>
      <c r="C59" t="s">
        <v>774</v>
      </c>
      <c r="D59" t="s">
        <v>143</v>
      </c>
      <c r="E59" s="26">
        <v>44573</v>
      </c>
      <c r="F59" t="str">
        <f t="shared" si="0"/>
        <v>+375</v>
      </c>
      <c r="G59" t="str">
        <f>INDEX('коды стран'!$A$2:$A$7, MATCH(F59, 'коды стран'!$B$2:$B$7, 0))</f>
        <v>Беларусь</v>
      </c>
      <c r="H59" t="s">
        <v>134</v>
      </c>
      <c r="I59" t="str">
        <f>LEFT(Таблица8[[#This Row],[ФИО]],(M59-1))</f>
        <v>Брагин</v>
      </c>
      <c r="J59" t="str">
        <f>MID(Таблица8[[#This Row],[ФИО]],M59,(N59-M59))</f>
        <v xml:space="preserve"> Любомир</v>
      </c>
      <c r="K59" t="str">
        <f>RIGHT(Таблица8[[#This Row],[ФИО]],(O59-N59))</f>
        <v>Гертрудович</v>
      </c>
      <c r="M59" s="60">
        <f>FIND(" ",Таблица8[[#This Row],[ФИО]],2)</f>
        <v>7</v>
      </c>
      <c r="N59">
        <f>FIND(" ",Таблица8[[#This Row],[ФИО]],(M59+1))</f>
        <v>15</v>
      </c>
      <c r="O59">
        <f>LEN(Таблица8[[#This Row],[ФИО]])</f>
        <v>26</v>
      </c>
      <c r="Q59" s="60" t="str">
        <f>MID(Таблица8[[#This Row],[ФИО]],M59,(N59-M59))</f>
        <v xml:space="preserve"> Любомир</v>
      </c>
      <c r="R59" t="s">
        <v>1092</v>
      </c>
      <c r="S59" t="s">
        <v>1447</v>
      </c>
    </row>
    <row r="60" spans="1:19" x14ac:dyDescent="0.25">
      <c r="A60" s="51">
        <v>316</v>
      </c>
      <c r="B60" t="s">
        <v>663</v>
      </c>
      <c r="C60" t="s">
        <v>662</v>
      </c>
      <c r="D60" t="s">
        <v>143</v>
      </c>
      <c r="E60" s="26">
        <v>44787</v>
      </c>
      <c r="F60" t="str">
        <f t="shared" si="0"/>
        <v>+992</v>
      </c>
      <c r="G60" t="str">
        <f>INDEX('коды стран'!$A$2:$A$7, MATCH(F60, 'коды стран'!$B$2:$B$7, 0))</f>
        <v>Таджикистан</v>
      </c>
      <c r="H60" t="s">
        <v>130</v>
      </c>
      <c r="I60" t="str">
        <f>LEFT(Таблица8[[#This Row],[ФИО]],(M60-1))</f>
        <v>Брагина</v>
      </c>
      <c r="J60" t="str">
        <f>MID(Таблица8[[#This Row],[ФИО]],M60,(N60-M60))</f>
        <v xml:space="preserve"> Полина</v>
      </c>
      <c r="K60" t="str">
        <f>RIGHT(Таблица8[[#This Row],[ФИО]],(O60-N60))</f>
        <v>Евгеньевна</v>
      </c>
      <c r="M60" s="59">
        <f>FIND(" ",Таблица8[[#This Row],[ФИО]],2)</f>
        <v>8</v>
      </c>
      <c r="N60">
        <f>FIND(" ",Таблица8[[#This Row],[ФИО]],(M60+1))</f>
        <v>15</v>
      </c>
      <c r="O60">
        <f>LEN(Таблица8[[#This Row],[ФИО]])</f>
        <v>25</v>
      </c>
      <c r="Q60" s="59" t="str">
        <f>MID(Таблица8[[#This Row],[ФИО]],M60,(N60-M60))</f>
        <v xml:space="preserve"> Полина</v>
      </c>
      <c r="R60" t="s">
        <v>1157</v>
      </c>
      <c r="S60" t="s">
        <v>1448</v>
      </c>
    </row>
    <row r="61" spans="1:19" x14ac:dyDescent="0.25">
      <c r="A61" s="51">
        <v>380</v>
      </c>
      <c r="B61" t="s">
        <v>785</v>
      </c>
      <c r="C61" t="s">
        <v>784</v>
      </c>
      <c r="D61" t="s">
        <v>143</v>
      </c>
      <c r="E61" s="26">
        <v>44563</v>
      </c>
      <c r="F61" t="str">
        <f t="shared" si="0"/>
        <v>+7</v>
      </c>
      <c r="G61" t="str">
        <f>INDEX('коды стран'!$A$2:$A$7, MATCH(F61, 'коды стран'!$B$2:$B$7, 0))</f>
        <v>Россия</v>
      </c>
      <c r="H61" t="s">
        <v>137</v>
      </c>
      <c r="I61" t="str">
        <f>LEFT(Таблица8[[#This Row],[ФИО]],(M61-1))</f>
        <v>Бурова</v>
      </c>
      <c r="J61" t="str">
        <f>MID(Таблица8[[#This Row],[ФИО]],M61,(N61-M61))</f>
        <v xml:space="preserve"> Марфа</v>
      </c>
      <c r="K61" t="str">
        <f>RIGHT(Таблица8[[#This Row],[ФИО]],(O61-N61))</f>
        <v>Игоревна</v>
      </c>
      <c r="M61" s="60">
        <f>FIND(" ",Таблица8[[#This Row],[ФИО]],2)</f>
        <v>7</v>
      </c>
      <c r="N61">
        <f>FIND(" ",Таблица8[[#This Row],[ФИО]],(M61+1))</f>
        <v>13</v>
      </c>
      <c r="O61">
        <f>LEN(Таблица8[[#This Row],[ФИО]])</f>
        <v>21</v>
      </c>
      <c r="Q61" s="60" t="str">
        <f>MID(Таблица8[[#This Row],[ФИО]],M61,(N61-M61))</f>
        <v xml:space="preserve"> Марфа</v>
      </c>
      <c r="R61" t="s">
        <v>1158</v>
      </c>
      <c r="S61" t="s">
        <v>1449</v>
      </c>
    </row>
    <row r="62" spans="1:19" x14ac:dyDescent="0.25">
      <c r="A62" s="51">
        <v>165</v>
      </c>
      <c r="B62" t="s">
        <v>331</v>
      </c>
      <c r="C62" t="s">
        <v>330</v>
      </c>
      <c r="D62" t="s">
        <v>143</v>
      </c>
      <c r="E62" s="26">
        <v>44599</v>
      </c>
      <c r="F62" t="str">
        <f t="shared" si="0"/>
        <v>+992</v>
      </c>
      <c r="G62" t="str">
        <f>INDEX('коды стран'!$A$2:$A$7, MATCH(F62, 'коды стран'!$B$2:$B$7, 0))</f>
        <v>Таджикистан</v>
      </c>
      <c r="H62" t="s">
        <v>130</v>
      </c>
      <c r="I62" t="str">
        <f>LEFT(Таблица8[[#This Row],[ФИО]],(M62-1))</f>
        <v>Вадим</v>
      </c>
      <c r="J62" t="str">
        <f>MID(Таблица8[[#This Row],[ФИО]],M62,(N62-M62))</f>
        <v xml:space="preserve"> Артёмович</v>
      </c>
      <c r="K62" t="str">
        <f>RIGHT(Таблица8[[#This Row],[ФИО]],(O62-N62))</f>
        <v>Анисимов</v>
      </c>
      <c r="M62" s="59">
        <f>FIND(" ",Таблица8[[#This Row],[ФИО]],2)</f>
        <v>6</v>
      </c>
      <c r="N62">
        <f>FIND(" ",Таблица8[[#This Row],[ФИО]],(M62+1))</f>
        <v>16</v>
      </c>
      <c r="O62">
        <f>LEN(Таблица8[[#This Row],[ФИО]])</f>
        <v>24</v>
      </c>
      <c r="Q62" s="59" t="str">
        <f>LEFT(Таблица8[[#This Row],[ФИО]],(M62-1))</f>
        <v>Вадим</v>
      </c>
      <c r="R62" t="s">
        <v>1131</v>
      </c>
      <c r="S62" t="s">
        <v>1450</v>
      </c>
    </row>
    <row r="63" spans="1:19" x14ac:dyDescent="0.25">
      <c r="A63" s="51">
        <v>190</v>
      </c>
      <c r="B63" t="s">
        <v>905</v>
      </c>
      <c r="C63" t="s">
        <v>904</v>
      </c>
      <c r="D63" t="s">
        <v>140</v>
      </c>
      <c r="E63" s="26">
        <v>44689</v>
      </c>
      <c r="F63" t="str">
        <f t="shared" si="0"/>
        <v>+375</v>
      </c>
      <c r="G63" t="str">
        <f>INDEX('коды стран'!$A$2:$A$7, MATCH(F63, 'коды стран'!$B$2:$B$7, 0))</f>
        <v>Беларусь</v>
      </c>
      <c r="H63" t="s">
        <v>134</v>
      </c>
      <c r="I63" t="str">
        <f>LEFT(Таблица8[[#This Row],[ФИО]],(M63-1))</f>
        <v>Валентина</v>
      </c>
      <c r="J63" t="str">
        <f>MID(Таблица8[[#This Row],[ФИО]],M63,(N63-M63))</f>
        <v xml:space="preserve"> Захаровна</v>
      </c>
      <c r="K63" t="str">
        <f>RIGHT(Таблица8[[#This Row],[ФИО]],(O63-N63))</f>
        <v>Боброва</v>
      </c>
      <c r="M63" s="60">
        <f>FIND(" ",Таблица8[[#This Row],[ФИО]],2)</f>
        <v>10</v>
      </c>
      <c r="N63">
        <f>FIND(" ",Таблица8[[#This Row],[ФИО]],(M63+1))</f>
        <v>20</v>
      </c>
      <c r="O63">
        <f>LEN(Таблица8[[#This Row],[ФИО]])</f>
        <v>27</v>
      </c>
      <c r="Q63" s="60" t="str">
        <f>LEFT(Таблица8[[#This Row],[ФИО]],(M63-1))</f>
        <v>Валентина</v>
      </c>
      <c r="R63" t="s">
        <v>1132</v>
      </c>
      <c r="S63" t="s">
        <v>1451</v>
      </c>
    </row>
    <row r="64" spans="1:19" x14ac:dyDescent="0.25">
      <c r="A64" s="51">
        <v>17</v>
      </c>
      <c r="B64" t="s">
        <v>377</v>
      </c>
      <c r="C64" t="s">
        <v>376</v>
      </c>
      <c r="D64" t="s">
        <v>140</v>
      </c>
      <c r="E64" s="26">
        <v>44877</v>
      </c>
      <c r="F64" t="str">
        <f t="shared" si="0"/>
        <v>+992</v>
      </c>
      <c r="G64" t="str">
        <f>INDEX('коды стран'!$A$2:$A$7, MATCH(F64, 'коды стран'!$B$2:$B$7, 0))</f>
        <v>Таджикистан</v>
      </c>
      <c r="H64" t="s">
        <v>130</v>
      </c>
      <c r="I64" t="str">
        <f>LEFT(Таблица8[[#This Row],[ФИО]],(M64-1))</f>
        <v>Валентина</v>
      </c>
      <c r="J64" t="str">
        <f>MID(Таблица8[[#This Row],[ФИО]],M64,(N64-M64))</f>
        <v xml:space="preserve"> Кирилловна</v>
      </c>
      <c r="K64" t="str">
        <f>RIGHT(Таблица8[[#This Row],[ФИО]],(O64-N64))</f>
        <v>Семенова</v>
      </c>
      <c r="M64" s="59">
        <f>FIND(" ",Таблица8[[#This Row],[ФИО]],2)</f>
        <v>10</v>
      </c>
      <c r="N64">
        <f>FIND(" ",Таблица8[[#This Row],[ФИО]],(M64+1))</f>
        <v>21</v>
      </c>
      <c r="O64">
        <f>LEN(Таблица8[[#This Row],[ФИО]])</f>
        <v>29</v>
      </c>
      <c r="Q64" s="59" t="str">
        <f>LEFT(Таблица8[[#This Row],[ФИО]],(M64-1))</f>
        <v>Валентина</v>
      </c>
      <c r="R64" t="s">
        <v>1133</v>
      </c>
      <c r="S64" t="s">
        <v>1452</v>
      </c>
    </row>
    <row r="65" spans="1:19" x14ac:dyDescent="0.25">
      <c r="A65" s="51">
        <v>457</v>
      </c>
      <c r="B65" t="s">
        <v>691</v>
      </c>
      <c r="C65" t="s">
        <v>690</v>
      </c>
      <c r="D65" t="s">
        <v>140</v>
      </c>
      <c r="E65" s="26">
        <v>44595</v>
      </c>
      <c r="F65" t="str">
        <f t="shared" si="0"/>
        <v>+992</v>
      </c>
      <c r="G65" t="str">
        <f>INDEX('коды стран'!$A$2:$A$7, MATCH(F65, 'коды стран'!$B$2:$B$7, 0))</f>
        <v>Таджикистан</v>
      </c>
      <c r="H65" t="s">
        <v>130</v>
      </c>
      <c r="I65" t="str">
        <f>LEFT(Таблица8[[#This Row],[ФИО]],(M65-1))</f>
        <v>Валерия</v>
      </c>
      <c r="J65" t="str">
        <f>MID(Таблица8[[#This Row],[ФИО]],M65,(N65-M65))</f>
        <v xml:space="preserve"> Владимировна</v>
      </c>
      <c r="K65" t="str">
        <f>RIGHT(Таблица8[[#This Row],[ФИО]],(O65-N65))</f>
        <v>Медведева</v>
      </c>
      <c r="M65" s="60">
        <f>FIND(" ",Таблица8[[#This Row],[ФИО]],2)</f>
        <v>8</v>
      </c>
      <c r="N65">
        <f>FIND(" ",Таблица8[[#This Row],[ФИО]],(M65+1))</f>
        <v>21</v>
      </c>
      <c r="O65">
        <f>LEN(Таблица8[[#This Row],[ФИО]])</f>
        <v>30</v>
      </c>
      <c r="Q65" s="60" t="str">
        <f>LEFT(Таблица8[[#This Row],[ФИО]],(M65-1))</f>
        <v>Валерия</v>
      </c>
      <c r="R65" t="s">
        <v>1134</v>
      </c>
      <c r="S65" t="s">
        <v>1453</v>
      </c>
    </row>
    <row r="66" spans="1:19" x14ac:dyDescent="0.25">
      <c r="A66" s="51">
        <v>175</v>
      </c>
      <c r="B66" t="s">
        <v>685</v>
      </c>
      <c r="C66" t="s">
        <v>684</v>
      </c>
      <c r="D66" t="s">
        <v>140</v>
      </c>
      <c r="E66" s="26">
        <v>44565</v>
      </c>
      <c r="F66" t="str">
        <f t="shared" ref="F66:F129" si="1">LEFT(B66,LEN(B66)-13)</f>
        <v>+7</v>
      </c>
      <c r="G66" t="str">
        <f>INDEX('коды стран'!$A$2:$A$7, MATCH(F66, 'коды стран'!$B$2:$B$7, 0))</f>
        <v>Россия</v>
      </c>
      <c r="H66" t="s">
        <v>137</v>
      </c>
      <c r="I66" t="str">
        <f>LEFT(Таблица8[[#This Row],[ФИО]],(M66-1))</f>
        <v>Валерия</v>
      </c>
      <c r="J66" t="str">
        <f>MID(Таблица8[[#This Row],[ФИО]],M66,(N66-M66))</f>
        <v xml:space="preserve"> Семеновна</v>
      </c>
      <c r="K66" t="str">
        <f>RIGHT(Таблица8[[#This Row],[ФИО]],(O66-N66))</f>
        <v>Потапова</v>
      </c>
      <c r="M66" s="59">
        <f>FIND(" ",Таблица8[[#This Row],[ФИО]],2)</f>
        <v>8</v>
      </c>
      <c r="N66">
        <f>FIND(" ",Таблица8[[#This Row],[ФИО]],(M66+1))</f>
        <v>18</v>
      </c>
      <c r="O66">
        <f>LEN(Таблица8[[#This Row],[ФИО]])</f>
        <v>26</v>
      </c>
      <c r="Q66" s="59" t="str">
        <f>LEFT(Таблица8[[#This Row],[ФИО]],(M66-1))</f>
        <v>Валерия</v>
      </c>
      <c r="R66" t="s">
        <v>1135</v>
      </c>
      <c r="S66" t="s">
        <v>1454</v>
      </c>
    </row>
    <row r="67" spans="1:19" x14ac:dyDescent="0.25">
      <c r="A67" s="51">
        <v>497</v>
      </c>
      <c r="B67" t="s">
        <v>555</v>
      </c>
      <c r="C67" t="s">
        <v>554</v>
      </c>
      <c r="D67" t="s">
        <v>140</v>
      </c>
      <c r="E67" s="26">
        <v>44826</v>
      </c>
      <c r="F67" t="str">
        <f t="shared" si="1"/>
        <v>+998</v>
      </c>
      <c r="G67" t="str">
        <f>INDEX('коды стран'!$A$2:$A$7, MATCH(F67, 'коды стран'!$B$2:$B$7, 0))</f>
        <v>Узбекистан</v>
      </c>
      <c r="H67" t="s">
        <v>132</v>
      </c>
      <c r="I67" t="str">
        <f>LEFT(Таблица8[[#This Row],[ФИО]],(M67-1))</f>
        <v>Валерьян</v>
      </c>
      <c r="J67" t="str">
        <f>MID(Таблица8[[#This Row],[ФИО]],M67,(N67-M67))</f>
        <v xml:space="preserve"> Федосеевич</v>
      </c>
      <c r="K67" t="str">
        <f>RIGHT(Таблица8[[#This Row],[ФИО]],(O67-N67))</f>
        <v>Цветков</v>
      </c>
      <c r="M67" s="60">
        <f>FIND(" ",Таблица8[[#This Row],[ФИО]],2)</f>
        <v>9</v>
      </c>
      <c r="N67">
        <f>FIND(" ",Таблица8[[#This Row],[ФИО]],(M67+1))</f>
        <v>20</v>
      </c>
      <c r="O67">
        <f>LEN(Таблица8[[#This Row],[ФИО]])</f>
        <v>27</v>
      </c>
      <c r="Q67" s="60" t="str">
        <f>LEFT(Таблица8[[#This Row],[ФИО]],(M67-1))</f>
        <v>Валерьян</v>
      </c>
      <c r="R67" t="s">
        <v>1136</v>
      </c>
      <c r="S67" t="s">
        <v>1455</v>
      </c>
    </row>
    <row r="68" spans="1:19" x14ac:dyDescent="0.25">
      <c r="A68" s="51">
        <v>258</v>
      </c>
      <c r="B68" t="s">
        <v>743</v>
      </c>
      <c r="C68" t="s">
        <v>742</v>
      </c>
      <c r="D68" t="s">
        <v>143</v>
      </c>
      <c r="E68" s="26">
        <v>44717</v>
      </c>
      <c r="F68" t="str">
        <f t="shared" si="1"/>
        <v>+380</v>
      </c>
      <c r="G68" t="str">
        <f>INDEX('коды стран'!$A$2:$A$7, MATCH(F68, 'коды стран'!$B$2:$B$7, 0))</f>
        <v>Украина</v>
      </c>
      <c r="H68" t="s">
        <v>128</v>
      </c>
      <c r="I68" t="str">
        <f>LEFT(Таблица8[[#This Row],[ФИО]],(M68-1))</f>
        <v>Василиса</v>
      </c>
      <c r="J68" t="str">
        <f>MID(Таблица8[[#This Row],[ФИО]],M68,(N68-M68))</f>
        <v xml:space="preserve"> Леоновна</v>
      </c>
      <c r="K68" t="str">
        <f>RIGHT(Таблица8[[#This Row],[ФИО]],(O68-N68))</f>
        <v>Назарова</v>
      </c>
      <c r="M68" s="59">
        <f>FIND(" ",Таблица8[[#This Row],[ФИО]],2)</f>
        <v>9</v>
      </c>
      <c r="N68">
        <f>FIND(" ",Таблица8[[#This Row],[ФИО]],(M68+1))</f>
        <v>18</v>
      </c>
      <c r="O68">
        <f>LEN(Таблица8[[#This Row],[ФИО]])</f>
        <v>26</v>
      </c>
      <c r="Q68" s="59" t="str">
        <f>LEFT(Таблица8[[#This Row],[ФИО]],(M68-1))</f>
        <v>Василиса</v>
      </c>
      <c r="R68" t="s">
        <v>1137</v>
      </c>
      <c r="S68" t="s">
        <v>1456</v>
      </c>
    </row>
    <row r="69" spans="1:19" x14ac:dyDescent="0.25">
      <c r="A69" s="51">
        <v>325</v>
      </c>
      <c r="B69" t="s">
        <v>739</v>
      </c>
      <c r="C69" t="s">
        <v>738</v>
      </c>
      <c r="D69" t="s">
        <v>140</v>
      </c>
      <c r="E69" s="26">
        <v>44875</v>
      </c>
      <c r="F69" t="str">
        <f t="shared" si="1"/>
        <v>+992</v>
      </c>
      <c r="G69" t="str">
        <f>INDEX('коды стран'!$A$2:$A$7, MATCH(F69, 'коды стран'!$B$2:$B$7, 0))</f>
        <v>Таджикистан</v>
      </c>
      <c r="H69" t="s">
        <v>130</v>
      </c>
      <c r="I69" t="str">
        <f>LEFT(Таблица8[[#This Row],[ФИО]],(M69-1))</f>
        <v>Васильев</v>
      </c>
      <c r="J69" t="str">
        <f>MID(Таблица8[[#This Row],[ФИО]],M69,(N69-M69))</f>
        <v xml:space="preserve"> Милован</v>
      </c>
      <c r="K69" t="str">
        <f>RIGHT(Таблица8[[#This Row],[ФИО]],(O69-N69))</f>
        <v>Георгиевич</v>
      </c>
      <c r="M69" s="60">
        <f>FIND(" ",Таблица8[[#This Row],[ФИО]],2)</f>
        <v>9</v>
      </c>
      <c r="N69">
        <f>FIND(" ",Таблица8[[#This Row],[ФИО]],(M69+1))</f>
        <v>17</v>
      </c>
      <c r="O69">
        <f>LEN(Таблица8[[#This Row],[ФИО]])</f>
        <v>27</v>
      </c>
      <c r="Q69" s="60" t="str">
        <f>MID(Таблица8[[#This Row],[ФИО]],M69,(N69-M69))</f>
        <v xml:space="preserve"> Милован</v>
      </c>
      <c r="R69" t="s">
        <v>1159</v>
      </c>
      <c r="S69" t="s">
        <v>1457</v>
      </c>
    </row>
    <row r="70" spans="1:19" x14ac:dyDescent="0.25">
      <c r="A70" s="51">
        <v>79</v>
      </c>
      <c r="B70" t="s">
        <v>277</v>
      </c>
      <c r="C70" t="s">
        <v>276</v>
      </c>
      <c r="D70" t="s">
        <v>140</v>
      </c>
      <c r="E70" s="26">
        <v>44716</v>
      </c>
      <c r="F70" t="str">
        <f t="shared" si="1"/>
        <v>+992</v>
      </c>
      <c r="G70" t="str">
        <f>INDEX('коды стран'!$A$2:$A$7, MATCH(F70, 'коды стран'!$B$2:$B$7, 0))</f>
        <v>Таджикистан</v>
      </c>
      <c r="H70" t="s">
        <v>130</v>
      </c>
      <c r="I70" t="str">
        <f>LEFT(Таблица8[[#This Row],[ФИО]],(M70-1))</f>
        <v>Васильева</v>
      </c>
      <c r="J70" t="str">
        <f>MID(Таблица8[[#This Row],[ФИО]],M70,(N70-M70))</f>
        <v xml:space="preserve"> Анжелика</v>
      </c>
      <c r="K70" t="str">
        <f>RIGHT(Таблица8[[#This Row],[ФИО]],(O70-N70))</f>
        <v>Наумовна</v>
      </c>
      <c r="M70" s="59">
        <f>FIND(" ",Таблица8[[#This Row],[ФИО]],2)</f>
        <v>10</v>
      </c>
      <c r="N70">
        <f>FIND(" ",Таблица8[[#This Row],[ФИО]],(M70+1))</f>
        <v>19</v>
      </c>
      <c r="O70">
        <f>LEN(Таблица8[[#This Row],[ФИО]])</f>
        <v>27</v>
      </c>
      <c r="Q70" s="59" t="str">
        <f>MID(Таблица8[[#This Row],[ФИО]],M70,(N70-M70))</f>
        <v xml:space="preserve"> Анжелика</v>
      </c>
      <c r="R70" t="s">
        <v>1160</v>
      </c>
      <c r="S70" t="s">
        <v>1458</v>
      </c>
    </row>
    <row r="71" spans="1:19" x14ac:dyDescent="0.25">
      <c r="A71" s="51">
        <v>120</v>
      </c>
      <c r="B71" t="s">
        <v>571</v>
      </c>
      <c r="C71" t="s">
        <v>570</v>
      </c>
      <c r="D71" t="s">
        <v>143</v>
      </c>
      <c r="E71" s="26">
        <v>44691</v>
      </c>
      <c r="F71" t="str">
        <f t="shared" si="1"/>
        <v>+7</v>
      </c>
      <c r="G71" t="str">
        <f>INDEX('коды стран'!$A$2:$A$7, MATCH(F71, 'коды стран'!$B$2:$B$7, 0))</f>
        <v>Россия</v>
      </c>
      <c r="H71" t="s">
        <v>137</v>
      </c>
      <c r="I71" t="str">
        <f>LEFT(Таблица8[[#This Row],[ФИО]],(M71-1))</f>
        <v>Велимир</v>
      </c>
      <c r="J71" t="str">
        <f>MID(Таблица8[[#This Row],[ФИО]],M71,(N71-M71))</f>
        <v xml:space="preserve"> Игоревич</v>
      </c>
      <c r="K71" t="str">
        <f>RIGHT(Таблица8[[#This Row],[ФИО]],(O71-N71))</f>
        <v>Макаров</v>
      </c>
      <c r="M71" s="60">
        <f>FIND(" ",Таблица8[[#This Row],[ФИО]],2)</f>
        <v>8</v>
      </c>
      <c r="N71">
        <f>FIND(" ",Таблица8[[#This Row],[ФИО]],(M71+1))</f>
        <v>17</v>
      </c>
      <c r="O71">
        <f>LEN(Таблица8[[#This Row],[ФИО]])</f>
        <v>24</v>
      </c>
      <c r="Q71" s="60" t="str">
        <f>LEFT(Таблица8[[#This Row],[ФИО]],(M71-1))</f>
        <v>Велимир</v>
      </c>
      <c r="R71" t="s">
        <v>1161</v>
      </c>
      <c r="S71" t="s">
        <v>1459</v>
      </c>
    </row>
    <row r="72" spans="1:19" x14ac:dyDescent="0.25">
      <c r="A72" s="51">
        <v>253</v>
      </c>
      <c r="B72" t="s">
        <v>1007</v>
      </c>
      <c r="C72" t="s">
        <v>1006</v>
      </c>
      <c r="D72" t="s">
        <v>143</v>
      </c>
      <c r="E72" s="26">
        <v>44750</v>
      </c>
      <c r="F72" t="str">
        <f t="shared" si="1"/>
        <v>+375</v>
      </c>
      <c r="G72" t="str">
        <f>INDEX('коды стран'!$A$2:$A$7, MATCH(F72, 'коды стран'!$B$2:$B$7, 0))</f>
        <v>Беларусь</v>
      </c>
      <c r="H72" t="s">
        <v>134</v>
      </c>
      <c r="I72" t="str">
        <f>LEFT(Таблица8[[#This Row],[ФИО]],(M72-1))</f>
        <v>Вера</v>
      </c>
      <c r="J72" t="str">
        <f>MID(Таблица8[[#This Row],[ФИО]],M72,(N72-M72))</f>
        <v xml:space="preserve"> Георгиевна</v>
      </c>
      <c r="K72" t="str">
        <f>RIGHT(Таблица8[[#This Row],[ФИО]],(O72-N72))</f>
        <v>Некрасова</v>
      </c>
      <c r="M72" s="59">
        <f>FIND(" ",Таблица8[[#This Row],[ФИО]],2)</f>
        <v>5</v>
      </c>
      <c r="N72">
        <f>FIND(" ",Таблица8[[#This Row],[ФИО]],(M72+1))</f>
        <v>16</v>
      </c>
      <c r="O72">
        <f>LEN(Таблица8[[#This Row],[ФИО]])</f>
        <v>25</v>
      </c>
      <c r="Q72" s="59" t="str">
        <f>LEFT(Таблица8[[#This Row],[ФИО]],(M72-1))</f>
        <v>Вера</v>
      </c>
      <c r="R72" t="s">
        <v>1162</v>
      </c>
      <c r="S72" t="s">
        <v>1460</v>
      </c>
    </row>
    <row r="73" spans="1:19" x14ac:dyDescent="0.25">
      <c r="A73" s="51">
        <v>391</v>
      </c>
      <c r="B73" t="s">
        <v>539</v>
      </c>
      <c r="C73" t="s">
        <v>538</v>
      </c>
      <c r="D73" t="s">
        <v>143</v>
      </c>
      <c r="E73" s="26">
        <v>44675</v>
      </c>
      <c r="F73" t="str">
        <f t="shared" si="1"/>
        <v>+992</v>
      </c>
      <c r="G73" t="str">
        <f>INDEX('коды стран'!$A$2:$A$7, MATCH(F73, 'коды стран'!$B$2:$B$7, 0))</f>
        <v>Таджикистан</v>
      </c>
      <c r="H73" t="s">
        <v>130</v>
      </c>
      <c r="I73" t="str">
        <f>LEFT(Таблица8[[#This Row],[ФИО]],(M73-1))</f>
        <v>Вероника</v>
      </c>
      <c r="J73" t="str">
        <f>MID(Таблица8[[#This Row],[ФИО]],M73,(N73-M73))</f>
        <v xml:space="preserve"> Геннадьевна</v>
      </c>
      <c r="K73" t="str">
        <f>RIGHT(Таблица8[[#This Row],[ФИО]],(O73-N73))</f>
        <v>Воронова</v>
      </c>
      <c r="M73" s="60">
        <f>FIND(" ",Таблица8[[#This Row],[ФИО]],2)</f>
        <v>9</v>
      </c>
      <c r="N73">
        <f>FIND(" ",Таблица8[[#This Row],[ФИО]],(M73+1))</f>
        <v>21</v>
      </c>
      <c r="O73">
        <f>LEN(Таблица8[[#This Row],[ФИО]])</f>
        <v>29</v>
      </c>
      <c r="Q73" s="60" t="str">
        <f>LEFT(Таблица8[[#This Row],[ФИО]],(M73-1))</f>
        <v>Вероника</v>
      </c>
      <c r="R73" t="s">
        <v>1163</v>
      </c>
      <c r="S73" t="s">
        <v>1406</v>
      </c>
    </row>
    <row r="74" spans="1:19" x14ac:dyDescent="0.25">
      <c r="A74" s="51">
        <v>223</v>
      </c>
      <c r="B74" t="s">
        <v>975</v>
      </c>
      <c r="C74" t="s">
        <v>974</v>
      </c>
      <c r="D74" t="s">
        <v>143</v>
      </c>
      <c r="E74" s="26">
        <v>44893</v>
      </c>
      <c r="F74" t="str">
        <f t="shared" si="1"/>
        <v>+380</v>
      </c>
      <c r="G74" t="str">
        <f>INDEX('коды стран'!$A$2:$A$7, MATCH(F74, 'коды стран'!$B$2:$B$7, 0))</f>
        <v>Украина</v>
      </c>
      <c r="H74" t="s">
        <v>128</v>
      </c>
      <c r="I74" t="str">
        <f>LEFT(Таблица8[[#This Row],[ФИО]],(M74-1))</f>
        <v>Вероника</v>
      </c>
      <c r="J74" t="str">
        <f>MID(Таблица8[[#This Row],[ФИО]],M74,(N74-M74))</f>
        <v xml:space="preserve"> Евгеньевна</v>
      </c>
      <c r="K74" t="str">
        <f>RIGHT(Таблица8[[#This Row],[ФИО]],(O74-N74))</f>
        <v>Федосеева</v>
      </c>
      <c r="M74" s="59">
        <f>FIND(" ",Таблица8[[#This Row],[ФИО]],2)</f>
        <v>9</v>
      </c>
      <c r="N74">
        <f>FIND(" ",Таблица8[[#This Row],[ФИО]],(M74+1))</f>
        <v>20</v>
      </c>
      <c r="O74">
        <f>LEN(Таблица8[[#This Row],[ФИО]])</f>
        <v>29</v>
      </c>
      <c r="Q74" s="59" t="str">
        <f>LEFT(Таблица8[[#This Row],[ФИО]],(M74-1))</f>
        <v>Вероника</v>
      </c>
      <c r="R74" t="s">
        <v>1139</v>
      </c>
      <c r="S74" t="s">
        <v>1461</v>
      </c>
    </row>
    <row r="75" spans="1:19" x14ac:dyDescent="0.25">
      <c r="A75" s="51">
        <v>463</v>
      </c>
      <c r="B75" t="s">
        <v>585</v>
      </c>
      <c r="C75" t="s">
        <v>584</v>
      </c>
      <c r="D75" t="s">
        <v>140</v>
      </c>
      <c r="E75" s="26">
        <v>44869</v>
      </c>
      <c r="F75" t="str">
        <f t="shared" si="1"/>
        <v>+380</v>
      </c>
      <c r="G75" t="str">
        <f>INDEX('коды стран'!$A$2:$A$7, MATCH(F75, 'коды стран'!$B$2:$B$7, 0))</f>
        <v>Украина</v>
      </c>
      <c r="H75" t="s">
        <v>128</v>
      </c>
      <c r="I75" t="str">
        <f>LEFT(Таблица8[[#This Row],[ФИО]],(M75-1))</f>
        <v>Вероника</v>
      </c>
      <c r="J75" t="str">
        <f>MID(Таблица8[[#This Row],[ФИО]],M75,(N75-M75))</f>
        <v xml:space="preserve"> Руслановна</v>
      </c>
      <c r="K75" t="str">
        <f>RIGHT(Таблица8[[#This Row],[ФИО]],(O75-N75))</f>
        <v>Ефремова</v>
      </c>
      <c r="M75" s="60">
        <f>FIND(" ",Таблица8[[#This Row],[ФИО]],2)</f>
        <v>9</v>
      </c>
      <c r="N75">
        <f>FIND(" ",Таблица8[[#This Row],[ФИО]],(M75+1))</f>
        <v>20</v>
      </c>
      <c r="O75">
        <f>LEN(Таблица8[[#This Row],[ФИО]])</f>
        <v>28</v>
      </c>
      <c r="Q75" s="60" t="str">
        <f>LEFT(Таблица8[[#This Row],[ФИО]],(M75-1))</f>
        <v>Вероника</v>
      </c>
      <c r="R75" t="s">
        <v>1164</v>
      </c>
      <c r="S75" t="s">
        <v>1462</v>
      </c>
    </row>
    <row r="76" spans="1:19" x14ac:dyDescent="0.25">
      <c r="A76" s="51">
        <v>152</v>
      </c>
      <c r="B76" t="s">
        <v>471</v>
      </c>
      <c r="C76" t="s">
        <v>470</v>
      </c>
      <c r="D76" t="s">
        <v>140</v>
      </c>
      <c r="E76" s="26">
        <v>44791</v>
      </c>
      <c r="F76" t="str">
        <f t="shared" si="1"/>
        <v>+375</v>
      </c>
      <c r="G76" t="str">
        <f>INDEX('коды стран'!$A$2:$A$7, MATCH(F76, 'коды стран'!$B$2:$B$7, 0))</f>
        <v>Беларусь</v>
      </c>
      <c r="H76" t="s">
        <v>134</v>
      </c>
      <c r="I76" t="str">
        <f>LEFT(Таблица8[[#This Row],[ФИО]],(M76-1))</f>
        <v>Вероника</v>
      </c>
      <c r="J76" t="str">
        <f>MID(Таблица8[[#This Row],[ФИО]],M76,(N76-M76))</f>
        <v xml:space="preserve"> Сергеевна</v>
      </c>
      <c r="K76" t="str">
        <f>RIGHT(Таблица8[[#This Row],[ФИО]],(O76-N76))</f>
        <v>Блинова</v>
      </c>
      <c r="M76" s="59">
        <f>FIND(" ",Таблица8[[#This Row],[ФИО]],2)</f>
        <v>9</v>
      </c>
      <c r="N76">
        <f>FIND(" ",Таблица8[[#This Row],[ФИО]],(M76+1))</f>
        <v>19</v>
      </c>
      <c r="O76">
        <f>LEN(Таблица8[[#This Row],[ФИО]])</f>
        <v>26</v>
      </c>
      <c r="Q76" s="59" t="str">
        <f>LEFT(Таблица8[[#This Row],[ФИО]],(M76-1))</f>
        <v>Вероника</v>
      </c>
      <c r="R76" t="s">
        <v>1165</v>
      </c>
      <c r="S76" t="s">
        <v>1463</v>
      </c>
    </row>
    <row r="77" spans="1:19" x14ac:dyDescent="0.25">
      <c r="A77" s="51">
        <v>130</v>
      </c>
      <c r="B77" t="s">
        <v>851</v>
      </c>
      <c r="C77" t="s">
        <v>850</v>
      </c>
      <c r="D77" t="s">
        <v>140</v>
      </c>
      <c r="E77" s="26">
        <v>44863</v>
      </c>
      <c r="F77" t="str">
        <f t="shared" si="1"/>
        <v>+992</v>
      </c>
      <c r="G77" t="str">
        <f>INDEX('коды стран'!$A$2:$A$7, MATCH(F77, 'коды стран'!$B$2:$B$7, 0))</f>
        <v>Таджикистан</v>
      </c>
      <c r="H77" t="s">
        <v>130</v>
      </c>
      <c r="I77" t="str">
        <f>LEFT(Таблица8[[#This Row],[ФИО]],(M77-1))</f>
        <v>Виктор</v>
      </c>
      <c r="J77" t="str">
        <f>MID(Таблица8[[#This Row],[ФИО]],M77,(N77-M77))</f>
        <v xml:space="preserve"> Жанович</v>
      </c>
      <c r="K77" t="str">
        <f>RIGHT(Таблица8[[#This Row],[ФИО]],(O77-N77))</f>
        <v>Никифоров</v>
      </c>
      <c r="M77" s="60">
        <f>FIND(" ",Таблица8[[#This Row],[ФИО]],2)</f>
        <v>7</v>
      </c>
      <c r="N77">
        <f>FIND(" ",Таблица8[[#This Row],[ФИО]],(M77+1))</f>
        <v>15</v>
      </c>
      <c r="O77">
        <f>LEN(Таблица8[[#This Row],[ФИО]])</f>
        <v>24</v>
      </c>
      <c r="Q77" s="60" t="str">
        <f>LEFT(Таблица8[[#This Row],[ФИО]],(M77-1))</f>
        <v>Виктор</v>
      </c>
      <c r="R77" t="s">
        <v>1166</v>
      </c>
      <c r="S77" t="s">
        <v>1464</v>
      </c>
    </row>
    <row r="78" spans="1:19" x14ac:dyDescent="0.25">
      <c r="A78" s="51">
        <v>423</v>
      </c>
      <c r="B78" t="s">
        <v>843</v>
      </c>
      <c r="C78" t="s">
        <v>842</v>
      </c>
      <c r="D78" t="s">
        <v>140</v>
      </c>
      <c r="E78" s="26">
        <v>44841</v>
      </c>
      <c r="F78" t="str">
        <f t="shared" si="1"/>
        <v>+375</v>
      </c>
      <c r="G78" t="str">
        <f>INDEX('коды стран'!$A$2:$A$7, MATCH(F78, 'коды стран'!$B$2:$B$7, 0))</f>
        <v>Беларусь</v>
      </c>
      <c r="H78" t="s">
        <v>134</v>
      </c>
      <c r="I78" t="str">
        <f>LEFT(Таблица8[[#This Row],[ФИО]],(M78-1))</f>
        <v>Виктор</v>
      </c>
      <c r="J78" t="str">
        <f>MID(Таблица8[[#This Row],[ФИО]],M78,(N78-M78))</f>
        <v xml:space="preserve"> Марсович</v>
      </c>
      <c r="K78" t="str">
        <f>RIGHT(Таблица8[[#This Row],[ФИО]],(O78-N78))</f>
        <v>Игнатов</v>
      </c>
      <c r="M78" s="59">
        <f>FIND(" ",Таблица8[[#This Row],[ФИО]],2)</f>
        <v>7</v>
      </c>
      <c r="N78">
        <f>FIND(" ",Таблица8[[#This Row],[ФИО]],(M78+1))</f>
        <v>16</v>
      </c>
      <c r="O78">
        <f>LEN(Таблица8[[#This Row],[ФИО]])</f>
        <v>23</v>
      </c>
      <c r="Q78" s="59" t="str">
        <f>LEFT(Таблица8[[#This Row],[ФИО]],(M78-1))</f>
        <v>Виктор</v>
      </c>
      <c r="R78" t="s">
        <v>1167</v>
      </c>
      <c r="S78" t="s">
        <v>1465</v>
      </c>
    </row>
    <row r="79" spans="1:19" x14ac:dyDescent="0.25">
      <c r="A79" s="51">
        <v>163</v>
      </c>
      <c r="B79" t="s">
        <v>309</v>
      </c>
      <c r="C79" t="s">
        <v>308</v>
      </c>
      <c r="D79" t="s">
        <v>143</v>
      </c>
      <c r="E79" s="26">
        <v>44571</v>
      </c>
      <c r="F79" t="str">
        <f t="shared" si="1"/>
        <v>+998</v>
      </c>
      <c r="G79" t="str">
        <f>INDEX('коды стран'!$A$2:$A$7, MATCH(F79, 'коды стран'!$B$2:$B$7, 0))</f>
        <v>Узбекистан</v>
      </c>
      <c r="H79" t="s">
        <v>132</v>
      </c>
      <c r="I79" t="str">
        <f>LEFT(Таблица8[[#This Row],[ФИО]],(M79-1))</f>
        <v>Виктория</v>
      </c>
      <c r="J79" t="str">
        <f>MID(Таблица8[[#This Row],[ФИО]],M79,(N79-M79))</f>
        <v xml:space="preserve"> Ильинична</v>
      </c>
      <c r="K79" t="str">
        <f>RIGHT(Таблица8[[#This Row],[ФИО]],(O79-N79))</f>
        <v>Соколова</v>
      </c>
      <c r="M79" s="60">
        <f>FIND(" ",Таблица8[[#This Row],[ФИО]],2)</f>
        <v>9</v>
      </c>
      <c r="N79">
        <f>FIND(" ",Таблица8[[#This Row],[ФИО]],(M79+1))</f>
        <v>19</v>
      </c>
      <c r="O79">
        <f>LEN(Таблица8[[#This Row],[ФИО]])</f>
        <v>27</v>
      </c>
      <c r="Q79" s="60" t="str">
        <f>LEFT(Таблица8[[#This Row],[ФИО]],(M79-1))</f>
        <v>Виктория</v>
      </c>
      <c r="R79" t="s">
        <v>1168</v>
      </c>
      <c r="S79" t="s">
        <v>1466</v>
      </c>
    </row>
    <row r="80" spans="1:19" x14ac:dyDescent="0.25">
      <c r="A80" s="51">
        <v>377</v>
      </c>
      <c r="B80" t="s">
        <v>665</v>
      </c>
      <c r="C80" t="s">
        <v>664</v>
      </c>
      <c r="D80" t="s">
        <v>140</v>
      </c>
      <c r="E80" s="26">
        <v>44794</v>
      </c>
      <c r="F80" t="str">
        <f t="shared" si="1"/>
        <v>+998</v>
      </c>
      <c r="G80" t="str">
        <f>INDEX('коды стран'!$A$2:$A$7, MATCH(F80, 'коды стран'!$B$2:$B$7, 0))</f>
        <v>Узбекистан</v>
      </c>
      <c r="H80" t="s">
        <v>132</v>
      </c>
      <c r="I80" t="str">
        <f>LEFT(Таблица8[[#This Row],[ФИО]],(M80-1))</f>
        <v>Виктория</v>
      </c>
      <c r="J80" t="str">
        <f>MID(Таблица8[[#This Row],[ФИО]],M80,(N80-M80))</f>
        <v xml:space="preserve"> Наумовна</v>
      </c>
      <c r="K80" t="str">
        <f>RIGHT(Таблица8[[#This Row],[ФИО]],(O80-N80))</f>
        <v>Никитина</v>
      </c>
      <c r="M80" s="59">
        <f>FIND(" ",Таблица8[[#This Row],[ФИО]],2)</f>
        <v>9</v>
      </c>
      <c r="N80">
        <f>FIND(" ",Таблица8[[#This Row],[ФИО]],(M80+1))</f>
        <v>18</v>
      </c>
      <c r="O80">
        <f>LEN(Таблица8[[#This Row],[ФИО]])</f>
        <v>26</v>
      </c>
      <c r="Q80" s="59" t="str">
        <f>LEFT(Таблица8[[#This Row],[ФИО]],(M80-1))</f>
        <v>Виктория</v>
      </c>
      <c r="R80" t="s">
        <v>1169</v>
      </c>
      <c r="S80" t="s">
        <v>1467</v>
      </c>
    </row>
    <row r="81" spans="1:19" x14ac:dyDescent="0.25">
      <c r="A81" s="51">
        <v>422</v>
      </c>
      <c r="B81" t="s">
        <v>959</v>
      </c>
      <c r="C81" t="s">
        <v>958</v>
      </c>
      <c r="D81" t="s">
        <v>140</v>
      </c>
      <c r="E81" s="26">
        <v>44784</v>
      </c>
      <c r="F81" t="str">
        <f t="shared" si="1"/>
        <v>+380</v>
      </c>
      <c r="G81" t="str">
        <f>INDEX('коды стран'!$A$2:$A$7, MATCH(F81, 'коды стран'!$B$2:$B$7, 0))</f>
        <v>Украина</v>
      </c>
      <c r="H81" t="s">
        <v>128</v>
      </c>
      <c r="I81" t="str">
        <f>LEFT(Таблица8[[#This Row],[ФИО]],(M81-1))</f>
        <v>Виноградов</v>
      </c>
      <c r="J81" t="str">
        <f>MID(Таблица8[[#This Row],[ФИО]],M81,(N81-M81))</f>
        <v xml:space="preserve"> Карл</v>
      </c>
      <c r="K81" t="str">
        <f>RIGHT(Таблица8[[#This Row],[ФИО]],(O81-N81))</f>
        <v>Алексеевич</v>
      </c>
      <c r="M81" s="60">
        <f>FIND(" ",Таблица8[[#This Row],[ФИО]],2)</f>
        <v>11</v>
      </c>
      <c r="N81">
        <f>FIND(" ",Таблица8[[#This Row],[ФИО]],(M81+1))</f>
        <v>16</v>
      </c>
      <c r="O81">
        <f>LEN(Таблица8[[#This Row],[ФИО]])</f>
        <v>26</v>
      </c>
      <c r="Q81" s="60" t="str">
        <f>MID(Таблица8[[#This Row],[ФИО]],M81,(N81-M81))</f>
        <v xml:space="preserve"> Карл</v>
      </c>
      <c r="R81" t="s">
        <v>1170</v>
      </c>
      <c r="S81" t="s">
        <v>1468</v>
      </c>
    </row>
    <row r="82" spans="1:19" x14ac:dyDescent="0.25">
      <c r="A82" s="51">
        <v>496</v>
      </c>
      <c r="B82" t="s">
        <v>755</v>
      </c>
      <c r="C82" t="s">
        <v>754</v>
      </c>
      <c r="D82" t="s">
        <v>143</v>
      </c>
      <c r="E82" s="26">
        <v>44867</v>
      </c>
      <c r="F82" t="str">
        <f t="shared" si="1"/>
        <v>+380</v>
      </c>
      <c r="G82" t="str">
        <f>INDEX('коды стран'!$A$2:$A$7, MATCH(F82, 'коды стран'!$B$2:$B$7, 0))</f>
        <v>Украина</v>
      </c>
      <c r="H82" t="s">
        <v>128</v>
      </c>
      <c r="I82" t="str">
        <f>LEFT(Таблица8[[#This Row],[ФИО]],(M82-1))</f>
        <v>Вишняков</v>
      </c>
      <c r="J82" t="str">
        <f>MID(Таблица8[[#This Row],[ФИО]],M82,(N82-M82))</f>
        <v xml:space="preserve"> Фома</v>
      </c>
      <c r="K82" t="str">
        <f>RIGHT(Таблица8[[#This Row],[ФИО]],(O82-N82))</f>
        <v>Викентьевич</v>
      </c>
      <c r="M82" s="59">
        <f>FIND(" ",Таблица8[[#This Row],[ФИО]],2)</f>
        <v>9</v>
      </c>
      <c r="N82">
        <f>FIND(" ",Таблица8[[#This Row],[ФИО]],(M82+1))</f>
        <v>14</v>
      </c>
      <c r="O82">
        <f>LEN(Таблица8[[#This Row],[ФИО]])</f>
        <v>25</v>
      </c>
      <c r="Q82" s="59" t="str">
        <f>MID(Таблица8[[#This Row],[ФИО]],M82,(N82-M82))</f>
        <v xml:space="preserve"> Фома</v>
      </c>
      <c r="R82" t="s">
        <v>1171</v>
      </c>
      <c r="S82" t="s">
        <v>1469</v>
      </c>
    </row>
    <row r="83" spans="1:19" x14ac:dyDescent="0.25">
      <c r="A83" s="51">
        <v>29</v>
      </c>
      <c r="B83" t="s">
        <v>559</v>
      </c>
      <c r="C83" t="s">
        <v>558</v>
      </c>
      <c r="D83" t="s">
        <v>143</v>
      </c>
      <c r="E83" s="26">
        <v>44704</v>
      </c>
      <c r="F83" t="str">
        <f t="shared" si="1"/>
        <v>+7</v>
      </c>
      <c r="G83" t="str">
        <f>INDEX('коды стран'!$A$2:$A$7, MATCH(F83, 'коды стран'!$B$2:$B$7, 0))</f>
        <v>Россия</v>
      </c>
      <c r="H83" t="s">
        <v>137</v>
      </c>
      <c r="I83" t="str">
        <f>LEFT(Таблица8[[#This Row],[ФИО]],(M83-1))</f>
        <v>Вишняков</v>
      </c>
      <c r="J83" t="str">
        <f>MID(Таблица8[[#This Row],[ФИО]],M83,(N83-M83))</f>
        <v xml:space="preserve"> Ярослав</v>
      </c>
      <c r="K83" t="str">
        <f>RIGHT(Таблица8[[#This Row],[ФИО]],(O83-N83))</f>
        <v>Анатольевич</v>
      </c>
      <c r="M83" s="60">
        <f>FIND(" ",Таблица8[[#This Row],[ФИО]],2)</f>
        <v>9</v>
      </c>
      <c r="N83">
        <f>FIND(" ",Таблица8[[#This Row],[ФИО]],(M83+1))</f>
        <v>17</v>
      </c>
      <c r="O83">
        <f>LEN(Таблица8[[#This Row],[ФИО]])</f>
        <v>28</v>
      </c>
      <c r="Q83" s="60" t="str">
        <f>MID(Таблица8[[#This Row],[ФИО]],M83,(N83-M83))</f>
        <v xml:space="preserve"> Ярослав</v>
      </c>
      <c r="R83" t="s">
        <v>1171</v>
      </c>
      <c r="S83" t="s">
        <v>1470</v>
      </c>
    </row>
    <row r="84" spans="1:19" x14ac:dyDescent="0.25">
      <c r="A84" s="51">
        <v>462</v>
      </c>
      <c r="B84" t="s">
        <v>865</v>
      </c>
      <c r="C84" t="s">
        <v>864</v>
      </c>
      <c r="D84" t="s">
        <v>143</v>
      </c>
      <c r="E84" s="26">
        <v>44751</v>
      </c>
      <c r="F84" t="str">
        <f t="shared" si="1"/>
        <v>+7</v>
      </c>
      <c r="G84" t="str">
        <f>INDEX('коды стран'!$A$2:$A$7, MATCH(F84, 'коды стран'!$B$2:$B$7, 0))</f>
        <v>Россия</v>
      </c>
      <c r="H84" t="s">
        <v>137</v>
      </c>
      <c r="I84" t="str">
        <f>LEFT(Таблица8[[#This Row],[ФИО]],(M84-1))</f>
        <v>Владилен</v>
      </c>
      <c r="J84" t="str">
        <f>MID(Таблица8[[#This Row],[ФИО]],M84,(N84-M84))</f>
        <v xml:space="preserve"> Иосифович</v>
      </c>
      <c r="K84" t="str">
        <f>RIGHT(Таблица8[[#This Row],[ФИО]],(O84-N84))</f>
        <v>Третьяков</v>
      </c>
      <c r="M84" s="59">
        <f>FIND(" ",Таблица8[[#This Row],[ФИО]],2)</f>
        <v>9</v>
      </c>
      <c r="N84">
        <f>FIND(" ",Таблица8[[#This Row],[ФИО]],(M84+1))</f>
        <v>19</v>
      </c>
      <c r="O84">
        <f>LEN(Таблица8[[#This Row],[ФИО]])</f>
        <v>28</v>
      </c>
      <c r="Q84" s="59" t="str">
        <f>LEFT(Таблица8[[#This Row],[ФИО]],(M84-1))</f>
        <v>Владилен</v>
      </c>
      <c r="R84" t="s">
        <v>1172</v>
      </c>
      <c r="S84" t="s">
        <v>1471</v>
      </c>
    </row>
    <row r="85" spans="1:19" x14ac:dyDescent="0.25">
      <c r="A85" s="51">
        <v>141</v>
      </c>
      <c r="B85" t="s">
        <v>399</v>
      </c>
      <c r="C85" t="s">
        <v>398</v>
      </c>
      <c r="D85" t="s">
        <v>143</v>
      </c>
      <c r="E85" s="26">
        <v>44743</v>
      </c>
      <c r="F85" t="str">
        <f t="shared" si="1"/>
        <v>+7</v>
      </c>
      <c r="G85" t="str">
        <f>INDEX('коды стран'!$A$2:$A$7, MATCH(F85, 'коды стран'!$B$2:$B$7, 0))</f>
        <v>Россия</v>
      </c>
      <c r="H85" t="s">
        <v>137</v>
      </c>
      <c r="I85" t="str">
        <f>LEFT(Таблица8[[#This Row],[ФИО]],(M85-1))</f>
        <v>Владимиров</v>
      </c>
      <c r="J85" t="str">
        <f>MID(Таблица8[[#This Row],[ФИО]],M85,(N85-M85))</f>
        <v xml:space="preserve"> Орест</v>
      </c>
      <c r="K85" t="str">
        <f>RIGHT(Таблица8[[#This Row],[ФИО]],(O85-N85))</f>
        <v>Артемьевич</v>
      </c>
      <c r="M85" s="60">
        <f>FIND(" ",Таблица8[[#This Row],[ФИО]],2)</f>
        <v>11</v>
      </c>
      <c r="N85">
        <f>FIND(" ",Таблица8[[#This Row],[ФИО]],(M85+1))</f>
        <v>17</v>
      </c>
      <c r="O85">
        <f>LEN(Таблица8[[#This Row],[ФИО]])</f>
        <v>27</v>
      </c>
      <c r="Q85" s="60" t="str">
        <f>MID(Таблица8[[#This Row],[ФИО]],M85,(N85-M85))</f>
        <v xml:space="preserve"> Орест</v>
      </c>
      <c r="R85" t="s">
        <v>1094</v>
      </c>
      <c r="S85" t="s">
        <v>1472</v>
      </c>
    </row>
    <row r="86" spans="1:19" x14ac:dyDescent="0.25">
      <c r="A86" s="51">
        <v>58</v>
      </c>
      <c r="B86" t="s">
        <v>551</v>
      </c>
      <c r="C86" t="s">
        <v>550</v>
      </c>
      <c r="D86" t="s">
        <v>140</v>
      </c>
      <c r="E86" s="26">
        <v>44628</v>
      </c>
      <c r="F86" t="str">
        <f t="shared" si="1"/>
        <v>+375</v>
      </c>
      <c r="G86" t="str">
        <f>INDEX('коды стран'!$A$2:$A$7, MATCH(F86, 'коды стран'!$B$2:$B$7, 0))</f>
        <v>Беларусь</v>
      </c>
      <c r="H86" t="s">
        <v>134</v>
      </c>
      <c r="I86" t="str">
        <f>LEFT(Таблица8[[#This Row],[ФИО]],(M86-1))</f>
        <v>Владимирова</v>
      </c>
      <c r="J86" t="str">
        <f>MID(Таблица8[[#This Row],[ФИО]],M86,(N86-M86))</f>
        <v xml:space="preserve"> Алина</v>
      </c>
      <c r="K86" t="str">
        <f>RIGHT(Таблица8[[#This Row],[ФИО]],(O86-N86))</f>
        <v>Феликсовна</v>
      </c>
      <c r="M86" s="59">
        <f>FIND(" ",Таблица8[[#This Row],[ФИО]],2)</f>
        <v>12</v>
      </c>
      <c r="N86">
        <f>FIND(" ",Таблица8[[#This Row],[ФИО]],(M86+1))</f>
        <v>18</v>
      </c>
      <c r="O86">
        <f>LEN(Таблица8[[#This Row],[ФИО]])</f>
        <v>28</v>
      </c>
      <c r="Q86" s="59" t="str">
        <f>MID(Таблица8[[#This Row],[ФИО]],M86,(N86-M86))</f>
        <v xml:space="preserve"> Алина</v>
      </c>
      <c r="R86" t="s">
        <v>1173</v>
      </c>
      <c r="S86" t="s">
        <v>1473</v>
      </c>
    </row>
    <row r="87" spans="1:19" x14ac:dyDescent="0.25">
      <c r="A87" s="51">
        <v>213</v>
      </c>
      <c r="B87" t="s">
        <v>361</v>
      </c>
      <c r="C87" t="s">
        <v>360</v>
      </c>
      <c r="D87" t="s">
        <v>140</v>
      </c>
      <c r="E87" s="26">
        <v>44733</v>
      </c>
      <c r="F87" t="str">
        <f t="shared" si="1"/>
        <v>+998</v>
      </c>
      <c r="G87" t="str">
        <f>INDEX('коды стран'!$A$2:$A$7, MATCH(F87, 'коды стран'!$B$2:$B$7, 0))</f>
        <v>Узбекистан</v>
      </c>
      <c r="H87" t="s">
        <v>132</v>
      </c>
      <c r="I87" t="str">
        <f>LEFT(Таблица8[[#This Row],[ФИО]],(M87-1))</f>
        <v>Власов</v>
      </c>
      <c r="J87" t="str">
        <f>MID(Таблица8[[#This Row],[ФИО]],M87,(N87-M87))</f>
        <v xml:space="preserve"> Адриан</v>
      </c>
      <c r="K87" t="str">
        <f>RIGHT(Таблица8[[#This Row],[ФИО]],(O87-N87))</f>
        <v>Чеславович</v>
      </c>
      <c r="M87" s="60">
        <f>FIND(" ",Таблица8[[#This Row],[ФИО]],2)</f>
        <v>7</v>
      </c>
      <c r="N87">
        <f>FIND(" ",Таблица8[[#This Row],[ФИО]],(M87+1))</f>
        <v>14</v>
      </c>
      <c r="O87">
        <f>LEN(Таблица8[[#This Row],[ФИО]])</f>
        <v>24</v>
      </c>
      <c r="Q87" s="60" t="str">
        <f>MID(Таблица8[[#This Row],[ФИО]],M87,(N87-M87))</f>
        <v xml:space="preserve"> Адриан</v>
      </c>
      <c r="R87" t="s">
        <v>1174</v>
      </c>
      <c r="S87" t="s">
        <v>1474</v>
      </c>
    </row>
    <row r="88" spans="1:19" x14ac:dyDescent="0.25">
      <c r="A88" s="51">
        <v>486</v>
      </c>
      <c r="B88" t="s">
        <v>201</v>
      </c>
      <c r="C88" t="s">
        <v>200</v>
      </c>
      <c r="D88" t="s">
        <v>143</v>
      </c>
      <c r="E88" s="26">
        <v>44723</v>
      </c>
      <c r="F88" t="str">
        <f t="shared" si="1"/>
        <v>+7</v>
      </c>
      <c r="G88" t="str">
        <f>INDEX('коды стран'!$A$2:$A$7, MATCH(F88, 'коды стран'!$B$2:$B$7, 0))</f>
        <v>Россия</v>
      </c>
      <c r="H88" t="s">
        <v>137</v>
      </c>
      <c r="I88" t="str">
        <f>LEFT(Таблица8[[#This Row],[ФИО]],(M88-1))</f>
        <v>Волков</v>
      </c>
      <c r="J88" t="str">
        <f>MID(Таблица8[[#This Row],[ФИО]],M88,(N88-M88))</f>
        <v xml:space="preserve"> Викентий</v>
      </c>
      <c r="K88" t="str">
        <f>RIGHT(Таблица8[[#This Row],[ФИО]],(O88-N88))</f>
        <v>Герасимович</v>
      </c>
      <c r="M88" s="59">
        <f>FIND(" ",Таблица8[[#This Row],[ФИО]],2)</f>
        <v>7</v>
      </c>
      <c r="N88">
        <f>FIND(" ",Таблица8[[#This Row],[ФИО]],(M88+1))</f>
        <v>16</v>
      </c>
      <c r="O88">
        <f>LEN(Таблица8[[#This Row],[ФИО]])</f>
        <v>27</v>
      </c>
      <c r="Q88" s="59" t="str">
        <f>MID(Таблица8[[#This Row],[ФИО]],M88,(N88-M88))</f>
        <v xml:space="preserve"> Викентий</v>
      </c>
      <c r="R88" t="s">
        <v>1101</v>
      </c>
      <c r="S88" t="s">
        <v>1475</v>
      </c>
    </row>
    <row r="89" spans="1:19" x14ac:dyDescent="0.25">
      <c r="A89" s="51">
        <v>41</v>
      </c>
      <c r="B89" t="s">
        <v>633</v>
      </c>
      <c r="C89" t="s">
        <v>632</v>
      </c>
      <c r="D89" t="s">
        <v>143</v>
      </c>
      <c r="E89" s="26">
        <v>44842</v>
      </c>
      <c r="F89" t="str">
        <f t="shared" si="1"/>
        <v>+7</v>
      </c>
      <c r="G89" t="str">
        <f>INDEX('коды стран'!$A$2:$A$7, MATCH(F89, 'коды стран'!$B$2:$B$7, 0))</f>
        <v>Россия</v>
      </c>
      <c r="H89" t="s">
        <v>137</v>
      </c>
      <c r="I89" t="str">
        <f>LEFT(Таблица8[[#This Row],[ФИО]],(M89-1))</f>
        <v>Волкова</v>
      </c>
      <c r="J89" t="str">
        <f>MID(Таблица8[[#This Row],[ФИО]],M89,(N89-M89))</f>
        <v xml:space="preserve"> Валентина</v>
      </c>
      <c r="K89" t="str">
        <f>RIGHT(Таблица8[[#This Row],[ФИО]],(O89-N89))</f>
        <v>Николаевна</v>
      </c>
      <c r="M89" s="60">
        <f>FIND(" ",Таблица8[[#This Row],[ФИО]],2)</f>
        <v>8</v>
      </c>
      <c r="N89">
        <f>FIND(" ",Таблица8[[#This Row],[ФИО]],(M89+1))</f>
        <v>18</v>
      </c>
      <c r="O89">
        <f>LEN(Таблица8[[#This Row],[ФИО]])</f>
        <v>28</v>
      </c>
      <c r="Q89" s="60" t="str">
        <f>MID(Таблица8[[#This Row],[ФИО]],M89,(N89-M89))</f>
        <v xml:space="preserve"> Валентина</v>
      </c>
      <c r="R89" t="s">
        <v>1175</v>
      </c>
      <c r="S89" t="s">
        <v>1476</v>
      </c>
    </row>
    <row r="90" spans="1:19" x14ac:dyDescent="0.25">
      <c r="A90" s="51">
        <v>200</v>
      </c>
      <c r="B90" t="s">
        <v>151</v>
      </c>
      <c r="C90" t="s">
        <v>150</v>
      </c>
      <c r="D90" t="s">
        <v>143</v>
      </c>
      <c r="E90" s="26">
        <v>44783</v>
      </c>
      <c r="F90" t="str">
        <f t="shared" si="1"/>
        <v>+998</v>
      </c>
      <c r="G90" t="str">
        <f>INDEX('коды стран'!$A$2:$A$7, MATCH(F90, 'коды стран'!$B$2:$B$7, 0))</f>
        <v>Узбекистан</v>
      </c>
      <c r="H90" t="s">
        <v>132</v>
      </c>
      <c r="I90" t="str">
        <f>LEFT(Таблица8[[#This Row],[ФИО]],(M90-1))</f>
        <v>Воробьева</v>
      </c>
      <c r="J90" t="str">
        <f>MID(Таблица8[[#This Row],[ФИО]],M90,(N90-M90))</f>
        <v xml:space="preserve"> Анжела</v>
      </c>
      <c r="K90" t="str">
        <f>RIGHT(Таблица8[[#This Row],[ФИО]],(O90-N90))</f>
        <v>Аскольдовна</v>
      </c>
      <c r="M90" s="59">
        <f>FIND(" ",Таблица8[[#This Row],[ФИО]],2)</f>
        <v>10</v>
      </c>
      <c r="N90">
        <f>FIND(" ",Таблица8[[#This Row],[ФИО]],(M90+1))</f>
        <v>17</v>
      </c>
      <c r="O90">
        <f>LEN(Таблица8[[#This Row],[ФИО]])</f>
        <v>28</v>
      </c>
      <c r="Q90" s="59" t="str">
        <f>MID(Таблица8[[#This Row],[ФИО]],M90,(N90-M90))</f>
        <v xml:space="preserve"> Анжела</v>
      </c>
      <c r="R90" t="s">
        <v>1176</v>
      </c>
      <c r="S90" t="s">
        <v>1477</v>
      </c>
    </row>
    <row r="91" spans="1:19" x14ac:dyDescent="0.25">
      <c r="A91" s="51">
        <v>173</v>
      </c>
      <c r="B91" t="s">
        <v>305</v>
      </c>
      <c r="C91" t="s">
        <v>304</v>
      </c>
      <c r="D91" t="s">
        <v>140</v>
      </c>
      <c r="E91" s="26">
        <v>44673</v>
      </c>
      <c r="F91" t="str">
        <f t="shared" si="1"/>
        <v>+7</v>
      </c>
      <c r="G91" t="str">
        <f>INDEX('коды стран'!$A$2:$A$7, MATCH(F91, 'коды стран'!$B$2:$B$7, 0))</f>
        <v>Россия</v>
      </c>
      <c r="H91" t="s">
        <v>137</v>
      </c>
      <c r="I91" t="str">
        <f>LEFT(Таблица8[[#This Row],[ФИО]],(M91-1))</f>
        <v>Гаврилов</v>
      </c>
      <c r="J91" t="str">
        <f>MID(Таблица8[[#This Row],[ФИО]],M91,(N91-M91))</f>
        <v xml:space="preserve"> Матвей</v>
      </c>
      <c r="K91" t="str">
        <f>RIGHT(Таблица8[[#This Row],[ФИО]],(O91-N91))</f>
        <v>Трифонович</v>
      </c>
      <c r="M91" s="60">
        <f>FIND(" ",Таблица8[[#This Row],[ФИО]],2)</f>
        <v>9</v>
      </c>
      <c r="N91">
        <f>FIND(" ",Таблица8[[#This Row],[ФИО]],(M91+1))</f>
        <v>16</v>
      </c>
      <c r="O91">
        <f>LEN(Таблица8[[#This Row],[ФИО]])</f>
        <v>26</v>
      </c>
      <c r="Q91" s="60" t="str">
        <f>MID(Таблица8[[#This Row],[ФИО]],M91,(N91-M91))</f>
        <v xml:space="preserve"> Матвей</v>
      </c>
      <c r="R91" t="s">
        <v>1116</v>
      </c>
      <c r="S91" t="s">
        <v>1478</v>
      </c>
    </row>
    <row r="92" spans="1:19" x14ac:dyDescent="0.25">
      <c r="A92" s="51">
        <v>102</v>
      </c>
      <c r="B92" t="s">
        <v>413</v>
      </c>
      <c r="C92" t="s">
        <v>412</v>
      </c>
      <c r="D92" t="s">
        <v>140</v>
      </c>
      <c r="E92" s="26">
        <v>44723</v>
      </c>
      <c r="F92" t="str">
        <f t="shared" si="1"/>
        <v>+998</v>
      </c>
      <c r="G92" t="str">
        <f>INDEX('коды стран'!$A$2:$A$7, MATCH(F92, 'коды стран'!$B$2:$B$7, 0))</f>
        <v>Узбекистан</v>
      </c>
      <c r="H92" t="s">
        <v>132</v>
      </c>
      <c r="I92" t="str">
        <f>LEFT(Таблица8[[#This Row],[ФИО]],(M92-1))</f>
        <v>Галактион</v>
      </c>
      <c r="J92" t="str">
        <f>MID(Таблица8[[#This Row],[ФИО]],M92,(N92-M92))</f>
        <v xml:space="preserve"> Жанович</v>
      </c>
      <c r="K92" t="str">
        <f>RIGHT(Таблица8[[#This Row],[ФИО]],(O92-N92))</f>
        <v>Новиков</v>
      </c>
      <c r="M92" s="59">
        <f>FIND(" ",Таблица8[[#This Row],[ФИО]],2)</f>
        <v>10</v>
      </c>
      <c r="N92">
        <f>FIND(" ",Таблица8[[#This Row],[ФИО]],(M92+1))</f>
        <v>18</v>
      </c>
      <c r="O92">
        <f>LEN(Таблица8[[#This Row],[ФИО]])</f>
        <v>25</v>
      </c>
      <c r="Q92" s="59" t="str">
        <f>LEFT(Таблица8[[#This Row],[ФИО]],(M92-1))</f>
        <v>Галактион</v>
      </c>
      <c r="R92" t="s">
        <v>1177</v>
      </c>
      <c r="S92" t="s">
        <v>1464</v>
      </c>
    </row>
    <row r="93" spans="1:19" x14ac:dyDescent="0.25">
      <c r="A93" s="51">
        <v>115</v>
      </c>
      <c r="B93" t="s">
        <v>879</v>
      </c>
      <c r="C93" t="s">
        <v>878</v>
      </c>
      <c r="D93" t="s">
        <v>143</v>
      </c>
      <c r="E93" s="26">
        <v>44832</v>
      </c>
      <c r="F93" t="str">
        <f t="shared" si="1"/>
        <v>+375</v>
      </c>
      <c r="G93" t="str">
        <f>INDEX('коды стран'!$A$2:$A$7, MATCH(F93, 'коды стран'!$B$2:$B$7, 0))</f>
        <v>Беларусь</v>
      </c>
      <c r="H93" t="s">
        <v>134</v>
      </c>
      <c r="I93" t="str">
        <f>LEFT(Таблица8[[#This Row],[ФИО]],(M93-1))</f>
        <v>Галина</v>
      </c>
      <c r="J93" t="str">
        <f>MID(Таблица8[[#This Row],[ФИО]],M93,(N93-M93))</f>
        <v xml:space="preserve"> Кирилловна</v>
      </c>
      <c r="K93" t="str">
        <f>RIGHT(Таблица8[[#This Row],[ФИО]],(O93-N93))</f>
        <v>Прохорова</v>
      </c>
      <c r="M93" s="60">
        <f>FIND(" ",Таблица8[[#This Row],[ФИО]],2)</f>
        <v>7</v>
      </c>
      <c r="N93">
        <f>FIND(" ",Таблица8[[#This Row],[ФИО]],(M93+1))</f>
        <v>18</v>
      </c>
      <c r="O93">
        <f>LEN(Таблица8[[#This Row],[ФИО]])</f>
        <v>27</v>
      </c>
      <c r="Q93" s="60" t="str">
        <f>LEFT(Таблица8[[#This Row],[ФИО]],(M93-1))</f>
        <v>Галина</v>
      </c>
      <c r="R93" t="s">
        <v>1178</v>
      </c>
      <c r="S93" t="s">
        <v>1452</v>
      </c>
    </row>
    <row r="94" spans="1:19" x14ac:dyDescent="0.25">
      <c r="A94" s="51">
        <v>99</v>
      </c>
      <c r="B94" t="s">
        <v>215</v>
      </c>
      <c r="C94" t="s">
        <v>214</v>
      </c>
      <c r="D94" t="s">
        <v>140</v>
      </c>
      <c r="E94" s="26">
        <v>44886</v>
      </c>
      <c r="F94" t="str">
        <f t="shared" si="1"/>
        <v>+7</v>
      </c>
      <c r="G94" t="str">
        <f>INDEX('коды стран'!$A$2:$A$7, MATCH(F94, 'коды стран'!$B$2:$B$7, 0))</f>
        <v>Россия</v>
      </c>
      <c r="H94" t="s">
        <v>137</v>
      </c>
      <c r="I94" t="str">
        <f>LEFT(Таблица8[[#This Row],[ФИО]],(M94-1))</f>
        <v>Галина</v>
      </c>
      <c r="J94" t="str">
        <f>MID(Таблица8[[#This Row],[ФИО]],M94,(N94-M94))</f>
        <v xml:space="preserve"> Семеновна</v>
      </c>
      <c r="K94" t="str">
        <f>RIGHT(Таблица8[[#This Row],[ФИО]],(O94-N94))</f>
        <v>Петухова</v>
      </c>
      <c r="M94" s="59">
        <f>FIND(" ",Таблица8[[#This Row],[ФИО]],2)</f>
        <v>7</v>
      </c>
      <c r="N94">
        <f>FIND(" ",Таблица8[[#This Row],[ФИО]],(M94+1))</f>
        <v>17</v>
      </c>
      <c r="O94">
        <f>LEN(Таблица8[[#This Row],[ФИО]])</f>
        <v>25</v>
      </c>
      <c r="Q94" s="59" t="str">
        <f>LEFT(Таблица8[[#This Row],[ФИО]],(M94-1))</f>
        <v>Галина</v>
      </c>
      <c r="R94" t="s">
        <v>1179</v>
      </c>
      <c r="S94" t="s">
        <v>1454</v>
      </c>
    </row>
    <row r="95" spans="1:19" x14ac:dyDescent="0.25">
      <c r="A95" s="51">
        <v>204</v>
      </c>
      <c r="B95" t="s">
        <v>973</v>
      </c>
      <c r="C95" t="s">
        <v>972</v>
      </c>
      <c r="D95" t="s">
        <v>143</v>
      </c>
      <c r="E95" s="26">
        <v>44867</v>
      </c>
      <c r="F95" t="str">
        <f t="shared" si="1"/>
        <v>+7</v>
      </c>
      <c r="G95" t="str">
        <f>INDEX('коды стран'!$A$2:$A$7, MATCH(F95, 'коды стран'!$B$2:$B$7, 0))</f>
        <v>Россия</v>
      </c>
      <c r="H95" t="s">
        <v>137</v>
      </c>
      <c r="I95" t="str">
        <f>LEFT(Таблица8[[#This Row],[ФИО]],(M95-1))</f>
        <v>Герасимов</v>
      </c>
      <c r="J95" t="str">
        <f>MID(Таблица8[[#This Row],[ФИО]],M95,(N95-M95))</f>
        <v xml:space="preserve"> Еремей</v>
      </c>
      <c r="K95" t="str">
        <f>RIGHT(Таблица8[[#This Row],[ФИО]],(O95-N95))</f>
        <v>Демидович</v>
      </c>
      <c r="M95" s="60">
        <f>FIND(" ",Таблица8[[#This Row],[ФИО]],2)</f>
        <v>10</v>
      </c>
      <c r="N95">
        <f>FIND(" ",Таблица8[[#This Row],[ФИО]],(M95+1))</f>
        <v>17</v>
      </c>
      <c r="O95">
        <f>LEN(Таблица8[[#This Row],[ФИО]])</f>
        <v>26</v>
      </c>
      <c r="Q95" s="60" t="str">
        <f>MID(Таблица8[[#This Row],[ФИО]],M95,(N95-M95))</f>
        <v xml:space="preserve"> Еремей</v>
      </c>
      <c r="R95" t="s">
        <v>1180</v>
      </c>
      <c r="S95" t="s">
        <v>1479</v>
      </c>
    </row>
    <row r="96" spans="1:19" x14ac:dyDescent="0.25">
      <c r="A96" s="51">
        <v>383</v>
      </c>
      <c r="B96" t="s">
        <v>423</v>
      </c>
      <c r="C96" t="s">
        <v>422</v>
      </c>
      <c r="D96" t="s">
        <v>140</v>
      </c>
      <c r="E96" s="26">
        <v>44876</v>
      </c>
      <c r="F96" t="str">
        <f t="shared" si="1"/>
        <v>+380</v>
      </c>
      <c r="G96" t="str">
        <f>INDEX('коды стран'!$A$2:$A$7, MATCH(F96, 'коды стран'!$B$2:$B$7, 0))</f>
        <v>Украина</v>
      </c>
      <c r="H96" t="s">
        <v>128</v>
      </c>
      <c r="I96" t="str">
        <f>LEFT(Таблица8[[#This Row],[ФИО]],(M96-1))</f>
        <v>Герасимов</v>
      </c>
      <c r="J96" t="str">
        <f>MID(Таблица8[[#This Row],[ФИО]],M96,(N96-M96))</f>
        <v xml:space="preserve"> Родион</v>
      </c>
      <c r="K96" t="str">
        <f>RIGHT(Таблица8[[#This Row],[ФИО]],(O96-N96))</f>
        <v>Харитонович</v>
      </c>
      <c r="M96" s="59">
        <f>FIND(" ",Таблица8[[#This Row],[ФИО]],2)</f>
        <v>10</v>
      </c>
      <c r="N96">
        <f>FIND(" ",Таблица8[[#This Row],[ФИО]],(M96+1))</f>
        <v>17</v>
      </c>
      <c r="O96">
        <f>LEN(Таблица8[[#This Row],[ФИО]])</f>
        <v>28</v>
      </c>
      <c r="Q96" s="59" t="str">
        <f>MID(Таблица8[[#This Row],[ФИО]],M96,(N96-M96))</f>
        <v xml:space="preserve"> Родион</v>
      </c>
      <c r="R96" t="s">
        <v>1180</v>
      </c>
      <c r="S96" t="s">
        <v>1480</v>
      </c>
    </row>
    <row r="97" spans="1:19" x14ac:dyDescent="0.25">
      <c r="A97" s="51">
        <v>455</v>
      </c>
      <c r="B97" t="s">
        <v>597</v>
      </c>
      <c r="C97" t="s">
        <v>596</v>
      </c>
      <c r="D97" t="s">
        <v>143</v>
      </c>
      <c r="E97" s="26">
        <v>44820</v>
      </c>
      <c r="F97" t="str">
        <f t="shared" si="1"/>
        <v>+380</v>
      </c>
      <c r="G97" t="str">
        <f>INDEX('коды стран'!$A$2:$A$7, MATCH(F97, 'коды стран'!$B$2:$B$7, 0))</f>
        <v>Украина</v>
      </c>
      <c r="H97" t="s">
        <v>128</v>
      </c>
      <c r="I97" t="str">
        <f>LEFT(Таблица8[[#This Row],[ФИО]],(M97-1))</f>
        <v>Герман</v>
      </c>
      <c r="J97" t="str">
        <f>MID(Таблица8[[#This Row],[ФИО]],M97,(N97-M97))</f>
        <v xml:space="preserve"> Арсеньевич</v>
      </c>
      <c r="K97" t="str">
        <f>RIGHT(Таблица8[[#This Row],[ФИО]],(O97-N97))</f>
        <v>Калинин</v>
      </c>
      <c r="M97" s="60">
        <f>FIND(" ",Таблица8[[#This Row],[ФИО]],2)</f>
        <v>7</v>
      </c>
      <c r="N97">
        <f>FIND(" ",Таблица8[[#This Row],[ФИО]],(M97+1))</f>
        <v>18</v>
      </c>
      <c r="O97">
        <f>LEN(Таблица8[[#This Row],[ФИО]])</f>
        <v>25</v>
      </c>
      <c r="Q97" s="60" t="str">
        <f>LEFT(Таблица8[[#This Row],[ФИО]],(M97-1))</f>
        <v>Герман</v>
      </c>
      <c r="R97" t="s">
        <v>1181</v>
      </c>
      <c r="S97" t="s">
        <v>1481</v>
      </c>
    </row>
    <row r="98" spans="1:19" x14ac:dyDescent="0.25">
      <c r="A98" s="51">
        <v>262</v>
      </c>
      <c r="B98" t="s">
        <v>219</v>
      </c>
      <c r="C98" t="s">
        <v>218</v>
      </c>
      <c r="D98" t="s">
        <v>143</v>
      </c>
      <c r="E98" s="26">
        <v>44778</v>
      </c>
      <c r="F98" t="str">
        <f t="shared" si="1"/>
        <v>+992</v>
      </c>
      <c r="G98" t="str">
        <f>INDEX('коды стран'!$A$2:$A$7, MATCH(F98, 'коды стран'!$B$2:$B$7, 0))</f>
        <v>Таджикистан</v>
      </c>
      <c r="H98" t="s">
        <v>130</v>
      </c>
      <c r="I98" t="str">
        <f>LEFT(Таблица8[[#This Row],[ФИО]],(M98-1))</f>
        <v>г-жа</v>
      </c>
      <c r="J98" t="str">
        <f>MID(Таблица8[[#This Row],[ФИО]],M98,(N98-M98))</f>
        <v xml:space="preserve"> Воробьева</v>
      </c>
      <c r="K98" t="str">
        <f>RIGHT(Таблица8[[#This Row],[ФИО]],(O98-N98))</f>
        <v>Иванна Юрьевна</v>
      </c>
      <c r="M98" s="59">
        <f>FIND(" ",Таблица8[[#This Row],[ФИО]],2)</f>
        <v>5</v>
      </c>
      <c r="N98">
        <f>FIND(" ",Таблица8[[#This Row],[ФИО]],(M98+1))</f>
        <v>15</v>
      </c>
      <c r="O98">
        <f>LEN(Таблица8[[#This Row],[ФИО]])</f>
        <v>29</v>
      </c>
      <c r="Q98" t="s">
        <v>1659</v>
      </c>
      <c r="R98" t="s">
        <v>1182</v>
      </c>
      <c r="S98" t="s">
        <v>1408</v>
      </c>
    </row>
    <row r="99" spans="1:19" x14ac:dyDescent="0.25">
      <c r="A99" s="51">
        <v>494</v>
      </c>
      <c r="B99" t="s">
        <v>267</v>
      </c>
      <c r="C99" t="s">
        <v>266</v>
      </c>
      <c r="D99" t="s">
        <v>140</v>
      </c>
      <c r="E99" s="26">
        <v>44738</v>
      </c>
      <c r="F99" t="str">
        <f t="shared" si="1"/>
        <v>+375</v>
      </c>
      <c r="G99" t="str">
        <f>INDEX('коды стран'!$A$2:$A$7, MATCH(F99, 'коды стран'!$B$2:$B$7, 0))</f>
        <v>Беларусь</v>
      </c>
      <c r="H99" t="s">
        <v>134</v>
      </c>
      <c r="I99" t="str">
        <f>LEFT(Таблица8[[#This Row],[ФИО]],(M99-1))</f>
        <v>г-жа</v>
      </c>
      <c r="J99" t="str">
        <f>MID(Таблица8[[#This Row],[ФИО]],M99,(N99-M99))</f>
        <v xml:space="preserve"> Ефимова</v>
      </c>
      <c r="K99" t="str">
        <f>RIGHT(Таблица8[[#This Row],[ФИО]],(O99-N99))</f>
        <v>Анна Филипповна</v>
      </c>
      <c r="M99" s="60">
        <f>FIND(" ",Таблица8[[#This Row],[ФИО]],2)</f>
        <v>5</v>
      </c>
      <c r="N99">
        <f>FIND(" ",Таблица8[[#This Row],[ФИО]],(M99+1))</f>
        <v>13</v>
      </c>
      <c r="O99">
        <f>LEN(Таблица8[[#This Row],[ФИО]])</f>
        <v>28</v>
      </c>
      <c r="Q99" t="s">
        <v>1660</v>
      </c>
      <c r="R99" t="s">
        <v>1183</v>
      </c>
      <c r="S99" t="s">
        <v>1484</v>
      </c>
    </row>
    <row r="100" spans="1:19" x14ac:dyDescent="0.25">
      <c r="A100" s="51">
        <v>197</v>
      </c>
      <c r="B100" t="s">
        <v>285</v>
      </c>
      <c r="C100" t="s">
        <v>284</v>
      </c>
      <c r="D100" t="s">
        <v>140</v>
      </c>
      <c r="E100" s="26">
        <v>44785</v>
      </c>
      <c r="F100" t="str">
        <f t="shared" si="1"/>
        <v>+380</v>
      </c>
      <c r="G100" t="str">
        <f>INDEX('коды стран'!$A$2:$A$7, MATCH(F100, 'коды стран'!$B$2:$B$7, 0))</f>
        <v>Украина</v>
      </c>
      <c r="H100" t="s">
        <v>128</v>
      </c>
      <c r="I100" t="str">
        <f>LEFT(Таблица8[[#This Row],[ФИО]],(M100-1))</f>
        <v>г-жа</v>
      </c>
      <c r="J100" t="str">
        <f>MID(Таблица8[[#This Row],[ФИО]],M100,(N100-M100))</f>
        <v xml:space="preserve"> Миронова</v>
      </c>
      <c r="K100" t="str">
        <f>RIGHT(Таблица8[[#This Row],[ФИО]],(O100-N100))</f>
        <v>Клавдия Феликсовна</v>
      </c>
      <c r="M100" s="59">
        <f>FIND(" ",Таблица8[[#This Row],[ФИО]],2)</f>
        <v>5</v>
      </c>
      <c r="N100">
        <f>FIND(" ",Таблица8[[#This Row],[ФИО]],(M100+1))</f>
        <v>14</v>
      </c>
      <c r="O100">
        <f>LEN(Таблица8[[#This Row],[ФИО]])</f>
        <v>32</v>
      </c>
      <c r="Q100" t="s">
        <v>1661</v>
      </c>
      <c r="R100" t="s">
        <v>1184</v>
      </c>
      <c r="S100" t="s">
        <v>1526</v>
      </c>
    </row>
    <row r="101" spans="1:19" x14ac:dyDescent="0.25">
      <c r="A101" s="51">
        <v>52</v>
      </c>
      <c r="B101" t="s">
        <v>715</v>
      </c>
      <c r="C101" t="s">
        <v>714</v>
      </c>
      <c r="D101" t="s">
        <v>143</v>
      </c>
      <c r="E101" s="26">
        <v>44917</v>
      </c>
      <c r="F101" t="str">
        <f t="shared" si="1"/>
        <v>+7</v>
      </c>
      <c r="G101" t="str">
        <f>INDEX('коды стран'!$A$2:$A$7, MATCH(F101, 'коды стран'!$B$2:$B$7, 0))</f>
        <v>Россия</v>
      </c>
      <c r="H101" t="s">
        <v>137</v>
      </c>
      <c r="I101" t="str">
        <f>LEFT(Таблица8[[#This Row],[ФИО]],(M101-1))</f>
        <v>Глафира</v>
      </c>
      <c r="J101" t="str">
        <f>MID(Таблица8[[#This Row],[ФИО]],M101,(N101-M101))</f>
        <v xml:space="preserve"> Николаевна</v>
      </c>
      <c r="K101" t="str">
        <f>RIGHT(Таблица8[[#This Row],[ФИО]],(O101-N101))</f>
        <v>Мельникова</v>
      </c>
      <c r="M101" s="60">
        <f>FIND(" ",Таблица8[[#This Row],[ФИО]],2)</f>
        <v>8</v>
      </c>
      <c r="N101">
        <f>FIND(" ",Таблица8[[#This Row],[ФИО]],(M101+1))</f>
        <v>19</v>
      </c>
      <c r="O101">
        <f>LEN(Таблица8[[#This Row],[ФИО]])</f>
        <v>29</v>
      </c>
      <c r="Q101" s="60" t="str">
        <f>LEFT(Таблица8[[#This Row],[ФИО]],(M101-1))</f>
        <v>Глафира</v>
      </c>
      <c r="R101" t="s">
        <v>1185</v>
      </c>
      <c r="S101" t="s">
        <v>1482</v>
      </c>
    </row>
    <row r="102" spans="1:19" x14ac:dyDescent="0.25">
      <c r="A102" s="51">
        <v>83</v>
      </c>
      <c r="B102" t="s">
        <v>265</v>
      </c>
      <c r="C102" t="s">
        <v>264</v>
      </c>
      <c r="D102" t="s">
        <v>143</v>
      </c>
      <c r="E102" s="26">
        <v>44739</v>
      </c>
      <c r="F102" t="str">
        <f t="shared" si="1"/>
        <v>+992</v>
      </c>
      <c r="G102" t="str">
        <f>INDEX('коды стран'!$A$2:$A$7, MATCH(F102, 'коды стран'!$B$2:$B$7, 0))</f>
        <v>Таджикистан</v>
      </c>
      <c r="H102" t="s">
        <v>130</v>
      </c>
      <c r="I102" t="str">
        <f>LEFT(Таблица8[[#This Row],[ФИО]],(M102-1))</f>
        <v>г-н</v>
      </c>
      <c r="J102" t="str">
        <f>MID(Таблица8[[#This Row],[ФИО]],M102,(N102-M102))</f>
        <v xml:space="preserve"> Зуев</v>
      </c>
      <c r="K102" t="str">
        <f>RIGHT(Таблица8[[#This Row],[ФИО]],(O102-N102))</f>
        <v>Трифон Зиновьевич</v>
      </c>
      <c r="M102" s="59">
        <f>FIND(" ",Таблица8[[#This Row],[ФИО]],2)</f>
        <v>4</v>
      </c>
      <c r="N102">
        <f>FIND(" ",Таблица8[[#This Row],[ФИО]],(M102+1))</f>
        <v>9</v>
      </c>
      <c r="O102">
        <f>LEN(Таблица8[[#This Row],[ФИО]])</f>
        <v>26</v>
      </c>
      <c r="Q102" t="s">
        <v>1662</v>
      </c>
      <c r="R102" t="s">
        <v>1186</v>
      </c>
      <c r="S102" t="s">
        <v>1592</v>
      </c>
    </row>
    <row r="103" spans="1:19" x14ac:dyDescent="0.25">
      <c r="A103" s="51">
        <v>250</v>
      </c>
      <c r="B103" t="s">
        <v>737</v>
      </c>
      <c r="C103" t="s">
        <v>736</v>
      </c>
      <c r="D103" t="s">
        <v>143</v>
      </c>
      <c r="E103" s="26">
        <v>44856</v>
      </c>
      <c r="F103" t="str">
        <f t="shared" si="1"/>
        <v>+7</v>
      </c>
      <c r="G103" t="str">
        <f>INDEX('коды стран'!$A$2:$A$7, MATCH(F103, 'коды стран'!$B$2:$B$7, 0))</f>
        <v>Россия</v>
      </c>
      <c r="H103" t="s">
        <v>137</v>
      </c>
      <c r="I103" t="str">
        <f>LEFT(Таблица8[[#This Row],[ФИО]],(M103-1))</f>
        <v>г-н</v>
      </c>
      <c r="J103" t="str">
        <f>MID(Таблица8[[#This Row],[ФИО]],M103,(N103-M103))</f>
        <v xml:space="preserve"> Копылов</v>
      </c>
      <c r="K103" t="str">
        <f>RIGHT(Таблица8[[#This Row],[ФИО]],(O103-N103))</f>
        <v>Лаврентий Артемьевич</v>
      </c>
      <c r="M103" s="60">
        <f>FIND(" ",Таблица8[[#This Row],[ФИО]],2)</f>
        <v>4</v>
      </c>
      <c r="N103">
        <f>FIND(" ",Таблица8[[#This Row],[ФИО]],(M103+1))</f>
        <v>12</v>
      </c>
      <c r="O103">
        <f>LEN(Таблица8[[#This Row],[ФИО]])</f>
        <v>32</v>
      </c>
      <c r="Q103" t="s">
        <v>1663</v>
      </c>
      <c r="R103" t="s">
        <v>1187</v>
      </c>
      <c r="S103" t="s">
        <v>1421</v>
      </c>
    </row>
    <row r="104" spans="1:19" x14ac:dyDescent="0.25">
      <c r="A104" s="51">
        <v>280</v>
      </c>
      <c r="B104" t="s">
        <v>965</v>
      </c>
      <c r="C104" t="s">
        <v>964</v>
      </c>
      <c r="D104" t="s">
        <v>140</v>
      </c>
      <c r="E104" s="26">
        <v>44563</v>
      </c>
      <c r="F104" t="str">
        <f t="shared" si="1"/>
        <v>+7</v>
      </c>
      <c r="G104" t="str">
        <f>INDEX('коды стран'!$A$2:$A$7, MATCH(F104, 'коды стран'!$B$2:$B$7, 0))</f>
        <v>Россия</v>
      </c>
      <c r="H104" t="s">
        <v>137</v>
      </c>
      <c r="I104" t="str">
        <f>LEFT(Таблица8[[#This Row],[ФИО]],(M104-1))</f>
        <v>г-н</v>
      </c>
      <c r="J104" t="str">
        <f>MID(Таблица8[[#This Row],[ФИО]],M104,(N104-M104))</f>
        <v xml:space="preserve"> Рыбаков</v>
      </c>
      <c r="K104" t="str">
        <f>RIGHT(Таблица8[[#This Row],[ФИО]],(O104-N104))</f>
        <v>Автоном Антонович</v>
      </c>
      <c r="M104" s="59">
        <f>FIND(" ",Таблица8[[#This Row],[ФИО]],2)</f>
        <v>4</v>
      </c>
      <c r="N104">
        <f>FIND(" ",Таблица8[[#This Row],[ФИО]],(M104+1))</f>
        <v>12</v>
      </c>
      <c r="O104">
        <f>LEN(Таблица8[[#This Row],[ФИО]])</f>
        <v>29</v>
      </c>
      <c r="Q104" t="s">
        <v>1664</v>
      </c>
      <c r="R104" t="s">
        <v>1188</v>
      </c>
      <c r="S104" t="s">
        <v>1497</v>
      </c>
    </row>
    <row r="105" spans="1:19" x14ac:dyDescent="0.25">
      <c r="A105" s="51">
        <v>286</v>
      </c>
      <c r="B105" t="s">
        <v>733</v>
      </c>
      <c r="C105" t="s">
        <v>732</v>
      </c>
      <c r="D105" t="s">
        <v>140</v>
      </c>
      <c r="E105" s="26">
        <v>44563</v>
      </c>
      <c r="F105" t="str">
        <f t="shared" si="1"/>
        <v>+992</v>
      </c>
      <c r="G105" t="str">
        <f>INDEX('коды стран'!$A$2:$A$7, MATCH(F105, 'коды стран'!$B$2:$B$7, 0))</f>
        <v>Таджикистан</v>
      </c>
      <c r="H105" t="s">
        <v>130</v>
      </c>
      <c r="I105" t="str">
        <f>LEFT(Таблица8[[#This Row],[ФИО]],(M105-1))</f>
        <v>г-н</v>
      </c>
      <c r="J105" t="str">
        <f>MID(Таблица8[[#This Row],[ФИО]],M105,(N105-M105))</f>
        <v xml:space="preserve"> Савельев</v>
      </c>
      <c r="K105" t="str">
        <f>RIGHT(Таблица8[[#This Row],[ФИО]],(O105-N105))</f>
        <v>Федосий Феоктистович</v>
      </c>
      <c r="M105" s="60">
        <f>FIND(" ",Таблица8[[#This Row],[ФИО]],2)</f>
        <v>4</v>
      </c>
      <c r="N105">
        <f>FIND(" ",Таблица8[[#This Row],[ФИО]],(M105+1))</f>
        <v>13</v>
      </c>
      <c r="O105">
        <f>LEN(Таблица8[[#This Row],[ФИО]])</f>
        <v>33</v>
      </c>
      <c r="Q105" t="s">
        <v>1665</v>
      </c>
      <c r="R105" t="s">
        <v>1189</v>
      </c>
      <c r="S105" t="s">
        <v>1605</v>
      </c>
    </row>
    <row r="106" spans="1:19" x14ac:dyDescent="0.25">
      <c r="A106" s="51">
        <v>199</v>
      </c>
      <c r="B106" t="s">
        <v>313</v>
      </c>
      <c r="C106" t="s">
        <v>312</v>
      </c>
      <c r="D106" t="s">
        <v>143</v>
      </c>
      <c r="E106" s="26">
        <v>44715</v>
      </c>
      <c r="F106" t="str">
        <f t="shared" si="1"/>
        <v>+998</v>
      </c>
      <c r="G106" t="str">
        <f>INDEX('коды стран'!$A$2:$A$7, MATCH(F106, 'коды стран'!$B$2:$B$7, 0))</f>
        <v>Узбекистан</v>
      </c>
      <c r="H106" t="s">
        <v>132</v>
      </c>
      <c r="I106" t="str">
        <f>LEFT(Таблица8[[#This Row],[ФИО]],(M106-1))</f>
        <v>Горбунова</v>
      </c>
      <c r="J106" t="str">
        <f>MID(Таблица8[[#This Row],[ФИО]],M106,(N106-M106))</f>
        <v xml:space="preserve"> Алевтина</v>
      </c>
      <c r="K106" t="str">
        <f>RIGHT(Таблица8[[#This Row],[ФИО]],(O106-N106))</f>
        <v>Максимовна</v>
      </c>
      <c r="M106" s="59">
        <f>FIND(" ",Таблица8[[#This Row],[ФИО]],2)</f>
        <v>10</v>
      </c>
      <c r="N106">
        <f>FIND(" ",Таблица8[[#This Row],[ФИО]],(M106+1))</f>
        <v>19</v>
      </c>
      <c r="O106">
        <f>LEN(Таблица8[[#This Row],[ФИО]])</f>
        <v>29</v>
      </c>
      <c r="Q106" s="59" t="str">
        <f>MID(Таблица8[[#This Row],[ФИО]],M106,(N106-M106))</f>
        <v xml:space="preserve"> Алевтина</v>
      </c>
      <c r="R106" t="s">
        <v>1190</v>
      </c>
      <c r="S106" t="s">
        <v>1483</v>
      </c>
    </row>
    <row r="107" spans="1:19" x14ac:dyDescent="0.25">
      <c r="A107" s="51">
        <v>273</v>
      </c>
      <c r="B107" t="s">
        <v>803</v>
      </c>
      <c r="C107" t="s">
        <v>802</v>
      </c>
      <c r="D107" t="s">
        <v>140</v>
      </c>
      <c r="E107" s="26">
        <v>44599</v>
      </c>
      <c r="F107" t="str">
        <f t="shared" si="1"/>
        <v>+998</v>
      </c>
      <c r="G107" t="str">
        <f>INDEX('коды стран'!$A$2:$A$7, MATCH(F107, 'коды стран'!$B$2:$B$7, 0))</f>
        <v>Узбекистан</v>
      </c>
      <c r="H107" t="s">
        <v>132</v>
      </c>
      <c r="I107" t="str">
        <f>LEFT(Таблица8[[#This Row],[ФИО]],(M107-1))</f>
        <v>Горбунова</v>
      </c>
      <c r="J107" t="str">
        <f>MID(Таблица8[[#This Row],[ФИО]],M107,(N107-M107))</f>
        <v xml:space="preserve"> Наина</v>
      </c>
      <c r="K107" t="str">
        <f>RIGHT(Таблица8[[#This Row],[ФИО]],(O107-N107))</f>
        <v>Филипповна</v>
      </c>
      <c r="M107" s="60">
        <f>FIND(" ",Таблица8[[#This Row],[ФИО]],2)</f>
        <v>10</v>
      </c>
      <c r="N107">
        <f>FIND(" ",Таблица8[[#This Row],[ФИО]],(M107+1))</f>
        <v>16</v>
      </c>
      <c r="O107">
        <f>LEN(Таблица8[[#This Row],[ФИО]])</f>
        <v>26</v>
      </c>
      <c r="Q107" s="60" t="str">
        <f>MID(Таблица8[[#This Row],[ФИО]],M107,(N107-M107))</f>
        <v xml:space="preserve"> Наина</v>
      </c>
      <c r="R107" t="s">
        <v>1190</v>
      </c>
      <c r="S107" t="s">
        <v>1484</v>
      </c>
    </row>
    <row r="108" spans="1:19" x14ac:dyDescent="0.25">
      <c r="A108" s="51">
        <v>442</v>
      </c>
      <c r="B108" t="s">
        <v>251</v>
      </c>
      <c r="C108" t="s">
        <v>250</v>
      </c>
      <c r="D108" t="s">
        <v>140</v>
      </c>
      <c r="E108" s="26">
        <v>44746</v>
      </c>
      <c r="F108" t="str">
        <f t="shared" si="1"/>
        <v>+992</v>
      </c>
      <c r="G108" t="str">
        <f>INDEX('коды стран'!$A$2:$A$7, MATCH(F108, 'коды стран'!$B$2:$B$7, 0))</f>
        <v>Таджикистан</v>
      </c>
      <c r="H108" t="s">
        <v>130</v>
      </c>
      <c r="I108" t="str">
        <f>LEFT(Таблица8[[#This Row],[ФИО]],(M108-1))</f>
        <v>Гордей</v>
      </c>
      <c r="J108" t="str">
        <f>MID(Таблица8[[#This Row],[ФИО]],M108,(N108-M108))</f>
        <v xml:space="preserve"> Матвеевич</v>
      </c>
      <c r="K108" t="str">
        <f>RIGHT(Таблица8[[#This Row],[ФИО]],(O108-N108))</f>
        <v>Медведев</v>
      </c>
      <c r="M108" s="59">
        <f>FIND(" ",Таблица8[[#This Row],[ФИО]],2)</f>
        <v>7</v>
      </c>
      <c r="N108">
        <f>FIND(" ",Таблица8[[#This Row],[ФИО]],(M108+1))</f>
        <v>17</v>
      </c>
      <c r="O108">
        <f>LEN(Таблица8[[#This Row],[ФИО]])</f>
        <v>25</v>
      </c>
      <c r="Q108" s="59" t="str">
        <f>LEFT(Таблица8[[#This Row],[ФИО]],(M108-1))</f>
        <v>Гордей</v>
      </c>
      <c r="R108" t="s">
        <v>1191</v>
      </c>
      <c r="S108" t="s">
        <v>1485</v>
      </c>
    </row>
    <row r="109" spans="1:19" x14ac:dyDescent="0.25">
      <c r="A109" s="51">
        <v>266</v>
      </c>
      <c r="B109" t="s">
        <v>903</v>
      </c>
      <c r="C109" t="s">
        <v>902</v>
      </c>
      <c r="D109" t="s">
        <v>140</v>
      </c>
      <c r="E109" s="26">
        <v>44795</v>
      </c>
      <c r="F109" t="str">
        <f t="shared" si="1"/>
        <v>+7</v>
      </c>
      <c r="G109" t="str">
        <f>INDEX('коды стран'!$A$2:$A$7, MATCH(F109, 'коды стран'!$B$2:$B$7, 0))</f>
        <v>Россия</v>
      </c>
      <c r="H109" t="s">
        <v>137</v>
      </c>
      <c r="I109" t="str">
        <f>LEFT(Таблица8[[#This Row],[ФИО]],(M109-1))</f>
        <v>Горшкова</v>
      </c>
      <c r="J109" t="str">
        <f>MID(Таблица8[[#This Row],[ФИО]],M109,(N109-M109))</f>
        <v xml:space="preserve"> Василиса</v>
      </c>
      <c r="K109" t="str">
        <f>RIGHT(Таблица8[[#This Row],[ФИО]],(O109-N109))</f>
        <v>Святославовна</v>
      </c>
      <c r="M109" s="60">
        <f>FIND(" ",Таблица8[[#This Row],[ФИО]],2)</f>
        <v>9</v>
      </c>
      <c r="N109">
        <f>FIND(" ",Таблица8[[#This Row],[ФИО]],(M109+1))</f>
        <v>18</v>
      </c>
      <c r="O109">
        <f>LEN(Таблица8[[#This Row],[ФИО]])</f>
        <v>31</v>
      </c>
      <c r="Q109" s="60" t="str">
        <f>MID(Таблица8[[#This Row],[ФИО]],M109,(N109-M109))</f>
        <v xml:space="preserve"> Василиса</v>
      </c>
      <c r="R109" t="s">
        <v>1192</v>
      </c>
      <c r="S109" t="s">
        <v>1486</v>
      </c>
    </row>
    <row r="110" spans="1:19" x14ac:dyDescent="0.25">
      <c r="A110" s="51">
        <v>63</v>
      </c>
      <c r="B110" t="s">
        <v>235</v>
      </c>
      <c r="C110" t="s">
        <v>234</v>
      </c>
      <c r="D110" t="s">
        <v>143</v>
      </c>
      <c r="E110" s="26">
        <v>44684</v>
      </c>
      <c r="F110" t="str">
        <f t="shared" si="1"/>
        <v>+380</v>
      </c>
      <c r="G110" t="str">
        <f>INDEX('коды стран'!$A$2:$A$7, MATCH(F110, 'коды стран'!$B$2:$B$7, 0))</f>
        <v>Украина</v>
      </c>
      <c r="H110" t="s">
        <v>128</v>
      </c>
      <c r="I110" t="str">
        <f>LEFT(Таблица8[[#This Row],[ФИО]],(M110-1))</f>
        <v>Горшкова</v>
      </c>
      <c r="J110" t="str">
        <f>MID(Таблица8[[#This Row],[ФИО]],M110,(N110-M110))</f>
        <v xml:space="preserve"> Клавдия</v>
      </c>
      <c r="K110" t="str">
        <f>RIGHT(Таблица8[[#This Row],[ФИО]],(O110-N110))</f>
        <v>Борисовна</v>
      </c>
      <c r="M110" s="59">
        <f>FIND(" ",Таблица8[[#This Row],[ФИО]],2)</f>
        <v>9</v>
      </c>
      <c r="N110">
        <f>FIND(" ",Таблица8[[#This Row],[ФИО]],(M110+1))</f>
        <v>17</v>
      </c>
      <c r="O110">
        <f>LEN(Таблица8[[#This Row],[ФИО]])</f>
        <v>26</v>
      </c>
      <c r="Q110" s="59" t="str">
        <f>MID(Таблица8[[#This Row],[ФИО]],M110,(N110-M110))</f>
        <v xml:space="preserve"> Клавдия</v>
      </c>
      <c r="R110" t="s">
        <v>1192</v>
      </c>
      <c r="S110" t="s">
        <v>1487</v>
      </c>
    </row>
    <row r="111" spans="1:19" x14ac:dyDescent="0.25">
      <c r="A111" s="51">
        <v>50</v>
      </c>
      <c r="B111" t="s">
        <v>287</v>
      </c>
      <c r="C111" t="s">
        <v>286</v>
      </c>
      <c r="D111" t="s">
        <v>143</v>
      </c>
      <c r="E111" s="26">
        <v>44576</v>
      </c>
      <c r="F111" t="str">
        <f t="shared" si="1"/>
        <v>+998</v>
      </c>
      <c r="G111" t="str">
        <f>INDEX('коды стран'!$A$2:$A$7, MATCH(F111, 'коды стран'!$B$2:$B$7, 0))</f>
        <v>Узбекистан</v>
      </c>
      <c r="H111" t="s">
        <v>132</v>
      </c>
      <c r="I111" t="str">
        <f>LEFT(Таблица8[[#This Row],[ФИО]],(M111-1))</f>
        <v>Гостомысл</v>
      </c>
      <c r="J111" t="str">
        <f>MID(Таблица8[[#This Row],[ФИО]],M111,(N111-M111))</f>
        <v xml:space="preserve"> Фомич</v>
      </c>
      <c r="K111" t="str">
        <f>RIGHT(Таблица8[[#This Row],[ФИО]],(O111-N111))</f>
        <v>Одинцов</v>
      </c>
      <c r="M111" s="60">
        <f>FIND(" ",Таблица8[[#This Row],[ФИО]],2)</f>
        <v>10</v>
      </c>
      <c r="N111">
        <f>FIND(" ",Таблица8[[#This Row],[ФИО]],(M111+1))</f>
        <v>16</v>
      </c>
      <c r="O111">
        <f>LEN(Таблица8[[#This Row],[ФИО]])</f>
        <v>23</v>
      </c>
      <c r="Q111" s="60" t="str">
        <f>LEFT(Таблица8[[#This Row],[ФИО]],(M111-1))</f>
        <v>Гостомысл</v>
      </c>
      <c r="R111" t="s">
        <v>1193</v>
      </c>
      <c r="S111" t="s">
        <v>1389</v>
      </c>
    </row>
    <row r="112" spans="1:19" x14ac:dyDescent="0.25">
      <c r="A112" s="51">
        <v>238</v>
      </c>
      <c r="B112" t="s">
        <v>233</v>
      </c>
      <c r="C112" t="s">
        <v>232</v>
      </c>
      <c r="D112" t="s">
        <v>143</v>
      </c>
      <c r="E112" s="26">
        <v>44909</v>
      </c>
      <c r="F112" t="str">
        <f t="shared" si="1"/>
        <v>+380</v>
      </c>
      <c r="G112" t="str">
        <f>INDEX('коды стран'!$A$2:$A$7, MATCH(F112, 'коды стран'!$B$2:$B$7, 0))</f>
        <v>Украина</v>
      </c>
      <c r="H112" t="s">
        <v>128</v>
      </c>
      <c r="I112" t="str">
        <f>LEFT(Таблица8[[#This Row],[ФИО]],(M112-1))</f>
        <v>Григорьев</v>
      </c>
      <c r="J112" t="str">
        <f>MID(Таблица8[[#This Row],[ФИО]],M112,(N112-M112))</f>
        <v xml:space="preserve"> Сократ</v>
      </c>
      <c r="K112" t="str">
        <f>RIGHT(Таблица8[[#This Row],[ФИО]],(O112-N112))</f>
        <v>Ануфриевич</v>
      </c>
      <c r="M112" s="59">
        <f>FIND(" ",Таблица8[[#This Row],[ФИО]],2)</f>
        <v>10</v>
      </c>
      <c r="N112">
        <f>FIND(" ",Таблица8[[#This Row],[ФИО]],(M112+1))</f>
        <v>17</v>
      </c>
      <c r="O112">
        <f>LEN(Таблица8[[#This Row],[ФИО]])</f>
        <v>27</v>
      </c>
      <c r="Q112" s="59" t="str">
        <f>MID(Таблица8[[#This Row],[ФИО]],M112,(N112-M112))</f>
        <v xml:space="preserve"> Сократ</v>
      </c>
      <c r="R112" t="s">
        <v>1194</v>
      </c>
      <c r="S112" t="s">
        <v>1488</v>
      </c>
    </row>
    <row r="113" spans="1:19" x14ac:dyDescent="0.25">
      <c r="A113" s="51">
        <v>336</v>
      </c>
      <c r="B113" t="s">
        <v>359</v>
      </c>
      <c r="C113" t="s">
        <v>358</v>
      </c>
      <c r="D113" t="s">
        <v>140</v>
      </c>
      <c r="E113" s="26">
        <v>44856</v>
      </c>
      <c r="F113" t="str">
        <f t="shared" si="1"/>
        <v>+998</v>
      </c>
      <c r="G113" t="str">
        <f>INDEX('коды стран'!$A$2:$A$7, MATCH(F113, 'коды стран'!$B$2:$B$7, 0))</f>
        <v>Узбекистан</v>
      </c>
      <c r="H113" t="s">
        <v>132</v>
      </c>
      <c r="I113" t="str">
        <f>LEFT(Таблица8[[#This Row],[ФИО]],(M113-1))</f>
        <v>Григорьева</v>
      </c>
      <c r="J113" t="str">
        <f>MID(Таблица8[[#This Row],[ФИО]],M113,(N113-M113))</f>
        <v xml:space="preserve"> Ульяна</v>
      </c>
      <c r="K113" t="str">
        <f>RIGHT(Таблица8[[#This Row],[ФИО]],(O113-N113))</f>
        <v>Артемовна</v>
      </c>
      <c r="M113" s="60">
        <f>FIND(" ",Таблица8[[#This Row],[ФИО]],2)</f>
        <v>11</v>
      </c>
      <c r="N113">
        <f>FIND(" ",Таблица8[[#This Row],[ФИО]],(M113+1))</f>
        <v>18</v>
      </c>
      <c r="O113">
        <f>LEN(Таблица8[[#This Row],[ФИО]])</f>
        <v>27</v>
      </c>
      <c r="Q113" s="60" t="str">
        <f>MID(Таблица8[[#This Row],[ФИО]],M113,(N113-M113))</f>
        <v xml:space="preserve"> Ульяна</v>
      </c>
      <c r="R113" t="s">
        <v>1122</v>
      </c>
      <c r="S113" t="s">
        <v>1441</v>
      </c>
    </row>
    <row r="114" spans="1:19" x14ac:dyDescent="0.25">
      <c r="A114" s="51">
        <v>86</v>
      </c>
      <c r="B114" t="s">
        <v>581</v>
      </c>
      <c r="C114" t="s">
        <v>580</v>
      </c>
      <c r="D114" t="s">
        <v>143</v>
      </c>
      <c r="E114" s="26">
        <v>44692</v>
      </c>
      <c r="F114" t="str">
        <f t="shared" si="1"/>
        <v>+998</v>
      </c>
      <c r="G114" t="str">
        <f>INDEX('коды стран'!$A$2:$A$7, MATCH(F114, 'коды стран'!$B$2:$B$7, 0))</f>
        <v>Узбекистан</v>
      </c>
      <c r="H114" t="s">
        <v>132</v>
      </c>
      <c r="I114" t="str">
        <f>LEFT(Таблица8[[#This Row],[ФИО]],(M114-1))</f>
        <v>Гуляева</v>
      </c>
      <c r="J114" t="str">
        <f>MID(Таблица8[[#This Row],[ФИО]],M114,(N114-M114))</f>
        <v xml:space="preserve"> Раиса</v>
      </c>
      <c r="K114" t="str">
        <f>RIGHT(Таблица8[[#This Row],[ФИО]],(O114-N114))</f>
        <v>Кузьминична</v>
      </c>
      <c r="M114" s="59">
        <f>FIND(" ",Таблица8[[#This Row],[ФИО]],2)</f>
        <v>8</v>
      </c>
      <c r="N114">
        <f>FIND(" ",Таблица8[[#This Row],[ФИО]],(M114+1))</f>
        <v>14</v>
      </c>
      <c r="O114">
        <f>LEN(Таблица8[[#This Row],[ФИО]])</f>
        <v>25</v>
      </c>
      <c r="Q114" s="59" t="str">
        <f>MID(Таблица8[[#This Row],[ФИО]],M114,(N114-M114))</f>
        <v xml:space="preserve"> Раиса</v>
      </c>
      <c r="R114" t="s">
        <v>1195</v>
      </c>
      <c r="S114" t="s">
        <v>1439</v>
      </c>
    </row>
    <row r="115" spans="1:19" x14ac:dyDescent="0.25">
      <c r="A115" s="51">
        <v>353</v>
      </c>
      <c r="B115" t="s">
        <v>987</v>
      </c>
      <c r="C115" t="s">
        <v>986</v>
      </c>
      <c r="D115" t="s">
        <v>143</v>
      </c>
      <c r="E115" s="26">
        <v>44656</v>
      </c>
      <c r="F115" t="str">
        <f t="shared" si="1"/>
        <v>+992</v>
      </c>
      <c r="G115" t="str">
        <f>INDEX('коды стран'!$A$2:$A$7, MATCH(F115, 'коды стран'!$B$2:$B$7, 0))</f>
        <v>Таджикистан</v>
      </c>
      <c r="H115" t="s">
        <v>130</v>
      </c>
      <c r="I115" t="str">
        <f>LEFT(Таблица8[[#This Row],[ФИО]],(M115-1))</f>
        <v>Гурьев</v>
      </c>
      <c r="J115" t="str">
        <f>MID(Таблица8[[#This Row],[ФИО]],M115,(N115-M115))</f>
        <v xml:space="preserve"> Влас</v>
      </c>
      <c r="K115" t="str">
        <f>RIGHT(Таблица8[[#This Row],[ФИО]],(O115-N115))</f>
        <v>Юлианович</v>
      </c>
      <c r="M115" s="60">
        <f>FIND(" ",Таблица8[[#This Row],[ФИО]],2)</f>
        <v>7</v>
      </c>
      <c r="N115">
        <f>FIND(" ",Таблица8[[#This Row],[ФИО]],(M115+1))</f>
        <v>12</v>
      </c>
      <c r="O115">
        <f>LEN(Таблица8[[#This Row],[ФИО]])</f>
        <v>21</v>
      </c>
      <c r="Q115" s="60" t="str">
        <f>MID(Таблица8[[#This Row],[ФИО]],M115,(N115-M115))</f>
        <v xml:space="preserve"> Влас</v>
      </c>
      <c r="R115" t="s">
        <v>1196</v>
      </c>
      <c r="S115" t="s">
        <v>1489</v>
      </c>
    </row>
    <row r="116" spans="1:19" x14ac:dyDescent="0.25">
      <c r="A116" s="51">
        <v>281</v>
      </c>
      <c r="B116" t="s">
        <v>789</v>
      </c>
      <c r="C116" t="s">
        <v>788</v>
      </c>
      <c r="D116" t="s">
        <v>140</v>
      </c>
      <c r="E116" s="26">
        <v>44711</v>
      </c>
      <c r="F116" t="str">
        <f t="shared" si="1"/>
        <v>+998</v>
      </c>
      <c r="G116" t="str">
        <f>INDEX('коды стран'!$A$2:$A$7, MATCH(F116, 'коды стран'!$B$2:$B$7, 0))</f>
        <v>Узбекистан</v>
      </c>
      <c r="H116" t="s">
        <v>132</v>
      </c>
      <c r="I116" t="str">
        <f>LEFT(Таблица8[[#This Row],[ФИО]],(M116-1))</f>
        <v>Гурьев</v>
      </c>
      <c r="J116" t="str">
        <f>MID(Таблица8[[#This Row],[ФИО]],M116,(N116-M116))</f>
        <v xml:space="preserve"> Евсей</v>
      </c>
      <c r="K116" t="str">
        <f>RIGHT(Таблица8[[#This Row],[ФИО]],(O116-N116))</f>
        <v>Гертрудович</v>
      </c>
      <c r="M116" s="59">
        <f>FIND(" ",Таблица8[[#This Row],[ФИО]],2)</f>
        <v>7</v>
      </c>
      <c r="N116">
        <f>FIND(" ",Таблица8[[#This Row],[ФИО]],(M116+1))</f>
        <v>13</v>
      </c>
      <c r="O116">
        <f>LEN(Таблица8[[#This Row],[ФИО]])</f>
        <v>24</v>
      </c>
      <c r="Q116" s="59" t="str">
        <f>MID(Таблица8[[#This Row],[ФИО]],M116,(N116-M116))</f>
        <v xml:space="preserve"> Евсей</v>
      </c>
      <c r="R116" t="s">
        <v>1196</v>
      </c>
      <c r="S116" t="s">
        <v>1447</v>
      </c>
    </row>
    <row r="117" spans="1:19" x14ac:dyDescent="0.25">
      <c r="A117" s="51">
        <v>109</v>
      </c>
      <c r="B117" t="s">
        <v>531</v>
      </c>
      <c r="C117" t="s">
        <v>530</v>
      </c>
      <c r="D117" t="s">
        <v>143</v>
      </c>
      <c r="E117" s="26">
        <v>44732</v>
      </c>
      <c r="F117" t="str">
        <f t="shared" si="1"/>
        <v>+380</v>
      </c>
      <c r="G117" t="str">
        <f>INDEX('коды стран'!$A$2:$A$7, MATCH(F117, 'коды стран'!$B$2:$B$7, 0))</f>
        <v>Украина</v>
      </c>
      <c r="H117" t="s">
        <v>128</v>
      </c>
      <c r="I117" t="str">
        <f>LEFT(Таблица8[[#This Row],[ФИО]],(M117-1))</f>
        <v>Гурьева</v>
      </c>
      <c r="J117" t="str">
        <f>MID(Таблица8[[#This Row],[ФИО]],M117,(N117-M117))</f>
        <v xml:space="preserve"> Людмила</v>
      </c>
      <c r="K117" t="str">
        <f>RIGHT(Таблица8[[#This Row],[ФИО]],(O117-N117))</f>
        <v>Владимировна</v>
      </c>
      <c r="M117" s="60">
        <f>FIND(" ",Таблица8[[#This Row],[ФИО]],2)</f>
        <v>8</v>
      </c>
      <c r="N117">
        <f>FIND(" ",Таблица8[[#This Row],[ФИО]],(M117+1))</f>
        <v>16</v>
      </c>
      <c r="O117">
        <f>LEN(Таблица8[[#This Row],[ФИО]])</f>
        <v>28</v>
      </c>
      <c r="Q117" s="60" t="str">
        <f>MID(Таблица8[[#This Row],[ФИО]],M117,(N117-M117))</f>
        <v xml:space="preserve"> Людмила</v>
      </c>
      <c r="R117" t="s">
        <v>1197</v>
      </c>
      <c r="S117" t="s">
        <v>1490</v>
      </c>
    </row>
    <row r="118" spans="1:19" x14ac:dyDescent="0.25">
      <c r="A118" s="51">
        <v>32</v>
      </c>
      <c r="B118" t="s">
        <v>731</v>
      </c>
      <c r="C118" t="s">
        <v>730</v>
      </c>
      <c r="D118" t="s">
        <v>143</v>
      </c>
      <c r="E118" s="26">
        <v>44922</v>
      </c>
      <c r="F118" t="str">
        <f t="shared" si="1"/>
        <v>+998</v>
      </c>
      <c r="G118" t="str">
        <f>INDEX('коды стран'!$A$2:$A$7, MATCH(F118, 'коды стран'!$B$2:$B$7, 0))</f>
        <v>Узбекистан</v>
      </c>
      <c r="H118" t="s">
        <v>132</v>
      </c>
      <c r="I118" t="str">
        <f>LEFT(Таблица8[[#This Row],[ФИО]],(M118-1))</f>
        <v>Гущин</v>
      </c>
      <c r="J118" t="str">
        <f>MID(Таблица8[[#This Row],[ФИО]],M118,(N118-M118))</f>
        <v xml:space="preserve"> Ипполит</v>
      </c>
      <c r="K118" t="str">
        <f>RIGHT(Таблица8[[#This Row],[ФИО]],(O118-N118))</f>
        <v>Яковлевич</v>
      </c>
      <c r="M118" s="59">
        <f>FIND(" ",Таблица8[[#This Row],[ФИО]],2)</f>
        <v>6</v>
      </c>
      <c r="N118">
        <f>FIND(" ",Таблица8[[#This Row],[ФИО]],(M118+1))</f>
        <v>14</v>
      </c>
      <c r="O118">
        <f>LEN(Таблица8[[#This Row],[ФИО]])</f>
        <v>23</v>
      </c>
      <c r="Q118" s="59" t="str">
        <f>MID(Таблица8[[#This Row],[ФИО]],M118,(N118-M118))</f>
        <v xml:space="preserve"> Ипполит</v>
      </c>
      <c r="R118" t="s">
        <v>1107</v>
      </c>
      <c r="S118" t="s">
        <v>1491</v>
      </c>
    </row>
    <row r="119" spans="1:19" x14ac:dyDescent="0.25">
      <c r="A119" s="51">
        <v>110</v>
      </c>
      <c r="B119" t="s">
        <v>607</v>
      </c>
      <c r="C119" t="s">
        <v>606</v>
      </c>
      <c r="D119" t="s">
        <v>140</v>
      </c>
      <c r="E119" s="26">
        <v>44580</v>
      </c>
      <c r="F119" t="str">
        <f t="shared" si="1"/>
        <v>+998</v>
      </c>
      <c r="G119" t="str">
        <f>INDEX('коды стран'!$A$2:$A$7, MATCH(F119, 'коды стран'!$B$2:$B$7, 0))</f>
        <v>Узбекистан</v>
      </c>
      <c r="H119" t="s">
        <v>132</v>
      </c>
      <c r="I119" t="str">
        <f>LEFT(Таблица8[[#This Row],[ФИО]],(M119-1))</f>
        <v>Давыд</v>
      </c>
      <c r="J119" t="str">
        <f>MID(Таблица8[[#This Row],[ФИО]],M119,(N119-M119))</f>
        <v xml:space="preserve"> Фёдорович</v>
      </c>
      <c r="K119" t="str">
        <f>RIGHT(Таблица8[[#This Row],[ФИО]],(O119-N119))</f>
        <v>Белоусов</v>
      </c>
      <c r="M119" s="60">
        <f>FIND(" ",Таблица8[[#This Row],[ФИО]],2)</f>
        <v>6</v>
      </c>
      <c r="N119">
        <f>FIND(" ",Таблица8[[#This Row],[ФИО]],(M119+1))</f>
        <v>16</v>
      </c>
      <c r="O119">
        <f>LEN(Таблица8[[#This Row],[ФИО]])</f>
        <v>24</v>
      </c>
      <c r="Q119" s="60" t="str">
        <f>LEFT(Таблица8[[#This Row],[ФИО]],(M119-1))</f>
        <v>Давыд</v>
      </c>
      <c r="R119" t="s">
        <v>1198</v>
      </c>
      <c r="S119" t="s">
        <v>1492</v>
      </c>
    </row>
    <row r="120" spans="1:19" x14ac:dyDescent="0.25">
      <c r="A120" s="51">
        <v>294</v>
      </c>
      <c r="B120" t="s">
        <v>357</v>
      </c>
      <c r="C120" t="s">
        <v>356</v>
      </c>
      <c r="D120" t="s">
        <v>143</v>
      </c>
      <c r="E120" s="26">
        <v>44879</v>
      </c>
      <c r="F120" t="str">
        <f t="shared" si="1"/>
        <v>+380</v>
      </c>
      <c r="G120" t="str">
        <f>INDEX('коды стран'!$A$2:$A$7, MATCH(F120, 'коды стран'!$B$2:$B$7, 0))</f>
        <v>Украина</v>
      </c>
      <c r="H120" t="s">
        <v>128</v>
      </c>
      <c r="I120" t="str">
        <f>LEFT(Таблица8[[#This Row],[ФИО]],(M120-1))</f>
        <v>Давыд</v>
      </c>
      <c r="J120" t="str">
        <f>MID(Таблица8[[#This Row],[ФИО]],M120,(N120-M120))</f>
        <v xml:space="preserve"> Филатович</v>
      </c>
      <c r="K120" t="str">
        <f>RIGHT(Таблица8[[#This Row],[ФИО]],(O120-N120))</f>
        <v>Мухин</v>
      </c>
      <c r="M120" s="59">
        <f>FIND(" ",Таблица8[[#This Row],[ФИО]],2)</f>
        <v>6</v>
      </c>
      <c r="N120">
        <f>FIND(" ",Таблица8[[#This Row],[ФИО]],(M120+1))</f>
        <v>16</v>
      </c>
      <c r="O120">
        <f>LEN(Таблица8[[#This Row],[ФИО]])</f>
        <v>21</v>
      </c>
      <c r="Q120" s="59" t="str">
        <f>LEFT(Таблица8[[#This Row],[ФИО]],(M120-1))</f>
        <v>Давыд</v>
      </c>
      <c r="R120" t="s">
        <v>1199</v>
      </c>
      <c r="S120" t="s">
        <v>1493</v>
      </c>
    </row>
    <row r="121" spans="1:19" x14ac:dyDescent="0.25">
      <c r="A121" s="51">
        <v>10</v>
      </c>
      <c r="B121" t="s">
        <v>501</v>
      </c>
      <c r="C121" t="s">
        <v>500</v>
      </c>
      <c r="D121" t="s">
        <v>140</v>
      </c>
      <c r="E121" s="26">
        <v>44881</v>
      </c>
      <c r="F121" t="str">
        <f t="shared" si="1"/>
        <v>+380</v>
      </c>
      <c r="G121" t="str">
        <f>INDEX('коды стран'!$A$2:$A$7, MATCH(F121, 'коды стран'!$B$2:$B$7, 0))</f>
        <v>Украина</v>
      </c>
      <c r="H121" t="s">
        <v>128</v>
      </c>
      <c r="I121" t="str">
        <f>LEFT(Таблица8[[#This Row],[ФИО]],(M121-1))</f>
        <v>Давыдов</v>
      </c>
      <c r="J121" t="str">
        <f>MID(Таблица8[[#This Row],[ФИО]],M121,(N121-M121))</f>
        <v xml:space="preserve"> Амос</v>
      </c>
      <c r="K121" t="str">
        <f>RIGHT(Таблица8[[#This Row],[ФИО]],(O121-N121))</f>
        <v>Владиславович</v>
      </c>
      <c r="M121" s="60">
        <f>FIND(" ",Таблица8[[#This Row],[ФИО]],2)</f>
        <v>8</v>
      </c>
      <c r="N121">
        <f>FIND(" ",Таблица8[[#This Row],[ФИО]],(M121+1))</f>
        <v>13</v>
      </c>
      <c r="O121">
        <f>LEN(Таблица8[[#This Row],[ФИО]])</f>
        <v>26</v>
      </c>
      <c r="Q121" s="60" t="str">
        <f>MID(Таблица8[[#This Row],[ФИО]],M121,(N121-M121))</f>
        <v xml:space="preserve"> Амос</v>
      </c>
      <c r="R121" t="s">
        <v>1200</v>
      </c>
      <c r="S121" t="s">
        <v>1494</v>
      </c>
    </row>
    <row r="122" spans="1:19" x14ac:dyDescent="0.25">
      <c r="A122" s="51">
        <v>468</v>
      </c>
      <c r="B122" t="s">
        <v>401</v>
      </c>
      <c r="C122" t="s">
        <v>400</v>
      </c>
      <c r="D122" t="s">
        <v>143</v>
      </c>
      <c r="E122" s="26">
        <v>44619</v>
      </c>
      <c r="F122" t="str">
        <f t="shared" si="1"/>
        <v>+998</v>
      </c>
      <c r="G122" t="str">
        <f>INDEX('коды стран'!$A$2:$A$7, MATCH(F122, 'коды стран'!$B$2:$B$7, 0))</f>
        <v>Узбекистан</v>
      </c>
      <c r="H122" t="s">
        <v>132</v>
      </c>
      <c r="I122" t="str">
        <f>LEFT(Таблица8[[#This Row],[ФИО]],(M122-1))</f>
        <v>Дарья</v>
      </c>
      <c r="J122" t="str">
        <f>MID(Таблица8[[#This Row],[ФИО]],M122,(N122-M122))</f>
        <v xml:space="preserve"> Степановна</v>
      </c>
      <c r="K122" t="str">
        <f>RIGHT(Таблица8[[#This Row],[ФИО]],(O122-N122))</f>
        <v>Потапова</v>
      </c>
      <c r="M122" s="59">
        <f>FIND(" ",Таблица8[[#This Row],[ФИО]],2)</f>
        <v>6</v>
      </c>
      <c r="N122">
        <f>FIND(" ",Таблица8[[#This Row],[ФИО]],(M122+1))</f>
        <v>17</v>
      </c>
      <c r="O122">
        <f>LEN(Таблица8[[#This Row],[ФИО]])</f>
        <v>25</v>
      </c>
      <c r="Q122" s="59" t="str">
        <f>LEFT(Таблица8[[#This Row],[ФИО]],(M122-1))</f>
        <v>Дарья</v>
      </c>
      <c r="R122" t="s">
        <v>1135</v>
      </c>
      <c r="S122" t="s">
        <v>1495</v>
      </c>
    </row>
    <row r="123" spans="1:19" x14ac:dyDescent="0.25">
      <c r="A123" s="51">
        <v>270</v>
      </c>
      <c r="B123" t="s">
        <v>921</v>
      </c>
      <c r="C123" t="s">
        <v>920</v>
      </c>
      <c r="D123" t="s">
        <v>143</v>
      </c>
      <c r="E123" s="26">
        <v>44827</v>
      </c>
      <c r="F123" t="str">
        <f t="shared" si="1"/>
        <v>+992</v>
      </c>
      <c r="G123" t="str">
        <f>INDEX('коды стран'!$A$2:$A$7, MATCH(F123, 'коды стран'!$B$2:$B$7, 0))</f>
        <v>Таджикистан</v>
      </c>
      <c r="H123" t="s">
        <v>130</v>
      </c>
      <c r="I123" t="str">
        <f>LEFT(Таблица8[[#This Row],[ФИО]],(M123-1))</f>
        <v>Дементий</v>
      </c>
      <c r="J123" t="str">
        <f>MID(Таблица8[[#This Row],[ФИО]],M123,(N123-M123))</f>
        <v xml:space="preserve"> Антипович</v>
      </c>
      <c r="K123" t="str">
        <f>RIGHT(Таблица8[[#This Row],[ФИО]],(O123-N123))</f>
        <v>Мухин</v>
      </c>
      <c r="M123" s="60">
        <f>FIND(" ",Таблица8[[#This Row],[ФИО]],2)</f>
        <v>9</v>
      </c>
      <c r="N123">
        <f>FIND(" ",Таблица8[[#This Row],[ФИО]],(M123+1))</f>
        <v>19</v>
      </c>
      <c r="O123">
        <f>LEN(Таблица8[[#This Row],[ФИО]])</f>
        <v>24</v>
      </c>
      <c r="Q123" s="60" t="str">
        <f>LEFT(Таблица8[[#This Row],[ФИО]],(M123-1))</f>
        <v>Дементий</v>
      </c>
      <c r="R123" t="s">
        <v>1199</v>
      </c>
      <c r="S123" t="s">
        <v>1496</v>
      </c>
    </row>
    <row r="124" spans="1:19" x14ac:dyDescent="0.25">
      <c r="A124" s="51">
        <v>221</v>
      </c>
      <c r="B124" t="s">
        <v>445</v>
      </c>
      <c r="C124" t="s">
        <v>444</v>
      </c>
      <c r="D124" t="s">
        <v>143</v>
      </c>
      <c r="E124" s="26">
        <v>44820</v>
      </c>
      <c r="F124" t="str">
        <f t="shared" si="1"/>
        <v>+992</v>
      </c>
      <c r="G124" t="str">
        <f>INDEX('коды стран'!$A$2:$A$7, MATCH(F124, 'коды стран'!$B$2:$B$7, 0))</f>
        <v>Таджикистан</v>
      </c>
      <c r="H124" t="s">
        <v>130</v>
      </c>
      <c r="I124" t="str">
        <f>LEFT(Таблица8[[#This Row],[ФИО]],(M124-1))</f>
        <v>Демид</v>
      </c>
      <c r="J124" t="str">
        <f>MID(Таблица8[[#This Row],[ФИО]],M124,(N124-M124))</f>
        <v xml:space="preserve"> Антонович</v>
      </c>
      <c r="K124" t="str">
        <f>RIGHT(Таблица8[[#This Row],[ФИО]],(O124-N124))</f>
        <v>Мясников</v>
      </c>
      <c r="M124" s="59">
        <f>FIND(" ",Таблица8[[#This Row],[ФИО]],2)</f>
        <v>6</v>
      </c>
      <c r="N124">
        <f>FIND(" ",Таблица8[[#This Row],[ФИО]],(M124+1))</f>
        <v>16</v>
      </c>
      <c r="O124">
        <f>LEN(Таблица8[[#This Row],[ФИО]])</f>
        <v>24</v>
      </c>
      <c r="Q124" s="59" t="str">
        <f>LEFT(Таблица8[[#This Row],[ФИО]],(M124-1))</f>
        <v>Демид</v>
      </c>
      <c r="R124" t="s">
        <v>1201</v>
      </c>
      <c r="S124" t="s">
        <v>1497</v>
      </c>
    </row>
    <row r="125" spans="1:19" x14ac:dyDescent="0.25">
      <c r="A125" s="51">
        <v>406</v>
      </c>
      <c r="B125" t="s">
        <v>505</v>
      </c>
      <c r="C125" t="s">
        <v>504</v>
      </c>
      <c r="D125" t="s">
        <v>143</v>
      </c>
      <c r="E125" s="26">
        <v>44895</v>
      </c>
      <c r="F125" t="str">
        <f t="shared" si="1"/>
        <v>+380</v>
      </c>
      <c r="G125" t="str">
        <f>INDEX('коды стран'!$A$2:$A$7, MATCH(F125, 'коды стран'!$B$2:$B$7, 0))</f>
        <v>Украина</v>
      </c>
      <c r="H125" t="s">
        <v>128</v>
      </c>
      <c r="I125" t="str">
        <f>LEFT(Таблица8[[#This Row],[ФИО]],(M125-1))</f>
        <v>Дмитрий</v>
      </c>
      <c r="J125" t="str">
        <f>MID(Таблица8[[#This Row],[ФИО]],M125,(N125-M125))</f>
        <v xml:space="preserve"> Трифонович</v>
      </c>
      <c r="K125" t="str">
        <f>RIGHT(Таблица8[[#This Row],[ФИО]],(O125-N125))</f>
        <v>Денисов</v>
      </c>
      <c r="M125" s="60">
        <f>FIND(" ",Таблица8[[#This Row],[ФИО]],2)</f>
        <v>8</v>
      </c>
      <c r="N125">
        <f>FIND(" ",Таблица8[[#This Row],[ФИО]],(M125+1))</f>
        <v>19</v>
      </c>
      <c r="O125">
        <f>LEN(Таблица8[[#This Row],[ФИО]])</f>
        <v>26</v>
      </c>
      <c r="Q125" s="60" t="str">
        <f>LEFT(Таблица8[[#This Row],[ФИО]],(M125-1))</f>
        <v>Дмитрий</v>
      </c>
      <c r="R125" t="s">
        <v>1202</v>
      </c>
      <c r="S125" t="s">
        <v>1419</v>
      </c>
    </row>
    <row r="126" spans="1:19" x14ac:dyDescent="0.25">
      <c r="A126" s="51">
        <v>359</v>
      </c>
      <c r="B126" t="s">
        <v>827</v>
      </c>
      <c r="C126" t="s">
        <v>826</v>
      </c>
      <c r="D126" t="s">
        <v>140</v>
      </c>
      <c r="E126" s="26">
        <v>44584</v>
      </c>
      <c r="F126" t="str">
        <f t="shared" si="1"/>
        <v>+7</v>
      </c>
      <c r="G126" t="str">
        <f>INDEX('коды стран'!$A$2:$A$7, MATCH(F126, 'коды стран'!$B$2:$B$7, 0))</f>
        <v>Россия</v>
      </c>
      <c r="H126" t="s">
        <v>137</v>
      </c>
      <c r="I126" t="str">
        <f>LEFT(Таблица8[[#This Row],[ФИО]],(M126-1))</f>
        <v>Дорофеев</v>
      </c>
      <c r="J126" t="str">
        <f>MID(Таблица8[[#This Row],[ФИО]],M126,(N126-M126))</f>
        <v xml:space="preserve"> Тимур</v>
      </c>
      <c r="K126" t="str">
        <f>RIGHT(Таблица8[[#This Row],[ФИО]],(O126-N126))</f>
        <v>Валерьянович</v>
      </c>
      <c r="M126" s="59">
        <f>FIND(" ",Таблица8[[#This Row],[ФИО]],2)</f>
        <v>9</v>
      </c>
      <c r="N126">
        <f>FIND(" ",Таблица8[[#This Row],[ФИО]],(M126+1))</f>
        <v>15</v>
      </c>
      <c r="O126">
        <f>LEN(Таблица8[[#This Row],[ФИО]])</f>
        <v>27</v>
      </c>
      <c r="Q126" s="59" t="str">
        <f>MID(Таблица8[[#This Row],[ФИО]],M126,(N126-M126))</f>
        <v xml:space="preserve"> Тимур</v>
      </c>
      <c r="R126" t="s">
        <v>1203</v>
      </c>
      <c r="S126" t="s">
        <v>1393</v>
      </c>
    </row>
    <row r="127" spans="1:19" x14ac:dyDescent="0.25">
      <c r="A127" s="51">
        <v>476</v>
      </c>
      <c r="B127" t="s">
        <v>463</v>
      </c>
      <c r="C127" t="s">
        <v>462</v>
      </c>
      <c r="D127" t="s">
        <v>143</v>
      </c>
      <c r="E127" s="26">
        <v>44703</v>
      </c>
      <c r="F127" t="str">
        <f t="shared" si="1"/>
        <v>+380</v>
      </c>
      <c r="G127" t="str">
        <f>INDEX('коды стран'!$A$2:$A$7, MATCH(F127, 'коды стран'!$B$2:$B$7, 0))</f>
        <v>Украина</v>
      </c>
      <c r="H127" t="s">
        <v>128</v>
      </c>
      <c r="I127" t="str">
        <f>LEFT(Таблица8[[#This Row],[ФИО]],(M127-1))</f>
        <v>Дьячков</v>
      </c>
      <c r="J127" t="str">
        <f>MID(Таблица8[[#This Row],[ФИО]],M127,(N127-M127))</f>
        <v xml:space="preserve"> Серафим</v>
      </c>
      <c r="K127" t="str">
        <f>RIGHT(Таблица8[[#This Row],[ФИО]],(O127-N127))</f>
        <v>Дорофеевич</v>
      </c>
      <c r="M127" s="60">
        <f>FIND(" ",Таблица8[[#This Row],[ФИО]],2)</f>
        <v>8</v>
      </c>
      <c r="N127">
        <f>FIND(" ",Таблица8[[#This Row],[ФИО]],(M127+1))</f>
        <v>16</v>
      </c>
      <c r="O127">
        <f>LEN(Таблица8[[#This Row],[ФИО]])</f>
        <v>26</v>
      </c>
      <c r="Q127" s="60" t="str">
        <f>MID(Таблица8[[#This Row],[ФИО]],M127,(N127-M127))</f>
        <v xml:space="preserve"> Серафим</v>
      </c>
      <c r="R127" t="s">
        <v>1204</v>
      </c>
      <c r="S127" t="s">
        <v>1394</v>
      </c>
    </row>
    <row r="128" spans="1:19" x14ac:dyDescent="0.25">
      <c r="A128" s="51">
        <v>84</v>
      </c>
      <c r="B128" t="s">
        <v>515</v>
      </c>
      <c r="C128" t="s">
        <v>514</v>
      </c>
      <c r="D128" t="s">
        <v>140</v>
      </c>
      <c r="E128" s="26">
        <v>44805</v>
      </c>
      <c r="F128" t="str">
        <f t="shared" si="1"/>
        <v>+992</v>
      </c>
      <c r="G128" t="str">
        <f>INDEX('коды стран'!$A$2:$A$7, MATCH(F128, 'коды стран'!$B$2:$B$7, 0))</f>
        <v>Таджикистан</v>
      </c>
      <c r="H128" t="s">
        <v>130</v>
      </c>
      <c r="I128" t="str">
        <f>LEFT(Таблица8[[#This Row],[ФИО]],(M128-1))</f>
        <v>Евгения</v>
      </c>
      <c r="J128" t="str">
        <f>MID(Таблица8[[#This Row],[ФИО]],M128,(N128-M128))</f>
        <v xml:space="preserve"> Георгиевна</v>
      </c>
      <c r="K128" t="str">
        <f>RIGHT(Таблица8[[#This Row],[ФИО]],(O128-N128))</f>
        <v>Рожкова</v>
      </c>
      <c r="M128" s="59">
        <f>FIND(" ",Таблица8[[#This Row],[ФИО]],2)</f>
        <v>8</v>
      </c>
      <c r="N128">
        <f>FIND(" ",Таблица8[[#This Row],[ФИО]],(M128+1))</f>
        <v>19</v>
      </c>
      <c r="O128">
        <f>LEN(Таблица8[[#This Row],[ФИО]])</f>
        <v>26</v>
      </c>
      <c r="Q128" s="59" t="str">
        <f>LEFT(Таблица8[[#This Row],[ФИО]],(M128-1))</f>
        <v>Евгения</v>
      </c>
      <c r="R128" t="s">
        <v>1124</v>
      </c>
      <c r="S128" t="s">
        <v>1460</v>
      </c>
    </row>
    <row r="129" spans="1:19" x14ac:dyDescent="0.25">
      <c r="A129" s="51">
        <v>166</v>
      </c>
      <c r="B129" t="s">
        <v>817</v>
      </c>
      <c r="C129" t="s">
        <v>816</v>
      </c>
      <c r="D129" t="s">
        <v>143</v>
      </c>
      <c r="E129" s="26">
        <v>44796</v>
      </c>
      <c r="F129" t="str">
        <f t="shared" si="1"/>
        <v>+998</v>
      </c>
      <c r="G129" t="str">
        <f>INDEX('коды стран'!$A$2:$A$7, MATCH(F129, 'коды стран'!$B$2:$B$7, 0))</f>
        <v>Узбекистан</v>
      </c>
      <c r="H129" t="s">
        <v>132</v>
      </c>
      <c r="I129" t="str">
        <f>LEFT(Таблица8[[#This Row],[ФИО]],(M129-1))</f>
        <v>Евдокимов</v>
      </c>
      <c r="J129" t="str">
        <f>MID(Таблица8[[#This Row],[ФИО]],M129,(N129-M129))</f>
        <v xml:space="preserve"> Януарий</v>
      </c>
      <c r="K129" t="str">
        <f>RIGHT(Таблица8[[#This Row],[ФИО]],(O129-N129))</f>
        <v>Феликсович</v>
      </c>
      <c r="M129" s="60">
        <f>FIND(" ",Таблица8[[#This Row],[ФИО]],2)</f>
        <v>10</v>
      </c>
      <c r="N129">
        <f>FIND(" ",Таблица8[[#This Row],[ФИО]],(M129+1))</f>
        <v>18</v>
      </c>
      <c r="O129">
        <f>LEN(Таблица8[[#This Row],[ФИО]])</f>
        <v>28</v>
      </c>
      <c r="Q129" s="60" t="str">
        <f>MID(Таблица8[[#This Row],[ФИО]],M129,(N129-M129))</f>
        <v xml:space="preserve"> Януарий</v>
      </c>
      <c r="R129" t="s">
        <v>1205</v>
      </c>
      <c r="S129" t="s">
        <v>1498</v>
      </c>
    </row>
    <row r="130" spans="1:19" x14ac:dyDescent="0.25">
      <c r="A130" s="51">
        <v>465</v>
      </c>
      <c r="B130" t="s">
        <v>387</v>
      </c>
      <c r="C130" t="s">
        <v>386</v>
      </c>
      <c r="D130" t="s">
        <v>140</v>
      </c>
      <c r="E130" s="26">
        <v>44671</v>
      </c>
      <c r="F130" t="str">
        <f t="shared" ref="F130:F193" si="2">LEFT(B130,LEN(B130)-13)</f>
        <v>+998</v>
      </c>
      <c r="G130" t="str">
        <f>INDEX('коды стран'!$A$2:$A$7, MATCH(F130, 'коды стран'!$B$2:$B$7, 0))</f>
        <v>Узбекистан</v>
      </c>
      <c r="H130" t="s">
        <v>132</v>
      </c>
      <c r="I130" t="str">
        <f>LEFT(Таблица8[[#This Row],[ФИО]],(M130-1))</f>
        <v>Евдокия</v>
      </c>
      <c r="J130" t="str">
        <f>MID(Таблица8[[#This Row],[ФИО]],M130,(N130-M130))</f>
        <v xml:space="preserve"> Ефимовна</v>
      </c>
      <c r="K130" t="str">
        <f>RIGHT(Таблица8[[#This Row],[ФИО]],(O130-N130))</f>
        <v>Карпова</v>
      </c>
      <c r="M130" s="59">
        <f>FIND(" ",Таблица8[[#This Row],[ФИО]],2)</f>
        <v>8</v>
      </c>
      <c r="N130">
        <f>FIND(" ",Таблица8[[#This Row],[ФИО]],(M130+1))</f>
        <v>17</v>
      </c>
      <c r="O130">
        <f>LEN(Таблица8[[#This Row],[ФИО]])</f>
        <v>24</v>
      </c>
      <c r="Q130" s="59" t="str">
        <f>LEFT(Таблица8[[#This Row],[ФИО]],(M130-1))</f>
        <v>Евдокия</v>
      </c>
      <c r="R130" t="s">
        <v>1206</v>
      </c>
      <c r="S130" t="s">
        <v>1413</v>
      </c>
    </row>
    <row r="131" spans="1:19" x14ac:dyDescent="0.25">
      <c r="A131" s="51">
        <v>94</v>
      </c>
      <c r="B131" t="s">
        <v>145</v>
      </c>
      <c r="C131" t="s">
        <v>144</v>
      </c>
      <c r="D131" t="s">
        <v>143</v>
      </c>
      <c r="E131" s="26">
        <v>44723</v>
      </c>
      <c r="F131" t="str">
        <f t="shared" si="2"/>
        <v>+380</v>
      </c>
      <c r="G131" t="str">
        <f>INDEX('коды стран'!$A$2:$A$7, MATCH(F131, 'коды стран'!$B$2:$B$7, 0))</f>
        <v>Украина</v>
      </c>
      <c r="H131" t="s">
        <v>128</v>
      </c>
      <c r="I131" t="str">
        <f>LEFT(Таблица8[[#This Row],[ФИО]],(M131-1))</f>
        <v>Евдокия</v>
      </c>
      <c r="J131" t="str">
        <f>MID(Таблица8[[#This Row],[ФИО]],M131,(N131-M131))</f>
        <v xml:space="preserve"> Эдуардовна</v>
      </c>
      <c r="K131" t="str">
        <f>RIGHT(Таблица8[[#This Row],[ФИО]],(O131-N131))</f>
        <v>Соловьева</v>
      </c>
      <c r="M131" s="60">
        <f>FIND(" ",Таблица8[[#This Row],[ФИО]],2)</f>
        <v>8</v>
      </c>
      <c r="N131">
        <f>FIND(" ",Таблица8[[#This Row],[ФИО]],(M131+1))</f>
        <v>19</v>
      </c>
      <c r="O131">
        <f>LEN(Таблица8[[#This Row],[ФИО]])</f>
        <v>28</v>
      </c>
      <c r="Q131" s="60" t="str">
        <f>LEFT(Таблица8[[#This Row],[ФИО]],(M131-1))</f>
        <v>Евдокия</v>
      </c>
      <c r="R131" t="s">
        <v>1207</v>
      </c>
      <c r="S131" t="s">
        <v>1499</v>
      </c>
    </row>
    <row r="132" spans="1:19" x14ac:dyDescent="0.25">
      <c r="A132" s="51">
        <v>479</v>
      </c>
      <c r="B132" t="s">
        <v>507</v>
      </c>
      <c r="C132" t="s">
        <v>506</v>
      </c>
      <c r="D132" t="s">
        <v>143</v>
      </c>
      <c r="E132" s="26">
        <v>44793</v>
      </c>
      <c r="F132" t="str">
        <f t="shared" si="2"/>
        <v>+7</v>
      </c>
      <c r="G132" t="str">
        <f>INDEX('коды стран'!$A$2:$A$7, MATCH(F132, 'коды стран'!$B$2:$B$7, 0))</f>
        <v>Россия</v>
      </c>
      <c r="H132" t="s">
        <v>137</v>
      </c>
      <c r="I132" t="str">
        <f>LEFT(Таблица8[[#This Row],[ФИО]],(M132-1))</f>
        <v>Евпраксия</v>
      </c>
      <c r="J132" t="str">
        <f>MID(Таблица8[[#This Row],[ФИО]],M132,(N132-M132))</f>
        <v xml:space="preserve"> Федоровна</v>
      </c>
      <c r="K132" t="str">
        <f>RIGHT(Таблица8[[#This Row],[ФИО]],(O132-N132))</f>
        <v>Фомина</v>
      </c>
      <c r="M132" s="59">
        <f>FIND(" ",Таблица8[[#This Row],[ФИО]],2)</f>
        <v>10</v>
      </c>
      <c r="N132">
        <f>FIND(" ",Таблица8[[#This Row],[ФИО]],(M132+1))</f>
        <v>20</v>
      </c>
      <c r="O132">
        <f>LEN(Таблица8[[#This Row],[ФИО]])</f>
        <v>26</v>
      </c>
      <c r="Q132" s="59" t="str">
        <f>LEFT(Таблица8[[#This Row],[ФИО]],(M132-1))</f>
        <v>Евпраксия</v>
      </c>
      <c r="R132" t="s">
        <v>1114</v>
      </c>
      <c r="S132" t="s">
        <v>1500</v>
      </c>
    </row>
    <row r="133" spans="1:19" x14ac:dyDescent="0.25">
      <c r="A133" s="51">
        <v>261</v>
      </c>
      <c r="B133" t="s">
        <v>523</v>
      </c>
      <c r="C133" t="s">
        <v>522</v>
      </c>
      <c r="D133" t="s">
        <v>143</v>
      </c>
      <c r="E133" s="26">
        <v>44848</v>
      </c>
      <c r="F133" t="str">
        <f t="shared" si="2"/>
        <v>+7</v>
      </c>
      <c r="G133" t="str">
        <f>INDEX('коды стран'!$A$2:$A$7, MATCH(F133, 'коды стран'!$B$2:$B$7, 0))</f>
        <v>Россия</v>
      </c>
      <c r="H133" t="s">
        <v>137</v>
      </c>
      <c r="I133" t="str">
        <f>LEFT(Таблица8[[#This Row],[ФИО]],(M133-1))</f>
        <v>Евсеев</v>
      </c>
      <c r="J133" t="str">
        <f>MID(Таблица8[[#This Row],[ФИО]],M133,(N133-M133))</f>
        <v xml:space="preserve"> Ратмир</v>
      </c>
      <c r="K133" t="str">
        <f>RIGHT(Таблица8[[#This Row],[ФИО]],(O133-N133))</f>
        <v>Артемьевич</v>
      </c>
      <c r="M133" s="60">
        <f>FIND(" ",Таблица8[[#This Row],[ФИО]],2)</f>
        <v>7</v>
      </c>
      <c r="N133">
        <f>FIND(" ",Таблица8[[#This Row],[ФИО]],(M133+1))</f>
        <v>14</v>
      </c>
      <c r="O133">
        <f>LEN(Таблица8[[#This Row],[ФИО]])</f>
        <v>24</v>
      </c>
      <c r="Q133" s="60" t="str">
        <f>MID(Таблица8[[#This Row],[ФИО]],M133,(N133-M133))</f>
        <v xml:space="preserve"> Ратмир</v>
      </c>
      <c r="R133" t="s">
        <v>1118</v>
      </c>
      <c r="S133" t="s">
        <v>1472</v>
      </c>
    </row>
    <row r="134" spans="1:19" x14ac:dyDescent="0.25">
      <c r="A134" s="51">
        <v>358</v>
      </c>
      <c r="B134" t="s">
        <v>707</v>
      </c>
      <c r="C134" t="s">
        <v>706</v>
      </c>
      <c r="D134" t="s">
        <v>143</v>
      </c>
      <c r="E134" s="26">
        <v>44771</v>
      </c>
      <c r="F134" t="str">
        <f t="shared" si="2"/>
        <v>+380</v>
      </c>
      <c r="G134" t="str">
        <f>INDEX('коды стран'!$A$2:$A$7, MATCH(F134, 'коды стран'!$B$2:$B$7, 0))</f>
        <v>Украина</v>
      </c>
      <c r="H134" t="s">
        <v>128</v>
      </c>
      <c r="I134" t="str">
        <f>LEFT(Таблица8[[#This Row],[ФИО]],(M134-1))</f>
        <v>Евфросиния</v>
      </c>
      <c r="J134" t="str">
        <f>MID(Таблица8[[#This Row],[ФИО]],M134,(N134-M134))</f>
        <v xml:space="preserve"> Петровна</v>
      </c>
      <c r="K134" t="str">
        <f>RIGHT(Таблица8[[#This Row],[ФИО]],(O134-N134))</f>
        <v>Чернова</v>
      </c>
      <c r="M134" s="59">
        <f>FIND(" ",Таблица8[[#This Row],[ФИО]],2)</f>
        <v>11</v>
      </c>
      <c r="N134">
        <f>FIND(" ",Таблица8[[#This Row],[ФИО]],(M134+1))</f>
        <v>20</v>
      </c>
      <c r="O134">
        <f>LEN(Таблица8[[#This Row],[ФИО]])</f>
        <v>27</v>
      </c>
      <c r="Q134" s="59" t="str">
        <f>LEFT(Таблица8[[#This Row],[ФИО]],(M134-1))</f>
        <v>Евфросиния</v>
      </c>
      <c r="R134" t="s">
        <v>1208</v>
      </c>
      <c r="S134" t="s">
        <v>1501</v>
      </c>
    </row>
    <row r="135" spans="1:19" x14ac:dyDescent="0.25">
      <c r="A135" s="51">
        <v>246</v>
      </c>
      <c r="B135" t="s">
        <v>477</v>
      </c>
      <c r="C135" t="s">
        <v>476</v>
      </c>
      <c r="D135" t="s">
        <v>140</v>
      </c>
      <c r="E135" s="26">
        <v>44805</v>
      </c>
      <c r="F135" t="str">
        <f t="shared" si="2"/>
        <v>+998</v>
      </c>
      <c r="G135" t="str">
        <f>INDEX('коды стран'!$A$2:$A$7, MATCH(F135, 'коды стран'!$B$2:$B$7, 0))</f>
        <v>Узбекистан</v>
      </c>
      <c r="H135" t="s">
        <v>132</v>
      </c>
      <c r="I135" t="str">
        <f>LEFT(Таблица8[[#This Row],[ФИО]],(M135-1))</f>
        <v>Евфросиния</v>
      </c>
      <c r="J135" t="str">
        <f>MID(Таблица8[[#This Row],[ФИО]],M135,(N135-M135))</f>
        <v xml:space="preserve"> Тимофеевна</v>
      </c>
      <c r="K135" t="str">
        <f>RIGHT(Таблица8[[#This Row],[ФИО]],(O135-N135))</f>
        <v>Миронова</v>
      </c>
      <c r="M135" s="60">
        <f>FIND(" ",Таблица8[[#This Row],[ФИО]],2)</f>
        <v>11</v>
      </c>
      <c r="N135">
        <f>FIND(" ",Таблица8[[#This Row],[ФИО]],(M135+1))</f>
        <v>22</v>
      </c>
      <c r="O135">
        <f>LEN(Таблица8[[#This Row],[ФИО]])</f>
        <v>30</v>
      </c>
      <c r="Q135" s="60" t="str">
        <f>LEFT(Таблица8[[#This Row],[ФИО]],(M135-1))</f>
        <v>Евфросиния</v>
      </c>
      <c r="R135" t="s">
        <v>1209</v>
      </c>
      <c r="S135" t="s">
        <v>1502</v>
      </c>
    </row>
    <row r="136" spans="1:19" x14ac:dyDescent="0.25">
      <c r="A136" s="51">
        <v>401</v>
      </c>
      <c r="B136" t="s">
        <v>301</v>
      </c>
      <c r="C136" t="s">
        <v>300</v>
      </c>
      <c r="D136" t="s">
        <v>140</v>
      </c>
      <c r="E136" s="26">
        <v>44856</v>
      </c>
      <c r="F136" t="str">
        <f t="shared" si="2"/>
        <v>+7</v>
      </c>
      <c r="G136" t="str">
        <f>INDEX('коды стран'!$A$2:$A$7, MATCH(F136, 'коды стран'!$B$2:$B$7, 0))</f>
        <v>Россия</v>
      </c>
      <c r="H136" t="s">
        <v>137</v>
      </c>
      <c r="I136" t="str">
        <f>LEFT(Таблица8[[#This Row],[ФИО]],(M136-1))</f>
        <v>Екатерина</v>
      </c>
      <c r="J136" t="str">
        <f>MID(Таблица8[[#This Row],[ФИО]],M136,(N136-M136))</f>
        <v xml:space="preserve"> Рудольфовна</v>
      </c>
      <c r="K136" t="str">
        <f>RIGHT(Таблица8[[#This Row],[ФИО]],(O136-N136))</f>
        <v>Кулакова</v>
      </c>
      <c r="M136" s="59">
        <f>FIND(" ",Таблица8[[#This Row],[ФИО]],2)</f>
        <v>10</v>
      </c>
      <c r="N136">
        <f>FIND(" ",Таблица8[[#This Row],[ФИО]],(M136+1))</f>
        <v>22</v>
      </c>
      <c r="O136">
        <f>LEN(Таблица8[[#This Row],[ФИО]])</f>
        <v>30</v>
      </c>
      <c r="Q136" s="59" t="str">
        <f>LEFT(Таблица8[[#This Row],[ФИО]],(M136-1))</f>
        <v>Екатерина</v>
      </c>
      <c r="R136" t="s">
        <v>1210</v>
      </c>
      <c r="S136" t="s">
        <v>1420</v>
      </c>
    </row>
    <row r="137" spans="1:19" x14ac:dyDescent="0.25">
      <c r="A137" s="51">
        <v>157</v>
      </c>
      <c r="B137" t="s">
        <v>511</v>
      </c>
      <c r="C137" t="s">
        <v>510</v>
      </c>
      <c r="D137" t="s">
        <v>140</v>
      </c>
      <c r="E137" s="26">
        <v>44783</v>
      </c>
      <c r="F137" t="str">
        <f t="shared" si="2"/>
        <v>+7</v>
      </c>
      <c r="G137" t="str">
        <f>INDEX('коды стран'!$A$2:$A$7, MATCH(F137, 'коды стран'!$B$2:$B$7, 0))</f>
        <v>Россия</v>
      </c>
      <c r="H137" t="s">
        <v>137</v>
      </c>
      <c r="I137" t="str">
        <f>LEFT(Таблица8[[#This Row],[ФИО]],(M137-1))</f>
        <v>Елена</v>
      </c>
      <c r="J137" t="str">
        <f>MID(Таблица8[[#This Row],[ФИО]],M137,(N137-M137))</f>
        <v xml:space="preserve"> Эдуардовна</v>
      </c>
      <c r="K137" t="str">
        <f>RIGHT(Таблица8[[#This Row],[ФИО]],(O137-N137))</f>
        <v>Кудряшова</v>
      </c>
      <c r="M137" s="60">
        <f>FIND(" ",Таблица8[[#This Row],[ФИО]],2)</f>
        <v>6</v>
      </c>
      <c r="N137">
        <f>FIND(" ",Таблица8[[#This Row],[ФИО]],(M137+1))</f>
        <v>17</v>
      </c>
      <c r="O137">
        <f>LEN(Таблица8[[#This Row],[ФИО]])</f>
        <v>26</v>
      </c>
      <c r="Q137" s="60" t="str">
        <f>LEFT(Таблица8[[#This Row],[ФИО]],(M137-1))</f>
        <v>Елена</v>
      </c>
      <c r="R137" t="s">
        <v>1211</v>
      </c>
      <c r="S137" t="s">
        <v>1499</v>
      </c>
    </row>
    <row r="138" spans="1:19" x14ac:dyDescent="0.25">
      <c r="A138" s="51">
        <v>237</v>
      </c>
      <c r="B138" t="s">
        <v>293</v>
      </c>
      <c r="C138" t="s">
        <v>292</v>
      </c>
      <c r="D138" t="s">
        <v>143</v>
      </c>
      <c r="E138" s="26">
        <v>44886</v>
      </c>
      <c r="F138" t="str">
        <f t="shared" si="2"/>
        <v>+7</v>
      </c>
      <c r="G138" t="str">
        <f>INDEX('коды стран'!$A$2:$A$7, MATCH(F138, 'коды стран'!$B$2:$B$7, 0))</f>
        <v>Россия</v>
      </c>
      <c r="H138" t="s">
        <v>137</v>
      </c>
      <c r="I138" t="str">
        <f>LEFT(Таблица8[[#This Row],[ФИО]],(M138-1))</f>
        <v>Елизавета</v>
      </c>
      <c r="J138" t="str">
        <f>MID(Таблица8[[#This Row],[ФИО]],M138,(N138-M138))</f>
        <v xml:space="preserve"> Артемовна</v>
      </c>
      <c r="K138" t="str">
        <f>RIGHT(Таблица8[[#This Row],[ФИО]],(O138-N138))</f>
        <v>Данилова</v>
      </c>
      <c r="M138" s="59">
        <f>FIND(" ",Таблица8[[#This Row],[ФИО]],2)</f>
        <v>10</v>
      </c>
      <c r="N138">
        <f>FIND(" ",Таблица8[[#This Row],[ФИО]],(M138+1))</f>
        <v>20</v>
      </c>
      <c r="O138">
        <f>LEN(Таблица8[[#This Row],[ФИО]])</f>
        <v>28</v>
      </c>
      <c r="Q138" s="59" t="str">
        <f>LEFT(Таблица8[[#This Row],[ФИО]],(M138-1))</f>
        <v>Елизавета</v>
      </c>
      <c r="R138" t="s">
        <v>1212</v>
      </c>
      <c r="S138" t="s">
        <v>1503</v>
      </c>
    </row>
    <row r="139" spans="1:19" x14ac:dyDescent="0.25">
      <c r="A139" s="51">
        <v>104</v>
      </c>
      <c r="B139" t="s">
        <v>533</v>
      </c>
      <c r="C139" t="s">
        <v>532</v>
      </c>
      <c r="D139" t="s">
        <v>140</v>
      </c>
      <c r="E139" s="26">
        <v>44772</v>
      </c>
      <c r="F139" t="str">
        <f t="shared" si="2"/>
        <v>+998</v>
      </c>
      <c r="G139" t="str">
        <f>INDEX('коды стран'!$A$2:$A$7, MATCH(F139, 'коды стран'!$B$2:$B$7, 0))</f>
        <v>Узбекистан</v>
      </c>
      <c r="H139" t="s">
        <v>132</v>
      </c>
      <c r="I139" t="str">
        <f>LEFT(Таблица8[[#This Row],[ФИО]],(M139-1))</f>
        <v>Елизавета</v>
      </c>
      <c r="J139" t="str">
        <f>MID(Таблица8[[#This Row],[ФИО]],M139,(N139-M139))</f>
        <v xml:space="preserve"> Яковлевна</v>
      </c>
      <c r="K139" t="str">
        <f>RIGHT(Таблица8[[#This Row],[ФИО]],(O139-N139))</f>
        <v>Лапина</v>
      </c>
      <c r="M139" s="60">
        <f>FIND(" ",Таблица8[[#This Row],[ФИО]],2)</f>
        <v>10</v>
      </c>
      <c r="N139">
        <f>FIND(" ",Таблица8[[#This Row],[ФИО]],(M139+1))</f>
        <v>20</v>
      </c>
      <c r="O139">
        <f>LEN(Таблица8[[#This Row],[ФИО]])</f>
        <v>26</v>
      </c>
      <c r="Q139" s="60" t="str">
        <f>LEFT(Таблица8[[#This Row],[ФИО]],(M139-1))</f>
        <v>Елизавета</v>
      </c>
      <c r="R139" t="s">
        <v>1213</v>
      </c>
      <c r="S139" t="s">
        <v>1504</v>
      </c>
    </row>
    <row r="140" spans="1:19" x14ac:dyDescent="0.25">
      <c r="A140" s="51">
        <v>69</v>
      </c>
      <c r="B140" t="s">
        <v>457</v>
      </c>
      <c r="C140" t="s">
        <v>456</v>
      </c>
      <c r="D140" t="s">
        <v>140</v>
      </c>
      <c r="E140" s="26">
        <v>44587</v>
      </c>
      <c r="F140" t="str">
        <f t="shared" si="2"/>
        <v>+992</v>
      </c>
      <c r="G140" t="str">
        <f>INDEX('коды стран'!$A$2:$A$7, MATCH(F140, 'коды стран'!$B$2:$B$7, 0))</f>
        <v>Таджикистан</v>
      </c>
      <c r="H140" t="s">
        <v>130</v>
      </c>
      <c r="I140" t="str">
        <f>LEFT(Таблица8[[#This Row],[ФИО]],(M140-1))</f>
        <v>Елизар</v>
      </c>
      <c r="J140" t="str">
        <f>MID(Таблица8[[#This Row],[ФИО]],M140,(N140-M140))</f>
        <v xml:space="preserve"> Архипович</v>
      </c>
      <c r="K140" t="str">
        <f>RIGHT(Таблица8[[#This Row],[ФИО]],(O140-N140))</f>
        <v>Щербаков</v>
      </c>
      <c r="M140" s="59">
        <f>FIND(" ",Таблица8[[#This Row],[ФИО]],2)</f>
        <v>7</v>
      </c>
      <c r="N140">
        <f>FIND(" ",Таблица8[[#This Row],[ФИО]],(M140+1))</f>
        <v>17</v>
      </c>
      <c r="O140">
        <f>LEN(Таблица8[[#This Row],[ФИО]])</f>
        <v>25</v>
      </c>
      <c r="Q140" s="59" t="str">
        <f>LEFT(Таблица8[[#This Row],[ФИО]],(M140-1))</f>
        <v>Елизар</v>
      </c>
      <c r="R140" t="s">
        <v>1214</v>
      </c>
      <c r="S140" t="s">
        <v>1415</v>
      </c>
    </row>
    <row r="141" spans="1:19" x14ac:dyDescent="0.25">
      <c r="A141" s="51">
        <v>45</v>
      </c>
      <c r="B141" t="s">
        <v>281</v>
      </c>
      <c r="C141" t="s">
        <v>280</v>
      </c>
      <c r="D141" t="s">
        <v>143</v>
      </c>
      <c r="E141" s="26">
        <v>44662</v>
      </c>
      <c r="F141" t="str">
        <f t="shared" si="2"/>
        <v>+998</v>
      </c>
      <c r="G141" t="str">
        <f>INDEX('коды стран'!$A$2:$A$7, MATCH(F141, 'коды стран'!$B$2:$B$7, 0))</f>
        <v>Узбекистан</v>
      </c>
      <c r="H141" t="s">
        <v>132</v>
      </c>
      <c r="I141" t="str">
        <f>LEFT(Таблица8[[#This Row],[ФИО]],(M141-1))</f>
        <v>Елизар</v>
      </c>
      <c r="J141" t="str">
        <f>MID(Таблица8[[#This Row],[ФИО]],M141,(N141-M141))</f>
        <v xml:space="preserve"> Харлампьевич</v>
      </c>
      <c r="K141" t="str">
        <f>RIGHT(Таблица8[[#This Row],[ФИО]],(O141-N141))</f>
        <v>Мамонтов</v>
      </c>
      <c r="M141" s="60">
        <f>FIND(" ",Таблица8[[#This Row],[ФИО]],2)</f>
        <v>7</v>
      </c>
      <c r="N141">
        <f>FIND(" ",Таблица8[[#This Row],[ФИО]],(M141+1))</f>
        <v>20</v>
      </c>
      <c r="O141">
        <f>LEN(Таблица8[[#This Row],[ФИО]])</f>
        <v>28</v>
      </c>
      <c r="Q141" s="60" t="str">
        <f>LEFT(Таблица8[[#This Row],[ФИО]],(M141-1))</f>
        <v>Елизар</v>
      </c>
      <c r="R141" t="s">
        <v>1215</v>
      </c>
      <c r="S141" t="s">
        <v>1505</v>
      </c>
    </row>
    <row r="142" spans="1:19" x14ac:dyDescent="0.25">
      <c r="A142" s="51">
        <v>235</v>
      </c>
      <c r="B142" t="s">
        <v>655</v>
      </c>
      <c r="C142" t="s">
        <v>654</v>
      </c>
      <c r="D142" t="s">
        <v>140</v>
      </c>
      <c r="E142" s="26">
        <v>44635</v>
      </c>
      <c r="F142" t="str">
        <f t="shared" si="2"/>
        <v>+998</v>
      </c>
      <c r="G142" t="str">
        <f>INDEX('коды стран'!$A$2:$A$7, MATCH(F142, 'коды стран'!$B$2:$B$7, 0))</f>
        <v>Узбекистан</v>
      </c>
      <c r="H142" t="s">
        <v>132</v>
      </c>
      <c r="I142" t="str">
        <f>LEFT(Таблица8[[#This Row],[ФИО]],(M142-1))</f>
        <v>Елисей</v>
      </c>
      <c r="J142" t="str">
        <f>MID(Таблица8[[#This Row],[ФИО]],M142,(N142-M142))</f>
        <v xml:space="preserve"> Игнатович</v>
      </c>
      <c r="K142" t="str">
        <f>RIGHT(Таблица8[[#This Row],[ФИО]],(O142-N142))</f>
        <v>Лобанов</v>
      </c>
      <c r="M142" s="59">
        <f>FIND(" ",Таблица8[[#This Row],[ФИО]],2)</f>
        <v>7</v>
      </c>
      <c r="N142">
        <f>FIND(" ",Таблица8[[#This Row],[ФИО]],(M142+1))</f>
        <v>17</v>
      </c>
      <c r="O142">
        <f>LEN(Таблица8[[#This Row],[ФИО]])</f>
        <v>24</v>
      </c>
      <c r="Q142" s="59" t="str">
        <f>LEFT(Таблица8[[#This Row],[ФИО]],(M142-1))</f>
        <v>Елисей</v>
      </c>
      <c r="R142" t="s">
        <v>1127</v>
      </c>
      <c r="S142" t="s">
        <v>1422</v>
      </c>
    </row>
    <row r="143" spans="1:19" x14ac:dyDescent="0.25">
      <c r="A143" s="51">
        <v>155</v>
      </c>
      <c r="B143" t="s">
        <v>175</v>
      </c>
      <c r="C143" t="s">
        <v>174</v>
      </c>
      <c r="D143" t="s">
        <v>140</v>
      </c>
      <c r="E143" s="26">
        <v>44564</v>
      </c>
      <c r="F143" t="str">
        <f t="shared" si="2"/>
        <v>+380</v>
      </c>
      <c r="G143" t="str">
        <f>INDEX('коды стран'!$A$2:$A$7, MATCH(F143, 'коды стран'!$B$2:$B$7, 0))</f>
        <v>Украина</v>
      </c>
      <c r="H143" t="s">
        <v>128</v>
      </c>
      <c r="I143" t="str">
        <f>LEFT(Таблица8[[#This Row],[ФИО]],(M143-1))</f>
        <v>Емельянов</v>
      </c>
      <c r="J143" t="str">
        <f>MID(Таблица8[[#This Row],[ФИО]],M143,(N143-M143))</f>
        <v xml:space="preserve"> Игорь</v>
      </c>
      <c r="K143" t="str">
        <f>RIGHT(Таблица8[[#This Row],[ФИО]],(O143-N143))</f>
        <v>Андреевич</v>
      </c>
      <c r="M143" s="60">
        <f>FIND(" ",Таблица8[[#This Row],[ФИО]],2)</f>
        <v>10</v>
      </c>
      <c r="N143">
        <f>FIND(" ",Таблица8[[#This Row],[ФИО]],(M143+1))</f>
        <v>16</v>
      </c>
      <c r="O143">
        <f>LEN(Таблица8[[#This Row],[ФИО]])</f>
        <v>25</v>
      </c>
      <c r="Q143" s="60" t="str">
        <f>MID(Таблица8[[#This Row],[ФИО]],M143,(N143-M143))</f>
        <v xml:space="preserve"> Игорь</v>
      </c>
      <c r="R143" t="s">
        <v>1128</v>
      </c>
      <c r="S143" t="s">
        <v>1506</v>
      </c>
    </row>
    <row r="144" spans="1:19" x14ac:dyDescent="0.25">
      <c r="A144" s="51">
        <v>146</v>
      </c>
      <c r="B144" t="s">
        <v>211</v>
      </c>
      <c r="C144" t="s">
        <v>210</v>
      </c>
      <c r="D144" t="s">
        <v>140</v>
      </c>
      <c r="E144" s="26">
        <v>44617</v>
      </c>
      <c r="F144" t="str">
        <f t="shared" si="2"/>
        <v>+375</v>
      </c>
      <c r="G144" t="str">
        <f>INDEX('коды стран'!$A$2:$A$7, MATCH(F144, 'коды стран'!$B$2:$B$7, 0))</f>
        <v>Беларусь</v>
      </c>
      <c r="H144" t="s">
        <v>134</v>
      </c>
      <c r="I144" t="str">
        <f>LEFT(Таблица8[[#This Row],[ФИО]],(M144-1))</f>
        <v>Еремей</v>
      </c>
      <c r="J144" t="str">
        <f>MID(Таблица8[[#This Row],[ФИО]],M144,(N144-M144))</f>
        <v xml:space="preserve"> Бориславович</v>
      </c>
      <c r="K144" t="str">
        <f>RIGHT(Таблица8[[#This Row],[ФИО]],(O144-N144))</f>
        <v>Воронов</v>
      </c>
      <c r="M144" s="59">
        <f>FIND(" ",Таблица8[[#This Row],[ФИО]],2)</f>
        <v>7</v>
      </c>
      <c r="N144">
        <f>FIND(" ",Таблица8[[#This Row],[ФИО]],(M144+1))</f>
        <v>20</v>
      </c>
      <c r="O144">
        <f>LEN(Таблица8[[#This Row],[ФИО]])</f>
        <v>27</v>
      </c>
      <c r="Q144" s="59" t="str">
        <f>LEFT(Таблица8[[#This Row],[ФИО]],(M144-1))</f>
        <v>Еремей</v>
      </c>
      <c r="R144" t="s">
        <v>1216</v>
      </c>
      <c r="S144" t="s">
        <v>1507</v>
      </c>
    </row>
    <row r="145" spans="1:19" x14ac:dyDescent="0.25">
      <c r="A145" s="51">
        <v>396</v>
      </c>
      <c r="B145" t="s">
        <v>795</v>
      </c>
      <c r="C145" t="s">
        <v>794</v>
      </c>
      <c r="D145" t="s">
        <v>140</v>
      </c>
      <c r="E145" s="26">
        <v>44871</v>
      </c>
      <c r="F145" t="str">
        <f t="shared" si="2"/>
        <v>+380</v>
      </c>
      <c r="G145" t="str">
        <f>INDEX('коды стран'!$A$2:$A$7, MATCH(F145, 'коды стран'!$B$2:$B$7, 0))</f>
        <v>Украина</v>
      </c>
      <c r="H145" t="s">
        <v>128</v>
      </c>
      <c r="I145" t="str">
        <f>LEFT(Таблица8[[#This Row],[ФИО]],(M145-1))</f>
        <v>Ермаков</v>
      </c>
      <c r="J145" t="str">
        <f>MID(Таблица8[[#This Row],[ФИО]],M145,(N145-M145))</f>
        <v xml:space="preserve"> Вадим</v>
      </c>
      <c r="K145" t="str">
        <f>RIGHT(Таблица8[[#This Row],[ФИО]],(O145-N145))</f>
        <v>Юлианович</v>
      </c>
      <c r="M145" s="60">
        <f>FIND(" ",Таблица8[[#This Row],[ФИО]],2)</f>
        <v>8</v>
      </c>
      <c r="N145">
        <f>FIND(" ",Таблица8[[#This Row],[ФИО]],(M145+1))</f>
        <v>14</v>
      </c>
      <c r="O145">
        <f>LEN(Таблица8[[#This Row],[ФИО]])</f>
        <v>23</v>
      </c>
      <c r="Q145" s="60" t="str">
        <f>MID(Таблица8[[#This Row],[ФИО]],M145,(N145-M145))</f>
        <v xml:space="preserve"> Вадим</v>
      </c>
      <c r="R145" t="s">
        <v>1217</v>
      </c>
      <c r="S145" t="s">
        <v>1489</v>
      </c>
    </row>
    <row r="146" spans="1:19" x14ac:dyDescent="0.25">
      <c r="A146" s="51">
        <v>123</v>
      </c>
      <c r="B146" t="s">
        <v>253</v>
      </c>
      <c r="C146" t="s">
        <v>252</v>
      </c>
      <c r="D146" t="s">
        <v>140</v>
      </c>
      <c r="E146" s="26">
        <v>44600</v>
      </c>
      <c r="F146" t="str">
        <f t="shared" si="2"/>
        <v>+7</v>
      </c>
      <c r="G146" t="str">
        <f>INDEX('коды стран'!$A$2:$A$7, MATCH(F146, 'коды стран'!$B$2:$B$7, 0))</f>
        <v>Россия</v>
      </c>
      <c r="H146" t="s">
        <v>137</v>
      </c>
      <c r="I146" t="str">
        <f>LEFT(Таблица8[[#This Row],[ФИО]],(M146-1))</f>
        <v>Ермаков</v>
      </c>
      <c r="J146" t="str">
        <f>MID(Таблица8[[#This Row],[ФИО]],M146,(N146-M146))</f>
        <v xml:space="preserve"> Всеслав</v>
      </c>
      <c r="K146" t="str">
        <f>RIGHT(Таблица8[[#This Row],[ФИО]],(O146-N146))</f>
        <v>Эдуардович</v>
      </c>
      <c r="M146" s="59">
        <f>FIND(" ",Таблица8[[#This Row],[ФИО]],2)</f>
        <v>8</v>
      </c>
      <c r="N146">
        <f>FIND(" ",Таблица8[[#This Row],[ФИО]],(M146+1))</f>
        <v>16</v>
      </c>
      <c r="O146">
        <f>LEN(Таблица8[[#This Row],[ФИО]])</f>
        <v>26</v>
      </c>
      <c r="Q146" s="59" t="str">
        <f>MID(Таблица8[[#This Row],[ФИО]],M146,(N146-M146))</f>
        <v xml:space="preserve"> Всеслав</v>
      </c>
      <c r="R146" t="s">
        <v>1217</v>
      </c>
      <c r="S146" t="s">
        <v>1508</v>
      </c>
    </row>
    <row r="147" spans="1:19" x14ac:dyDescent="0.25">
      <c r="A147" s="51">
        <v>271</v>
      </c>
      <c r="B147" t="s">
        <v>345</v>
      </c>
      <c r="C147" t="s">
        <v>344</v>
      </c>
      <c r="D147" t="s">
        <v>140</v>
      </c>
      <c r="E147" s="26">
        <v>44892</v>
      </c>
      <c r="F147" t="str">
        <f t="shared" si="2"/>
        <v>+375</v>
      </c>
      <c r="G147" t="str">
        <f>INDEX('коды стран'!$A$2:$A$7, MATCH(F147, 'коды стран'!$B$2:$B$7, 0))</f>
        <v>Беларусь</v>
      </c>
      <c r="H147" t="s">
        <v>134</v>
      </c>
      <c r="I147" t="str">
        <f>LEFT(Таблица8[[#This Row],[ФИО]],(M147-1))</f>
        <v>Ермаков</v>
      </c>
      <c r="J147" t="str">
        <f>MID(Таблица8[[#This Row],[ФИО]],M147,(N147-M147))</f>
        <v xml:space="preserve"> Степан</v>
      </c>
      <c r="K147" t="str">
        <f>RIGHT(Таблица8[[#This Row],[ФИО]],(O147-N147))</f>
        <v>Егорович</v>
      </c>
      <c r="M147" s="60">
        <f>FIND(" ",Таблица8[[#This Row],[ФИО]],2)</f>
        <v>8</v>
      </c>
      <c r="N147">
        <f>FIND(" ",Таблица8[[#This Row],[ФИО]],(M147+1))</f>
        <v>15</v>
      </c>
      <c r="O147">
        <f>LEN(Таблица8[[#This Row],[ФИО]])</f>
        <v>23</v>
      </c>
      <c r="Q147" s="60" t="str">
        <f>MID(Таблица8[[#This Row],[ФИО]],M147,(N147-M147))</f>
        <v xml:space="preserve"> Степан</v>
      </c>
      <c r="R147" t="s">
        <v>1217</v>
      </c>
      <c r="S147" t="s">
        <v>1509</v>
      </c>
    </row>
    <row r="148" spans="1:19" x14ac:dyDescent="0.25">
      <c r="A148" s="51">
        <v>231</v>
      </c>
      <c r="B148" t="s">
        <v>543</v>
      </c>
      <c r="C148" t="s">
        <v>542</v>
      </c>
      <c r="D148" t="s">
        <v>140</v>
      </c>
      <c r="E148" s="26">
        <v>44752</v>
      </c>
      <c r="F148" t="str">
        <f t="shared" si="2"/>
        <v>+7</v>
      </c>
      <c r="G148" t="str">
        <f>INDEX('коды стран'!$A$2:$A$7, MATCH(F148, 'коды стран'!$B$2:$B$7, 0))</f>
        <v>Россия</v>
      </c>
      <c r="H148" t="s">
        <v>137</v>
      </c>
      <c r="I148" t="str">
        <f>LEFT(Таблица8[[#This Row],[ФИО]],(M148-1))</f>
        <v>Ермаков</v>
      </c>
      <c r="J148" t="str">
        <f>MID(Таблица8[[#This Row],[ФИО]],M148,(N148-M148))</f>
        <v xml:space="preserve"> Ярослав</v>
      </c>
      <c r="K148" t="str">
        <f>RIGHT(Таблица8[[#This Row],[ФИО]],(O148-N148))</f>
        <v>Тихонович</v>
      </c>
      <c r="M148" s="59">
        <f>FIND(" ",Таблица8[[#This Row],[ФИО]],2)</f>
        <v>8</v>
      </c>
      <c r="N148">
        <f>FIND(" ",Таблица8[[#This Row],[ФИО]],(M148+1))</f>
        <v>16</v>
      </c>
      <c r="O148">
        <f>LEN(Таблица8[[#This Row],[ФИО]])</f>
        <v>25</v>
      </c>
      <c r="Q148" s="59" t="str">
        <f>MID(Таблица8[[#This Row],[ФИО]],M148,(N148-M148))</f>
        <v xml:space="preserve"> Ярослав</v>
      </c>
      <c r="R148" t="s">
        <v>1217</v>
      </c>
      <c r="S148" t="s">
        <v>1445</v>
      </c>
    </row>
    <row r="149" spans="1:19" x14ac:dyDescent="0.25">
      <c r="A149" s="51">
        <v>209</v>
      </c>
      <c r="B149" t="s">
        <v>441</v>
      </c>
      <c r="C149" t="s">
        <v>440</v>
      </c>
      <c r="D149" t="s">
        <v>140</v>
      </c>
      <c r="E149" s="26">
        <v>44628</v>
      </c>
      <c r="F149" t="str">
        <f t="shared" si="2"/>
        <v>+7</v>
      </c>
      <c r="G149" t="str">
        <f>INDEX('коды стран'!$A$2:$A$7, MATCH(F149, 'коды стран'!$B$2:$B$7, 0))</f>
        <v>Россия</v>
      </c>
      <c r="H149" t="s">
        <v>137</v>
      </c>
      <c r="I149" t="str">
        <f>LEFT(Таблица8[[#This Row],[ФИО]],(M149-1))</f>
        <v>Ермакова</v>
      </c>
      <c r="J149" t="str">
        <f>MID(Таблица8[[#This Row],[ФИО]],M149,(N149-M149))</f>
        <v xml:space="preserve"> Дарья</v>
      </c>
      <c r="K149" t="str">
        <f>RIGHT(Таблица8[[#This Row],[ФИО]],(O149-N149))</f>
        <v>Алексеевна</v>
      </c>
      <c r="M149" s="60">
        <f>FIND(" ",Таблица8[[#This Row],[ФИО]],2)</f>
        <v>9</v>
      </c>
      <c r="N149">
        <f>FIND(" ",Таблица8[[#This Row],[ФИО]],(M149+1))</f>
        <v>15</v>
      </c>
      <c r="O149">
        <f>LEN(Таблица8[[#This Row],[ФИО]])</f>
        <v>25</v>
      </c>
      <c r="Q149" s="60" t="str">
        <f>MID(Таблица8[[#This Row],[ФИО]],M149,(N149-M149))</f>
        <v xml:space="preserve"> Дарья</v>
      </c>
      <c r="R149" t="s">
        <v>1218</v>
      </c>
      <c r="S149" t="s">
        <v>1510</v>
      </c>
    </row>
    <row r="150" spans="1:19" x14ac:dyDescent="0.25">
      <c r="A150" s="51">
        <v>424</v>
      </c>
      <c r="B150" t="s">
        <v>837</v>
      </c>
      <c r="C150" t="s">
        <v>836</v>
      </c>
      <c r="D150" t="s">
        <v>143</v>
      </c>
      <c r="E150" s="26">
        <v>44585</v>
      </c>
      <c r="F150" t="str">
        <f t="shared" si="2"/>
        <v>+7</v>
      </c>
      <c r="G150" t="str">
        <f>INDEX('коды стран'!$A$2:$A$7, MATCH(F150, 'коды стран'!$B$2:$B$7, 0))</f>
        <v>Россия</v>
      </c>
      <c r="H150" t="s">
        <v>137</v>
      </c>
      <c r="I150" t="str">
        <f>LEFT(Таблица8[[#This Row],[ФИО]],(M150-1))</f>
        <v>Ефремов</v>
      </c>
      <c r="J150" t="str">
        <f>MID(Таблица8[[#This Row],[ФИО]],M150,(N150-M150))</f>
        <v xml:space="preserve"> Епифан</v>
      </c>
      <c r="K150" t="str">
        <f>RIGHT(Таблица8[[#This Row],[ФИО]],(O150-N150))</f>
        <v>Ильич</v>
      </c>
      <c r="M150" s="59">
        <f>FIND(" ",Таблица8[[#This Row],[ФИО]],2)</f>
        <v>8</v>
      </c>
      <c r="N150">
        <f>FIND(" ",Таблица8[[#This Row],[ФИО]],(M150+1))</f>
        <v>15</v>
      </c>
      <c r="O150">
        <f>LEN(Таблица8[[#This Row],[ФИО]])</f>
        <v>20</v>
      </c>
      <c r="Q150" s="59" t="str">
        <f>MID(Таблица8[[#This Row],[ФИО]],M150,(N150-M150))</f>
        <v xml:space="preserve"> Епифан</v>
      </c>
      <c r="R150" t="s">
        <v>1219</v>
      </c>
      <c r="S150" t="s">
        <v>1511</v>
      </c>
    </row>
    <row r="151" spans="1:19" x14ac:dyDescent="0.25">
      <c r="A151" s="51">
        <v>447</v>
      </c>
      <c r="B151" t="s">
        <v>311</v>
      </c>
      <c r="C151" t="s">
        <v>310</v>
      </c>
      <c r="D151" t="s">
        <v>143</v>
      </c>
      <c r="E151" s="26">
        <v>44898</v>
      </c>
      <c r="F151" t="str">
        <f t="shared" si="2"/>
        <v>+992</v>
      </c>
      <c r="G151" t="str">
        <f>INDEX('коды стран'!$A$2:$A$7, MATCH(F151, 'коды стран'!$B$2:$B$7, 0))</f>
        <v>Таджикистан</v>
      </c>
      <c r="H151" t="s">
        <v>130</v>
      </c>
      <c r="I151" t="str">
        <f>LEFT(Таблица8[[#This Row],[ФИО]],(M151-1))</f>
        <v>Жанна</v>
      </c>
      <c r="J151" t="str">
        <f>MID(Таблица8[[#This Row],[ФИО]],M151,(N151-M151))</f>
        <v xml:space="preserve"> Станиславовна</v>
      </c>
      <c r="K151" t="str">
        <f>RIGHT(Таблица8[[#This Row],[ФИО]],(O151-N151))</f>
        <v>Семенова</v>
      </c>
      <c r="M151" s="60">
        <f>FIND(" ",Таблица8[[#This Row],[ФИО]],2)</f>
        <v>6</v>
      </c>
      <c r="N151">
        <f>FIND(" ",Таблица8[[#This Row],[ФИО]],(M151+1))</f>
        <v>20</v>
      </c>
      <c r="O151">
        <f>LEN(Таблица8[[#This Row],[ФИО]])</f>
        <v>28</v>
      </c>
      <c r="Q151" s="60" t="str">
        <f>LEFT(Таблица8[[#This Row],[ФИО]],(M151-1))</f>
        <v>Жанна</v>
      </c>
      <c r="R151" t="s">
        <v>1133</v>
      </c>
      <c r="S151" t="s">
        <v>1512</v>
      </c>
    </row>
    <row r="152" spans="1:19" x14ac:dyDescent="0.25">
      <c r="A152" s="51">
        <v>419</v>
      </c>
      <c r="B152" t="s">
        <v>751</v>
      </c>
      <c r="C152" t="s">
        <v>750</v>
      </c>
      <c r="D152" t="s">
        <v>143</v>
      </c>
      <c r="E152" s="26">
        <v>44869</v>
      </c>
      <c r="F152" t="str">
        <f t="shared" si="2"/>
        <v>+992</v>
      </c>
      <c r="G152" t="str">
        <f>INDEX('коды стран'!$A$2:$A$7, MATCH(F152, 'коды стран'!$B$2:$B$7, 0))</f>
        <v>Таджикистан</v>
      </c>
      <c r="H152" t="s">
        <v>130</v>
      </c>
      <c r="I152" t="str">
        <f>LEFT(Таблица8[[#This Row],[ФИО]],(M152-1))</f>
        <v>Жданов</v>
      </c>
      <c r="J152" t="str">
        <f>MID(Таблица8[[#This Row],[ФИО]],M152,(N152-M152))</f>
        <v xml:space="preserve"> Аверьян</v>
      </c>
      <c r="K152" t="str">
        <f>RIGHT(Таблица8[[#This Row],[ФИО]],(O152-N152))</f>
        <v>Валерьевич</v>
      </c>
      <c r="M152" s="59">
        <f>FIND(" ",Таблица8[[#This Row],[ФИО]],2)</f>
        <v>7</v>
      </c>
      <c r="N152">
        <f>FIND(" ",Таблица8[[#This Row],[ФИО]],(M152+1))</f>
        <v>15</v>
      </c>
      <c r="O152">
        <f>LEN(Таблица8[[#This Row],[ФИО]])</f>
        <v>25</v>
      </c>
      <c r="Q152" s="59" t="str">
        <f>MID(Таблица8[[#This Row],[ФИО]],M152,(N152-M152))</f>
        <v xml:space="preserve"> Аверьян</v>
      </c>
      <c r="R152" t="s">
        <v>1220</v>
      </c>
      <c r="S152" t="s">
        <v>1513</v>
      </c>
    </row>
    <row r="153" spans="1:19" x14ac:dyDescent="0.25">
      <c r="A153" s="51">
        <v>167</v>
      </c>
      <c r="B153" t="s">
        <v>847</v>
      </c>
      <c r="C153" t="s">
        <v>846</v>
      </c>
      <c r="D153" t="s">
        <v>143</v>
      </c>
      <c r="E153" s="26">
        <v>44563</v>
      </c>
      <c r="F153" t="str">
        <f t="shared" si="2"/>
        <v>+998</v>
      </c>
      <c r="G153" t="str">
        <f>INDEX('коды стран'!$A$2:$A$7, MATCH(F153, 'коды стран'!$B$2:$B$7, 0))</f>
        <v>Узбекистан</v>
      </c>
      <c r="H153" t="s">
        <v>132</v>
      </c>
      <c r="I153" t="str">
        <f>LEFT(Таблица8[[#This Row],[ФИО]],(M153-1))</f>
        <v>Жуков</v>
      </c>
      <c r="J153" t="str">
        <f>MID(Таблица8[[#This Row],[ФИО]],M153,(N153-M153))</f>
        <v xml:space="preserve"> Никифор</v>
      </c>
      <c r="K153" t="str">
        <f>RIGHT(Таблица8[[#This Row],[ФИО]],(O153-N153))</f>
        <v>Фомич</v>
      </c>
      <c r="M153" s="60">
        <f>FIND(" ",Таблица8[[#This Row],[ФИО]],2)</f>
        <v>6</v>
      </c>
      <c r="N153">
        <f>FIND(" ",Таблица8[[#This Row],[ФИО]],(M153+1))</f>
        <v>14</v>
      </c>
      <c r="O153">
        <f>LEN(Таблица8[[#This Row],[ФИО]])</f>
        <v>19</v>
      </c>
      <c r="Q153" s="60" t="str">
        <f>MID(Таблица8[[#This Row],[ФИО]],M153,(N153-M153))</f>
        <v xml:space="preserve"> Никифор</v>
      </c>
      <c r="R153" t="s">
        <v>1221</v>
      </c>
      <c r="S153" t="s">
        <v>1514</v>
      </c>
    </row>
    <row r="154" spans="1:19" x14ac:dyDescent="0.25">
      <c r="A154" s="51">
        <v>127</v>
      </c>
      <c r="B154" t="s">
        <v>375</v>
      </c>
      <c r="C154" t="s">
        <v>374</v>
      </c>
      <c r="D154" t="s">
        <v>140</v>
      </c>
      <c r="E154" s="26">
        <v>44914</v>
      </c>
      <c r="F154" t="str">
        <f t="shared" si="2"/>
        <v>+380</v>
      </c>
      <c r="G154" t="str">
        <f>INDEX('коды стран'!$A$2:$A$7, MATCH(F154, 'коды стран'!$B$2:$B$7, 0))</f>
        <v>Украина</v>
      </c>
      <c r="H154" t="s">
        <v>128</v>
      </c>
      <c r="I154" t="str">
        <f>LEFT(Таблица8[[#This Row],[ФИО]],(M154-1))</f>
        <v>Журавлев</v>
      </c>
      <c r="J154" t="str">
        <f>MID(Таблица8[[#This Row],[ФИО]],M154,(N154-M154))</f>
        <v xml:space="preserve"> Аристарх</v>
      </c>
      <c r="K154" t="str">
        <f>RIGHT(Таблица8[[#This Row],[ФИО]],(O154-N154))</f>
        <v>Евсеевич</v>
      </c>
      <c r="M154" s="59">
        <f>FIND(" ",Таблица8[[#This Row],[ФИО]],2)</f>
        <v>9</v>
      </c>
      <c r="N154">
        <f>FIND(" ",Таблица8[[#This Row],[ФИО]],(M154+1))</f>
        <v>18</v>
      </c>
      <c r="O154">
        <f>LEN(Таблица8[[#This Row],[ФИО]])</f>
        <v>26</v>
      </c>
      <c r="Q154" s="59" t="str">
        <f>MID(Таблица8[[#This Row],[ФИО]],M154,(N154-M154))</f>
        <v xml:space="preserve"> Аристарх</v>
      </c>
      <c r="R154" t="s">
        <v>1222</v>
      </c>
      <c r="S154" t="s">
        <v>1515</v>
      </c>
    </row>
    <row r="155" spans="1:19" x14ac:dyDescent="0.25">
      <c r="A155" s="51">
        <v>302</v>
      </c>
      <c r="B155" t="s">
        <v>589</v>
      </c>
      <c r="C155" t="s">
        <v>588</v>
      </c>
      <c r="D155" t="s">
        <v>140</v>
      </c>
      <c r="E155" s="26">
        <v>44859</v>
      </c>
      <c r="F155" t="str">
        <f t="shared" si="2"/>
        <v>+7</v>
      </c>
      <c r="G155" t="str">
        <f>INDEX('коды стран'!$A$2:$A$7, MATCH(F155, 'коды стран'!$B$2:$B$7, 0))</f>
        <v>Россия</v>
      </c>
      <c r="H155" t="s">
        <v>137</v>
      </c>
      <c r="I155" t="str">
        <f>LEFT(Таблица8[[#This Row],[ФИО]],(M155-1))</f>
        <v>Журавлева</v>
      </c>
      <c r="J155" t="str">
        <f>MID(Таблица8[[#This Row],[ФИО]],M155,(N155-M155))</f>
        <v xml:space="preserve"> Александра</v>
      </c>
      <c r="K155" t="str">
        <f>RIGHT(Таблица8[[#This Row],[ФИО]],(O155-N155))</f>
        <v>Валентиновна</v>
      </c>
      <c r="M155" s="60">
        <f>FIND(" ",Таблица8[[#This Row],[ФИО]],2)</f>
        <v>10</v>
      </c>
      <c r="N155">
        <f>FIND(" ",Таблица8[[#This Row],[ФИО]],(M155+1))</f>
        <v>21</v>
      </c>
      <c r="O155">
        <f>LEN(Таблица8[[#This Row],[ФИО]])</f>
        <v>33</v>
      </c>
      <c r="Q155" s="60" t="str">
        <f>MID(Таблица8[[#This Row],[ФИО]],M155,(N155-M155))</f>
        <v xml:space="preserve"> Александра</v>
      </c>
      <c r="R155" t="s">
        <v>1223</v>
      </c>
      <c r="S155" t="s">
        <v>1516</v>
      </c>
    </row>
    <row r="156" spans="1:19" x14ac:dyDescent="0.25">
      <c r="A156" s="51">
        <v>136</v>
      </c>
      <c r="B156" t="s">
        <v>761</v>
      </c>
      <c r="C156" t="s">
        <v>760</v>
      </c>
      <c r="D156" t="s">
        <v>143</v>
      </c>
      <c r="E156" s="26">
        <v>44860</v>
      </c>
      <c r="F156" t="str">
        <f t="shared" si="2"/>
        <v>+380</v>
      </c>
      <c r="G156" t="str">
        <f>INDEX('коды стран'!$A$2:$A$7, MATCH(F156, 'коды стран'!$B$2:$B$7, 0))</f>
        <v>Украина</v>
      </c>
      <c r="H156" t="s">
        <v>128</v>
      </c>
      <c r="I156" t="str">
        <f>LEFT(Таблица8[[#This Row],[ФИО]],(M156-1))</f>
        <v>Зайцев</v>
      </c>
      <c r="J156" t="str">
        <f>MID(Таблица8[[#This Row],[ФИО]],M156,(N156-M156))</f>
        <v xml:space="preserve"> Ефрем</v>
      </c>
      <c r="K156" t="str">
        <f>RIGHT(Таблица8[[#This Row],[ФИО]],(O156-N156))</f>
        <v>Даниилович</v>
      </c>
      <c r="M156" s="59">
        <f>FIND(" ",Таблица8[[#This Row],[ФИО]],2)</f>
        <v>7</v>
      </c>
      <c r="N156">
        <f>FIND(" ",Таблица8[[#This Row],[ФИО]],(M156+1))</f>
        <v>13</v>
      </c>
      <c r="O156">
        <f>LEN(Таблица8[[#This Row],[ФИО]])</f>
        <v>23</v>
      </c>
      <c r="Q156" s="59" t="str">
        <f>MID(Таблица8[[#This Row],[ФИО]],M156,(N156-M156))</f>
        <v xml:space="preserve"> Ефрем</v>
      </c>
      <c r="R156" t="s">
        <v>1224</v>
      </c>
      <c r="S156" t="s">
        <v>1517</v>
      </c>
    </row>
    <row r="157" spans="1:19" x14ac:dyDescent="0.25">
      <c r="A157" s="51">
        <v>272</v>
      </c>
      <c r="B157" t="s">
        <v>333</v>
      </c>
      <c r="C157" t="s">
        <v>332</v>
      </c>
      <c r="D157" t="s">
        <v>140</v>
      </c>
      <c r="E157" s="26">
        <v>44668</v>
      </c>
      <c r="F157" t="str">
        <f t="shared" si="2"/>
        <v>+992</v>
      </c>
      <c r="G157" t="str">
        <f>INDEX('коды стран'!$A$2:$A$7, MATCH(F157, 'коды стран'!$B$2:$B$7, 0))</f>
        <v>Таджикистан</v>
      </c>
      <c r="H157" t="s">
        <v>130</v>
      </c>
      <c r="I157" t="str">
        <f>LEFT(Таблица8[[#This Row],[ФИО]],(M157-1))</f>
        <v>Захар</v>
      </c>
      <c r="J157" t="str">
        <f>MID(Таблица8[[#This Row],[ФИО]],M157,(N157-M157))</f>
        <v xml:space="preserve"> Артемьевич</v>
      </c>
      <c r="K157" t="str">
        <f>RIGHT(Таблица8[[#This Row],[ФИО]],(O157-N157))</f>
        <v>Воробьев</v>
      </c>
      <c r="M157" s="60">
        <f>FIND(" ",Таблица8[[#This Row],[ФИО]],2)</f>
        <v>6</v>
      </c>
      <c r="N157">
        <f>FIND(" ",Таблица8[[#This Row],[ФИО]],(M157+1))</f>
        <v>17</v>
      </c>
      <c r="O157">
        <f>LEN(Таблица8[[#This Row],[ФИО]])</f>
        <v>25</v>
      </c>
      <c r="Q157" s="60" t="str">
        <f>LEFT(Таблица8[[#This Row],[ФИО]],(M157-1))</f>
        <v>Захар</v>
      </c>
      <c r="R157" t="s">
        <v>1225</v>
      </c>
      <c r="S157" t="s">
        <v>1421</v>
      </c>
    </row>
    <row r="158" spans="1:19" x14ac:dyDescent="0.25">
      <c r="A158" s="51">
        <v>225</v>
      </c>
      <c r="B158" t="s">
        <v>395</v>
      </c>
      <c r="C158" t="s">
        <v>394</v>
      </c>
      <c r="D158" t="s">
        <v>143</v>
      </c>
      <c r="E158" s="26">
        <v>44827</v>
      </c>
      <c r="F158" t="str">
        <f t="shared" si="2"/>
        <v>+375</v>
      </c>
      <c r="G158" t="str">
        <f>INDEX('коды стран'!$A$2:$A$7, MATCH(F158, 'коды стран'!$B$2:$B$7, 0))</f>
        <v>Беларусь</v>
      </c>
      <c r="H158" t="s">
        <v>134</v>
      </c>
      <c r="I158" t="str">
        <f>LEFT(Таблица8[[#This Row],[ФИО]],(M158-1))</f>
        <v>Зоя</v>
      </c>
      <c r="J158" t="str">
        <f>MID(Таблица8[[#This Row],[ФИО]],M158,(N158-M158))</f>
        <v xml:space="preserve"> Вячеславовна</v>
      </c>
      <c r="K158" t="str">
        <f>RIGHT(Таблица8[[#This Row],[ФИО]],(O158-N158))</f>
        <v>Панова</v>
      </c>
      <c r="M158" s="59">
        <f>FIND(" ",Таблица8[[#This Row],[ФИО]],2)</f>
        <v>4</v>
      </c>
      <c r="N158">
        <f>FIND(" ",Таблица8[[#This Row],[ФИО]],(M158+1))</f>
        <v>17</v>
      </c>
      <c r="O158">
        <f>LEN(Таблица8[[#This Row],[ФИО]])</f>
        <v>23</v>
      </c>
      <c r="Q158" s="59" t="str">
        <f>LEFT(Таблица8[[#This Row],[ФИО]],(M158-1))</f>
        <v>Зоя</v>
      </c>
      <c r="R158" t="s">
        <v>1226</v>
      </c>
      <c r="S158" t="s">
        <v>1518</v>
      </c>
    </row>
    <row r="159" spans="1:19" x14ac:dyDescent="0.25">
      <c r="A159" s="51">
        <v>458</v>
      </c>
      <c r="B159" t="s">
        <v>853</v>
      </c>
      <c r="C159" t="s">
        <v>852</v>
      </c>
      <c r="D159" t="s">
        <v>143</v>
      </c>
      <c r="E159" s="26">
        <v>44694</v>
      </c>
      <c r="F159" t="str">
        <f t="shared" si="2"/>
        <v>+7</v>
      </c>
      <c r="G159" t="str">
        <f>INDEX('коды стран'!$A$2:$A$7, MATCH(F159, 'коды стран'!$B$2:$B$7, 0))</f>
        <v>Россия</v>
      </c>
      <c r="H159" t="s">
        <v>137</v>
      </c>
      <c r="I159" t="str">
        <f>LEFT(Таблица8[[#This Row],[ФИО]],(M159-1))</f>
        <v>Зоя</v>
      </c>
      <c r="J159" t="str">
        <f>MID(Таблица8[[#This Row],[ФИО]],M159,(N159-M159))</f>
        <v xml:space="preserve"> Егоровна</v>
      </c>
      <c r="K159" t="str">
        <f>RIGHT(Таблица8[[#This Row],[ФИО]],(O159-N159))</f>
        <v>Третьякова</v>
      </c>
      <c r="M159" s="60">
        <f>FIND(" ",Таблица8[[#This Row],[ФИО]],2)</f>
        <v>4</v>
      </c>
      <c r="N159">
        <f>FIND(" ",Таблица8[[#This Row],[ФИО]],(M159+1))</f>
        <v>13</v>
      </c>
      <c r="O159">
        <f>LEN(Таблица8[[#This Row],[ФИО]])</f>
        <v>23</v>
      </c>
      <c r="Q159" s="60" t="str">
        <f>LEFT(Таблица8[[#This Row],[ФИО]],(M159-1))</f>
        <v>Зоя</v>
      </c>
      <c r="R159" t="s">
        <v>1227</v>
      </c>
      <c r="S159" t="s">
        <v>1412</v>
      </c>
    </row>
    <row r="160" spans="1:19" x14ac:dyDescent="0.25">
      <c r="A160" s="51">
        <v>477</v>
      </c>
      <c r="B160" t="s">
        <v>997</v>
      </c>
      <c r="C160" t="s">
        <v>996</v>
      </c>
      <c r="D160" t="s">
        <v>143</v>
      </c>
      <c r="E160" s="26">
        <v>44738</v>
      </c>
      <c r="F160" t="str">
        <f t="shared" si="2"/>
        <v>+998</v>
      </c>
      <c r="G160" t="str">
        <f>INDEX('коды стран'!$A$2:$A$7, MATCH(F160, 'коды стран'!$B$2:$B$7, 0))</f>
        <v>Узбекистан</v>
      </c>
      <c r="H160" t="s">
        <v>132</v>
      </c>
      <c r="I160" t="str">
        <f>LEFT(Таблица8[[#This Row],[ФИО]],(M160-1))</f>
        <v>Зоя</v>
      </c>
      <c r="J160" t="str">
        <f>MID(Таблица8[[#This Row],[ФИО]],M160,(N160-M160))</f>
        <v xml:space="preserve"> Кирилловна</v>
      </c>
      <c r="K160" t="str">
        <f>RIGHT(Таблица8[[#This Row],[ФИО]],(O160-N160))</f>
        <v>Брагина</v>
      </c>
      <c r="M160" s="59">
        <f>FIND(" ",Таблица8[[#This Row],[ФИО]],2)</f>
        <v>4</v>
      </c>
      <c r="N160">
        <f>FIND(" ",Таблица8[[#This Row],[ФИО]],(M160+1))</f>
        <v>15</v>
      </c>
      <c r="O160">
        <f>LEN(Таблица8[[#This Row],[ФИО]])</f>
        <v>22</v>
      </c>
      <c r="Q160" s="59" t="str">
        <f>LEFT(Таблица8[[#This Row],[ФИО]],(M160-1))</f>
        <v>Зоя</v>
      </c>
      <c r="R160" t="s">
        <v>1157</v>
      </c>
      <c r="S160" t="s">
        <v>1452</v>
      </c>
    </row>
    <row r="161" spans="1:19" x14ac:dyDescent="0.25">
      <c r="A161" s="51">
        <v>416</v>
      </c>
      <c r="B161" t="s">
        <v>703</v>
      </c>
      <c r="C161" t="s">
        <v>702</v>
      </c>
      <c r="D161" t="s">
        <v>140</v>
      </c>
      <c r="E161" s="26">
        <v>44703</v>
      </c>
      <c r="F161" t="str">
        <f t="shared" si="2"/>
        <v>+992</v>
      </c>
      <c r="G161" t="str">
        <f>INDEX('коды стран'!$A$2:$A$7, MATCH(F161, 'коды стран'!$B$2:$B$7, 0))</f>
        <v>Таджикистан</v>
      </c>
      <c r="H161" t="s">
        <v>130</v>
      </c>
      <c r="I161" t="str">
        <f>LEFT(Таблица8[[#This Row],[ФИО]],(M161-1))</f>
        <v>Зуев</v>
      </c>
      <c r="J161" t="str">
        <f>MID(Таблица8[[#This Row],[ФИО]],M161,(N161-M161))</f>
        <v xml:space="preserve"> Гостомысл</v>
      </c>
      <c r="K161" t="str">
        <f>RIGHT(Таблица8[[#This Row],[ФИО]],(O161-N161))</f>
        <v>Игоревич</v>
      </c>
      <c r="M161" s="60">
        <f>FIND(" ",Таблица8[[#This Row],[ФИО]],2)</f>
        <v>5</v>
      </c>
      <c r="N161">
        <f>FIND(" ",Таблица8[[#This Row],[ФИО]],(M161+1))</f>
        <v>15</v>
      </c>
      <c r="O161">
        <f>LEN(Таблица8[[#This Row],[ФИО]])</f>
        <v>23</v>
      </c>
      <c r="Q161" s="60" t="str">
        <f>MID(Таблица8[[#This Row],[ФИО]],M161,(N161-M161))</f>
        <v xml:space="preserve"> Гостомысл</v>
      </c>
      <c r="R161" t="s">
        <v>1228</v>
      </c>
      <c r="S161" t="s">
        <v>1519</v>
      </c>
    </row>
    <row r="162" spans="1:19" x14ac:dyDescent="0.25">
      <c r="A162" s="51">
        <v>139</v>
      </c>
      <c r="B162" t="s">
        <v>745</v>
      </c>
      <c r="C162" t="s">
        <v>744</v>
      </c>
      <c r="D162" t="s">
        <v>143</v>
      </c>
      <c r="E162" s="26">
        <v>44648</v>
      </c>
      <c r="F162" t="str">
        <f t="shared" si="2"/>
        <v>+375</v>
      </c>
      <c r="G162" t="str">
        <f>INDEX('коды стран'!$A$2:$A$7, MATCH(F162, 'коды стран'!$B$2:$B$7, 0))</f>
        <v>Беларусь</v>
      </c>
      <c r="H162" t="s">
        <v>134</v>
      </c>
      <c r="I162" t="str">
        <f>LEFT(Таблица8[[#This Row],[ФИО]],(M162-1))</f>
        <v>Зыкова</v>
      </c>
      <c r="J162" t="str">
        <f>MID(Таблица8[[#This Row],[ФИО]],M162,(N162-M162))</f>
        <v xml:space="preserve"> Таисия</v>
      </c>
      <c r="K162" t="str">
        <f>RIGHT(Таблица8[[#This Row],[ФИО]],(O162-N162))</f>
        <v>Леонидовна</v>
      </c>
      <c r="M162" s="59">
        <f>FIND(" ",Таблица8[[#This Row],[ФИО]],2)</f>
        <v>7</v>
      </c>
      <c r="N162">
        <f>FIND(" ",Таблица8[[#This Row],[ФИО]],(M162+1))</f>
        <v>14</v>
      </c>
      <c r="O162">
        <f>LEN(Таблица8[[#This Row],[ФИО]])</f>
        <v>24</v>
      </c>
      <c r="Q162" s="59" t="str">
        <f>MID(Таблица8[[#This Row],[ФИО]],M162,(N162-M162))</f>
        <v xml:space="preserve"> Таисия</v>
      </c>
      <c r="R162" t="s">
        <v>1106</v>
      </c>
      <c r="S162" t="s">
        <v>1520</v>
      </c>
    </row>
    <row r="163" spans="1:19" x14ac:dyDescent="0.25">
      <c r="A163" s="51">
        <v>177</v>
      </c>
      <c r="B163" t="s">
        <v>647</v>
      </c>
      <c r="C163" t="s">
        <v>646</v>
      </c>
      <c r="D163" t="s">
        <v>140</v>
      </c>
      <c r="E163" s="26">
        <v>44857</v>
      </c>
      <c r="F163" t="str">
        <f t="shared" si="2"/>
        <v>+992</v>
      </c>
      <c r="G163" t="str">
        <f>INDEX('коды стран'!$A$2:$A$7, MATCH(F163, 'коды стран'!$B$2:$B$7, 0))</f>
        <v>Таджикистан</v>
      </c>
      <c r="H163" t="s">
        <v>130</v>
      </c>
      <c r="I163" t="str">
        <f>LEFT(Таблица8[[#This Row],[ФИО]],(M163-1))</f>
        <v>Иванна</v>
      </c>
      <c r="J163" t="str">
        <f>MID(Таблица8[[#This Row],[ФИО]],M163,(N163-M163))</f>
        <v xml:space="preserve"> Захаровна</v>
      </c>
      <c r="K163" t="str">
        <f>RIGHT(Таблица8[[#This Row],[ФИО]],(O163-N163))</f>
        <v>Сергеева</v>
      </c>
      <c r="M163" s="60">
        <f>FIND(" ",Таблица8[[#This Row],[ФИО]],2)</f>
        <v>7</v>
      </c>
      <c r="N163">
        <f>FIND(" ",Таблица8[[#This Row],[ФИО]],(M163+1))</f>
        <v>17</v>
      </c>
      <c r="O163">
        <f>LEN(Таблица8[[#This Row],[ФИО]])</f>
        <v>25</v>
      </c>
      <c r="Q163" s="60" t="str">
        <f>LEFT(Таблица8[[#This Row],[ФИО]],(M163-1))</f>
        <v>Иванна</v>
      </c>
      <c r="R163" t="s">
        <v>1229</v>
      </c>
      <c r="S163" t="s">
        <v>1451</v>
      </c>
    </row>
    <row r="164" spans="1:19" x14ac:dyDescent="0.25">
      <c r="A164" s="51">
        <v>68</v>
      </c>
      <c r="B164" t="s">
        <v>885</v>
      </c>
      <c r="C164" t="s">
        <v>884</v>
      </c>
      <c r="D164" t="s">
        <v>143</v>
      </c>
      <c r="E164" s="26">
        <v>44882</v>
      </c>
      <c r="F164" t="str">
        <f t="shared" si="2"/>
        <v>+998</v>
      </c>
      <c r="G164" t="str">
        <f>INDEX('коды стран'!$A$2:$A$7, MATCH(F164, 'коды стран'!$B$2:$B$7, 0))</f>
        <v>Узбекистан</v>
      </c>
      <c r="H164" t="s">
        <v>132</v>
      </c>
      <c r="I164" t="str">
        <f>LEFT(Таблица8[[#This Row],[ФИО]],(M164-1))</f>
        <v>Иванна</v>
      </c>
      <c r="J164" t="str">
        <f>MID(Таблица8[[#This Row],[ФИО]],M164,(N164-M164))</f>
        <v xml:space="preserve"> Наумовна</v>
      </c>
      <c r="K164" t="str">
        <f>RIGHT(Таблица8[[#This Row],[ФИО]],(O164-N164))</f>
        <v>Иванова</v>
      </c>
      <c r="M164" s="59">
        <f>FIND(" ",Таблица8[[#This Row],[ФИО]],2)</f>
        <v>7</v>
      </c>
      <c r="N164">
        <f>FIND(" ",Таблица8[[#This Row],[ФИО]],(M164+1))</f>
        <v>16</v>
      </c>
      <c r="O164">
        <f>LEN(Таблица8[[#This Row],[ФИО]])</f>
        <v>23</v>
      </c>
      <c r="Q164" s="59" t="str">
        <f>LEFT(Таблица8[[#This Row],[ФИО]],(M164-1))</f>
        <v>Иванна</v>
      </c>
      <c r="R164" t="s">
        <v>1230</v>
      </c>
      <c r="S164" t="s">
        <v>1467</v>
      </c>
    </row>
    <row r="165" spans="1:19" x14ac:dyDescent="0.25">
      <c r="A165" s="51">
        <v>239</v>
      </c>
      <c r="B165" t="s">
        <v>935</v>
      </c>
      <c r="C165" t="s">
        <v>934</v>
      </c>
      <c r="D165" t="s">
        <v>140</v>
      </c>
      <c r="E165" s="26">
        <v>44767</v>
      </c>
      <c r="F165" t="str">
        <f t="shared" si="2"/>
        <v>+998</v>
      </c>
      <c r="G165" t="str">
        <f>INDEX('коды стран'!$A$2:$A$7, MATCH(F165, 'коды стран'!$B$2:$B$7, 0))</f>
        <v>Узбекистан</v>
      </c>
      <c r="H165" t="s">
        <v>132</v>
      </c>
      <c r="I165" t="str">
        <f>LEFT(Таблица8[[#This Row],[ФИО]],(M165-1))</f>
        <v>Иванов</v>
      </c>
      <c r="J165" t="str">
        <f>MID(Таблица8[[#This Row],[ФИО]],M165,(N165-M165))</f>
        <v xml:space="preserve"> Христофор</v>
      </c>
      <c r="K165" t="str">
        <f>RIGHT(Таблица8[[#This Row],[ФИО]],(O165-N165))</f>
        <v>Ильясович</v>
      </c>
      <c r="M165" s="60">
        <f>FIND(" ",Таблица8[[#This Row],[ФИО]],2)</f>
        <v>7</v>
      </c>
      <c r="N165">
        <f>FIND(" ",Таблица8[[#This Row],[ФИО]],(M165+1))</f>
        <v>17</v>
      </c>
      <c r="O165">
        <f>LEN(Таблица8[[#This Row],[ФИО]])</f>
        <v>26</v>
      </c>
      <c r="Q165" s="60" t="str">
        <f>MID(Таблица8[[#This Row],[ФИО]],M165,(N165-M165))</f>
        <v xml:space="preserve"> Христофор</v>
      </c>
      <c r="R165" t="s">
        <v>1231</v>
      </c>
      <c r="S165" t="s">
        <v>1521</v>
      </c>
    </row>
    <row r="166" spans="1:19" x14ac:dyDescent="0.25">
      <c r="A166" s="51">
        <v>417</v>
      </c>
      <c r="B166" t="s">
        <v>181</v>
      </c>
      <c r="C166" t="s">
        <v>180</v>
      </c>
      <c r="D166" t="s">
        <v>140</v>
      </c>
      <c r="E166" s="26">
        <v>44608</v>
      </c>
      <c r="F166" t="str">
        <f t="shared" si="2"/>
        <v>+992</v>
      </c>
      <c r="G166" t="str">
        <f>INDEX('коды стран'!$A$2:$A$7, MATCH(F166, 'коды стран'!$B$2:$B$7, 0))</f>
        <v>Таджикистан</v>
      </c>
      <c r="H166" t="s">
        <v>130</v>
      </c>
      <c r="I166" t="str">
        <f>LEFT(Таблица8[[#This Row],[ФИО]],(M166-1))</f>
        <v>Игнатова</v>
      </c>
      <c r="J166" t="str">
        <f>MID(Таблица8[[#This Row],[ФИО]],M166,(N166-M166))</f>
        <v xml:space="preserve"> Вера</v>
      </c>
      <c r="K166" t="str">
        <f>RIGHT(Таблица8[[#This Row],[ФИО]],(O166-N166))</f>
        <v>Вячеславовна</v>
      </c>
      <c r="M166" s="59">
        <f>FIND(" ",Таблица8[[#This Row],[ФИО]],2)</f>
        <v>9</v>
      </c>
      <c r="N166">
        <f>FIND(" ",Таблица8[[#This Row],[ФИО]],(M166+1))</f>
        <v>14</v>
      </c>
      <c r="O166">
        <f>LEN(Таблица8[[#This Row],[ФИО]])</f>
        <v>26</v>
      </c>
      <c r="Q166" s="59" t="str">
        <f>MID(Таблица8[[#This Row],[ФИО]],M166,(N166-M166))</f>
        <v xml:space="preserve"> Вера</v>
      </c>
      <c r="R166" t="s">
        <v>1232</v>
      </c>
      <c r="S166" t="s">
        <v>1522</v>
      </c>
    </row>
    <row r="167" spans="1:19" x14ac:dyDescent="0.25">
      <c r="A167" s="51">
        <v>348</v>
      </c>
      <c r="B167" t="s">
        <v>325</v>
      </c>
      <c r="C167" t="s">
        <v>324</v>
      </c>
      <c r="D167" t="s">
        <v>143</v>
      </c>
      <c r="E167" s="26">
        <v>44569</v>
      </c>
      <c r="F167" t="str">
        <f t="shared" si="2"/>
        <v>+380</v>
      </c>
      <c r="G167" t="str">
        <f>INDEX('коды стран'!$A$2:$A$7, MATCH(F167, 'коды стран'!$B$2:$B$7, 0))</f>
        <v>Украина</v>
      </c>
      <c r="H167" t="s">
        <v>128</v>
      </c>
      <c r="I167" t="str">
        <f>LEFT(Таблица8[[#This Row],[ФИО]],(M167-1))</f>
        <v>Измаил</v>
      </c>
      <c r="J167" t="str">
        <f>MID(Таблица8[[#This Row],[ФИО]],M167,(N167-M167))</f>
        <v xml:space="preserve"> Глебович</v>
      </c>
      <c r="K167" t="str">
        <f>RIGHT(Таблица8[[#This Row],[ФИО]],(O167-N167))</f>
        <v>Зыков</v>
      </c>
      <c r="M167" s="60">
        <f>FIND(" ",Таблица8[[#This Row],[ФИО]],2)</f>
        <v>7</v>
      </c>
      <c r="N167">
        <f>FIND(" ",Таблица8[[#This Row],[ФИО]],(M167+1))</f>
        <v>16</v>
      </c>
      <c r="O167">
        <f>LEN(Таблица8[[#This Row],[ФИО]])</f>
        <v>21</v>
      </c>
      <c r="Q167" s="60" t="str">
        <f>LEFT(Таблица8[[#This Row],[ФИО]],(M167-1))</f>
        <v>Измаил</v>
      </c>
      <c r="R167" t="s">
        <v>1233</v>
      </c>
      <c r="S167" t="s">
        <v>1523</v>
      </c>
    </row>
    <row r="168" spans="1:19" x14ac:dyDescent="0.25">
      <c r="A168" s="51">
        <v>317</v>
      </c>
      <c r="B168" t="s">
        <v>871</v>
      </c>
      <c r="C168" t="s">
        <v>870</v>
      </c>
      <c r="D168" t="s">
        <v>140</v>
      </c>
      <c r="E168" s="26">
        <v>44770</v>
      </c>
      <c r="F168" t="str">
        <f t="shared" si="2"/>
        <v>+7</v>
      </c>
      <c r="G168" t="str">
        <f>INDEX('коды стран'!$A$2:$A$7, MATCH(F168, 'коды стран'!$B$2:$B$7, 0))</f>
        <v>Россия</v>
      </c>
      <c r="H168" t="s">
        <v>137</v>
      </c>
      <c r="I168" t="str">
        <f>LEFT(Таблица8[[#This Row],[ФИО]],(M168-1))</f>
        <v>Ильина</v>
      </c>
      <c r="J168" t="str">
        <f>MID(Таблица8[[#This Row],[ФИО]],M168,(N168-M168))</f>
        <v xml:space="preserve"> Милица</v>
      </c>
      <c r="K168" t="str">
        <f>RIGHT(Таблица8[[#This Row],[ФИО]],(O168-N168))</f>
        <v>Захаровна</v>
      </c>
      <c r="M168" s="59">
        <f>FIND(" ",Таблица8[[#This Row],[ФИО]],2)</f>
        <v>7</v>
      </c>
      <c r="N168">
        <f>FIND(" ",Таблица8[[#This Row],[ФИО]],(M168+1))</f>
        <v>14</v>
      </c>
      <c r="O168">
        <f>LEN(Таблица8[[#This Row],[ФИО]])</f>
        <v>23</v>
      </c>
      <c r="Q168" s="59" t="str">
        <f>MID(Таблица8[[#This Row],[ФИО]],M168,(N168-M168))</f>
        <v xml:space="preserve"> Милица</v>
      </c>
      <c r="R168" t="s">
        <v>1234</v>
      </c>
      <c r="S168" t="s">
        <v>1524</v>
      </c>
    </row>
    <row r="169" spans="1:19" x14ac:dyDescent="0.25">
      <c r="A169" s="51">
        <v>473</v>
      </c>
      <c r="B169" t="s">
        <v>189</v>
      </c>
      <c r="C169" t="s">
        <v>188</v>
      </c>
      <c r="D169" t="s">
        <v>143</v>
      </c>
      <c r="E169" s="26">
        <v>44799</v>
      </c>
      <c r="F169" t="str">
        <f t="shared" si="2"/>
        <v>+7</v>
      </c>
      <c r="G169" t="str">
        <f>INDEX('коды стран'!$A$2:$A$7, MATCH(F169, 'коды стран'!$B$2:$B$7, 0))</f>
        <v>Россия</v>
      </c>
      <c r="H169" t="s">
        <v>137</v>
      </c>
      <c r="I169" t="str">
        <f>LEFT(Таблица8[[#This Row],[ФИО]],(M169-1))</f>
        <v>Ипат</v>
      </c>
      <c r="J169" t="str">
        <f>MID(Таблица8[[#This Row],[ФИО]],M169,(N169-M169))</f>
        <v xml:space="preserve"> Дмитриевич</v>
      </c>
      <c r="K169" t="str">
        <f>RIGHT(Таблица8[[#This Row],[ФИО]],(O169-N169))</f>
        <v>Панов</v>
      </c>
      <c r="M169" s="60">
        <f>FIND(" ",Таблица8[[#This Row],[ФИО]],2)</f>
        <v>5</v>
      </c>
      <c r="N169">
        <f>FIND(" ",Таблица8[[#This Row],[ФИО]],(M169+1))</f>
        <v>16</v>
      </c>
      <c r="O169">
        <f>LEN(Таблица8[[#This Row],[ФИО]])</f>
        <v>21</v>
      </c>
      <c r="Q169" s="60" t="str">
        <f>LEFT(Таблица8[[#This Row],[ФИО]],(M169-1))</f>
        <v>Ипат</v>
      </c>
      <c r="R169" t="s">
        <v>1235</v>
      </c>
      <c r="S169" t="s">
        <v>1434</v>
      </c>
    </row>
    <row r="170" spans="1:19" x14ac:dyDescent="0.25">
      <c r="A170" s="51">
        <v>14</v>
      </c>
      <c r="B170" t="s">
        <v>893</v>
      </c>
      <c r="C170" t="s">
        <v>892</v>
      </c>
      <c r="D170" t="s">
        <v>143</v>
      </c>
      <c r="E170" s="26">
        <v>44775</v>
      </c>
      <c r="F170" t="str">
        <f t="shared" si="2"/>
        <v>+992</v>
      </c>
      <c r="G170" t="str">
        <f>INDEX('коды стран'!$A$2:$A$7, MATCH(F170, 'коды стран'!$B$2:$B$7, 0))</f>
        <v>Таджикистан</v>
      </c>
      <c r="H170" t="s">
        <v>130</v>
      </c>
      <c r="I170" t="str">
        <f>LEFT(Таблица8[[#This Row],[ФИО]],(M170-1))</f>
        <v>Ипатий</v>
      </c>
      <c r="J170" t="str">
        <f>MID(Таблица8[[#This Row],[ФИО]],M170,(N170-M170))</f>
        <v xml:space="preserve"> Устинович</v>
      </c>
      <c r="K170" t="str">
        <f>RIGHT(Таблица8[[#This Row],[ФИО]],(O170-N170))</f>
        <v>Зимин</v>
      </c>
      <c r="M170" s="59">
        <f>FIND(" ",Таблица8[[#This Row],[ФИО]],2)</f>
        <v>7</v>
      </c>
      <c r="N170">
        <f>FIND(" ",Таблица8[[#This Row],[ФИО]],(M170+1))</f>
        <v>17</v>
      </c>
      <c r="O170">
        <f>LEN(Таблица8[[#This Row],[ФИО]])</f>
        <v>22</v>
      </c>
      <c r="Q170" s="59" t="str">
        <f>LEFT(Таблица8[[#This Row],[ФИО]],(M170-1))</f>
        <v>Ипатий</v>
      </c>
      <c r="R170" t="s">
        <v>1236</v>
      </c>
      <c r="S170" t="s">
        <v>1525</v>
      </c>
    </row>
    <row r="171" spans="1:19" x14ac:dyDescent="0.25">
      <c r="A171" s="51">
        <v>129</v>
      </c>
      <c r="B171" t="s">
        <v>489</v>
      </c>
      <c r="C171" t="s">
        <v>488</v>
      </c>
      <c r="D171" t="s">
        <v>140</v>
      </c>
      <c r="E171" s="26">
        <v>44868</v>
      </c>
      <c r="F171" t="str">
        <f t="shared" si="2"/>
        <v>+375</v>
      </c>
      <c r="G171" t="str">
        <f>INDEX('коды стран'!$A$2:$A$7, MATCH(F171, 'коды стран'!$B$2:$B$7, 0))</f>
        <v>Беларусь</v>
      </c>
      <c r="H171" t="s">
        <v>134</v>
      </c>
      <c r="I171" t="str">
        <f>LEFT(Таблица8[[#This Row],[ФИО]],(M171-1))</f>
        <v>Ираида</v>
      </c>
      <c r="J171" t="str">
        <f>MID(Таблица8[[#This Row],[ФИО]],M171,(N171-M171))</f>
        <v xml:space="preserve"> Егоровна</v>
      </c>
      <c r="K171" t="str">
        <f>RIGHT(Таблица8[[#This Row],[ФИО]],(O171-N171))</f>
        <v>Родионова</v>
      </c>
      <c r="M171" s="60">
        <f>FIND(" ",Таблица8[[#This Row],[ФИО]],2)</f>
        <v>7</v>
      </c>
      <c r="N171">
        <f>FIND(" ",Таблица8[[#This Row],[ФИО]],(M171+1))</f>
        <v>16</v>
      </c>
      <c r="O171">
        <f>LEN(Таблица8[[#This Row],[ФИО]])</f>
        <v>25</v>
      </c>
      <c r="Q171" s="60" t="str">
        <f>LEFT(Таблица8[[#This Row],[ФИО]],(M171-1))</f>
        <v>Ираида</v>
      </c>
      <c r="R171" t="s">
        <v>1237</v>
      </c>
      <c r="S171" t="s">
        <v>1412</v>
      </c>
    </row>
    <row r="172" spans="1:19" x14ac:dyDescent="0.25">
      <c r="A172" s="51">
        <v>38</v>
      </c>
      <c r="B172" t="s">
        <v>495</v>
      </c>
      <c r="C172" t="s">
        <v>494</v>
      </c>
      <c r="D172" t="s">
        <v>140</v>
      </c>
      <c r="E172" s="26">
        <v>44819</v>
      </c>
      <c r="F172" t="str">
        <f t="shared" si="2"/>
        <v>+992</v>
      </c>
      <c r="G172" t="str">
        <f>INDEX('коды стран'!$A$2:$A$7, MATCH(F172, 'коды стран'!$B$2:$B$7, 0))</f>
        <v>Таджикистан</v>
      </c>
      <c r="H172" t="s">
        <v>130</v>
      </c>
      <c r="I172" t="str">
        <f>LEFT(Таблица8[[#This Row],[ФИО]],(M172-1))</f>
        <v>Ираида</v>
      </c>
      <c r="J172" t="str">
        <f>MID(Таблица8[[#This Row],[ФИО]],M172,(N172-M172))</f>
        <v xml:space="preserve"> Феликсовна</v>
      </c>
      <c r="K172" t="str">
        <f>RIGHT(Таблица8[[#This Row],[ФИО]],(O172-N172))</f>
        <v>Белоусова</v>
      </c>
      <c r="M172" s="59">
        <f>FIND(" ",Таблица8[[#This Row],[ФИО]],2)</f>
        <v>7</v>
      </c>
      <c r="N172">
        <f>FIND(" ",Таблица8[[#This Row],[ФИО]],(M172+1))</f>
        <v>18</v>
      </c>
      <c r="O172">
        <f>LEN(Таблица8[[#This Row],[ФИО]])</f>
        <v>27</v>
      </c>
      <c r="Q172" s="59" t="str">
        <f>LEFT(Таблица8[[#This Row],[ФИО]],(M172-1))</f>
        <v>Ираида</v>
      </c>
      <c r="R172" t="s">
        <v>1150</v>
      </c>
      <c r="S172" t="s">
        <v>1526</v>
      </c>
    </row>
    <row r="173" spans="1:19" x14ac:dyDescent="0.25">
      <c r="A173" s="51">
        <v>124</v>
      </c>
      <c r="B173" t="s">
        <v>435</v>
      </c>
      <c r="C173" t="s">
        <v>434</v>
      </c>
      <c r="D173" t="s">
        <v>143</v>
      </c>
      <c r="E173" s="26">
        <v>44795</v>
      </c>
      <c r="F173" t="str">
        <f t="shared" si="2"/>
        <v>+7</v>
      </c>
      <c r="G173" t="str">
        <f>INDEX('коды стран'!$A$2:$A$7, MATCH(F173, 'коды стран'!$B$2:$B$7, 0))</f>
        <v>Россия</v>
      </c>
      <c r="H173" t="s">
        <v>137</v>
      </c>
      <c r="I173" t="str">
        <f>LEFT(Таблица8[[#This Row],[ФИО]],(M173-1))</f>
        <v>Ираклий</v>
      </c>
      <c r="J173" t="str">
        <f>MID(Таблица8[[#This Row],[ФИО]],M173,(N173-M173))</f>
        <v xml:space="preserve"> Изотович</v>
      </c>
      <c r="K173" t="str">
        <f>RIGHT(Таблица8[[#This Row],[ФИО]],(O173-N173))</f>
        <v>Авдеев</v>
      </c>
      <c r="M173" s="60">
        <f>FIND(" ",Таблица8[[#This Row],[ФИО]],2)</f>
        <v>8</v>
      </c>
      <c r="N173">
        <f>FIND(" ",Таблица8[[#This Row],[ФИО]],(M173+1))</f>
        <v>17</v>
      </c>
      <c r="O173">
        <f>LEN(Таблица8[[#This Row],[ФИО]])</f>
        <v>23</v>
      </c>
      <c r="Q173" s="60" t="str">
        <f>LEFT(Таблица8[[#This Row],[ФИО]],(M173-1))</f>
        <v>Ираклий</v>
      </c>
      <c r="R173" t="s">
        <v>1093</v>
      </c>
      <c r="S173" t="s">
        <v>1527</v>
      </c>
    </row>
    <row r="174" spans="1:19" x14ac:dyDescent="0.25">
      <c r="A174" s="51">
        <v>308</v>
      </c>
      <c r="B174" t="s">
        <v>599</v>
      </c>
      <c r="C174" t="s">
        <v>598</v>
      </c>
      <c r="D174" t="s">
        <v>143</v>
      </c>
      <c r="E174" s="26">
        <v>44562</v>
      </c>
      <c r="F174" t="str">
        <f t="shared" si="2"/>
        <v>+375</v>
      </c>
      <c r="G174" t="str">
        <f>INDEX('коды стран'!$A$2:$A$7, MATCH(F174, 'коды стран'!$B$2:$B$7, 0))</f>
        <v>Беларусь</v>
      </c>
      <c r="H174" t="s">
        <v>134</v>
      </c>
      <c r="I174" t="str">
        <f>LEFT(Таблица8[[#This Row],[ФИО]],(M174-1))</f>
        <v>Ирина</v>
      </c>
      <c r="J174" t="str">
        <f>MID(Таблица8[[#This Row],[ФИО]],M174,(N174-M174))</f>
        <v xml:space="preserve"> Анатольевна</v>
      </c>
      <c r="K174" t="str">
        <f>RIGHT(Таблица8[[#This Row],[ФИО]],(O174-N174))</f>
        <v>Васильева</v>
      </c>
      <c r="M174" s="59">
        <f>FIND(" ",Таблица8[[#This Row],[ФИО]],2)</f>
        <v>6</v>
      </c>
      <c r="N174">
        <f>FIND(" ",Таблица8[[#This Row],[ФИО]],(M174+1))</f>
        <v>18</v>
      </c>
      <c r="O174">
        <f>LEN(Таблица8[[#This Row],[ФИО]])</f>
        <v>27</v>
      </c>
      <c r="Q174" s="59" t="str">
        <f>LEFT(Таблица8[[#This Row],[ФИО]],(M174-1))</f>
        <v>Ирина</v>
      </c>
      <c r="R174" t="s">
        <v>1160</v>
      </c>
      <c r="S174" t="s">
        <v>1528</v>
      </c>
    </row>
    <row r="175" spans="1:19" x14ac:dyDescent="0.25">
      <c r="A175" s="51">
        <v>8</v>
      </c>
      <c r="B175" t="s">
        <v>261</v>
      </c>
      <c r="C175" t="s">
        <v>260</v>
      </c>
      <c r="D175" t="s">
        <v>143</v>
      </c>
      <c r="E175" s="26">
        <v>44883</v>
      </c>
      <c r="F175" t="str">
        <f t="shared" si="2"/>
        <v>+375</v>
      </c>
      <c r="G175" t="str">
        <f>INDEX('коды стран'!$A$2:$A$7, MATCH(F175, 'коды стран'!$B$2:$B$7, 0))</f>
        <v>Беларусь</v>
      </c>
      <c r="H175" t="s">
        <v>134</v>
      </c>
      <c r="I175" t="str">
        <f>LEFT(Таблица8[[#This Row],[ФИО]],(M175-1))</f>
        <v>Ирина</v>
      </c>
      <c r="J175" t="str">
        <f>MID(Таблица8[[#This Row],[ФИО]],M175,(N175-M175))</f>
        <v xml:space="preserve"> Макаровна</v>
      </c>
      <c r="K175" t="str">
        <f>RIGHT(Таблица8[[#This Row],[ФИО]],(O175-N175))</f>
        <v>Шарова</v>
      </c>
      <c r="M175" s="60">
        <f>FIND(" ",Таблица8[[#This Row],[ФИО]],2)</f>
        <v>6</v>
      </c>
      <c r="N175">
        <f>FIND(" ",Таблица8[[#This Row],[ФИО]],(M175+1))</f>
        <v>16</v>
      </c>
      <c r="O175">
        <f>LEN(Таблица8[[#This Row],[ФИО]])</f>
        <v>22</v>
      </c>
      <c r="Q175" s="60" t="str">
        <f>LEFT(Таблица8[[#This Row],[ФИО]],(M175-1))</f>
        <v>Ирина</v>
      </c>
      <c r="R175" t="s">
        <v>1238</v>
      </c>
      <c r="S175" t="s">
        <v>1529</v>
      </c>
    </row>
    <row r="176" spans="1:19" x14ac:dyDescent="0.25">
      <c r="A176" s="51">
        <v>296</v>
      </c>
      <c r="B176" t="s">
        <v>561</v>
      </c>
      <c r="C176" t="s">
        <v>560</v>
      </c>
      <c r="D176" t="s">
        <v>140</v>
      </c>
      <c r="E176" s="26">
        <v>44758</v>
      </c>
      <c r="F176" t="str">
        <f t="shared" si="2"/>
        <v>+998</v>
      </c>
      <c r="G176" t="str">
        <f>INDEX('коды стран'!$A$2:$A$7, MATCH(F176, 'коды стран'!$B$2:$B$7, 0))</f>
        <v>Узбекистан</v>
      </c>
      <c r="H176" t="s">
        <v>132</v>
      </c>
      <c r="I176" t="str">
        <f>LEFT(Таблица8[[#This Row],[ФИО]],(M176-1))</f>
        <v>Исакова</v>
      </c>
      <c r="J176" t="str">
        <f>MID(Таблица8[[#This Row],[ФИО]],M176,(N176-M176))</f>
        <v xml:space="preserve"> Людмила</v>
      </c>
      <c r="K176" t="str">
        <f>RIGHT(Таблица8[[#This Row],[ФИО]],(O176-N176))</f>
        <v>Олеговна</v>
      </c>
      <c r="M176" s="59">
        <f>FIND(" ",Таблица8[[#This Row],[ФИО]],2)</f>
        <v>8</v>
      </c>
      <c r="N176">
        <f>FIND(" ",Таблица8[[#This Row],[ФИО]],(M176+1))</f>
        <v>16</v>
      </c>
      <c r="O176">
        <f>LEN(Таблица8[[#This Row],[ФИО]])</f>
        <v>24</v>
      </c>
      <c r="Q176" s="59" t="str">
        <f>MID(Таблица8[[#This Row],[ФИО]],M176,(N176-M176))</f>
        <v xml:space="preserve"> Людмила</v>
      </c>
      <c r="R176" t="s">
        <v>1102</v>
      </c>
      <c r="S176" t="s">
        <v>1530</v>
      </c>
    </row>
    <row r="177" spans="1:19" x14ac:dyDescent="0.25">
      <c r="A177" s="51">
        <v>183</v>
      </c>
      <c r="B177" t="s">
        <v>919</v>
      </c>
      <c r="C177" t="s">
        <v>918</v>
      </c>
      <c r="D177" t="s">
        <v>143</v>
      </c>
      <c r="E177" s="26">
        <v>44900</v>
      </c>
      <c r="F177" t="str">
        <f t="shared" si="2"/>
        <v>+992</v>
      </c>
      <c r="G177" t="str">
        <f>INDEX('коды стран'!$A$2:$A$7, MATCH(F177, 'коды стран'!$B$2:$B$7, 0))</f>
        <v>Таджикистан</v>
      </c>
      <c r="H177" t="s">
        <v>130</v>
      </c>
      <c r="I177" t="str">
        <f>LEFT(Таблица8[[#This Row],[ФИО]],(M177-1))</f>
        <v>Ия</v>
      </c>
      <c r="J177" t="str">
        <f>MID(Таблица8[[#This Row],[ФИО]],M177,(N177-M177))</f>
        <v xml:space="preserve"> Никифоровна</v>
      </c>
      <c r="K177" t="str">
        <f>RIGHT(Таблица8[[#This Row],[ФИО]],(O177-N177))</f>
        <v>Лапина</v>
      </c>
      <c r="M177" s="60">
        <f>FIND(" ",Таблица8[[#This Row],[ФИО]],2)</f>
        <v>3</v>
      </c>
      <c r="N177">
        <f>FIND(" ",Таблица8[[#This Row],[ФИО]],(M177+1))</f>
        <v>15</v>
      </c>
      <c r="O177">
        <f>LEN(Таблица8[[#This Row],[ФИО]])</f>
        <v>21</v>
      </c>
      <c r="Q177" s="60" t="str">
        <f>LEFT(Таблица8[[#This Row],[ФИО]],(M177-1))</f>
        <v>Ия</v>
      </c>
      <c r="R177" t="s">
        <v>1213</v>
      </c>
      <c r="S177" t="s">
        <v>1531</v>
      </c>
    </row>
    <row r="178" spans="1:19" x14ac:dyDescent="0.25">
      <c r="A178" s="51">
        <v>405</v>
      </c>
      <c r="B178" t="s">
        <v>623</v>
      </c>
      <c r="C178" t="s">
        <v>622</v>
      </c>
      <c r="D178" t="s">
        <v>140</v>
      </c>
      <c r="E178" s="26">
        <v>44798</v>
      </c>
      <c r="F178" t="str">
        <f t="shared" si="2"/>
        <v>+380</v>
      </c>
      <c r="G178" t="str">
        <f>INDEX('коды стран'!$A$2:$A$7, MATCH(F178, 'коды стран'!$B$2:$B$7, 0))</f>
        <v>Украина</v>
      </c>
      <c r="H178" t="s">
        <v>128</v>
      </c>
      <c r="I178" t="str">
        <f>LEFT(Таблица8[[#This Row],[ФИО]],(M178-1))</f>
        <v>Ия</v>
      </c>
      <c r="J178" t="str">
        <f>MID(Таблица8[[#This Row],[ФИО]],M178,(N178-M178))</f>
        <v xml:space="preserve"> Робертовна</v>
      </c>
      <c r="K178" t="str">
        <f>RIGHT(Таблица8[[#This Row],[ФИО]],(O178-N178))</f>
        <v>Белова</v>
      </c>
      <c r="M178" s="59">
        <f>FIND(" ",Таблица8[[#This Row],[ФИО]],2)</f>
        <v>3</v>
      </c>
      <c r="N178">
        <f>FIND(" ",Таблица8[[#This Row],[ФИО]],(M178+1))</f>
        <v>14</v>
      </c>
      <c r="O178">
        <f>LEN(Таблица8[[#This Row],[ФИО]])</f>
        <v>20</v>
      </c>
      <c r="Q178" s="59" t="str">
        <f>LEFT(Таблица8[[#This Row],[ФИО]],(M178-1))</f>
        <v>Ия</v>
      </c>
      <c r="R178" t="s">
        <v>1120</v>
      </c>
      <c r="S178" t="s">
        <v>1532</v>
      </c>
    </row>
    <row r="179" spans="1:19" x14ac:dyDescent="0.25">
      <c r="A179" s="51">
        <v>180</v>
      </c>
      <c r="B179" t="s">
        <v>699</v>
      </c>
      <c r="C179" t="s">
        <v>698</v>
      </c>
      <c r="D179" t="s">
        <v>140</v>
      </c>
      <c r="E179" s="26">
        <v>44616</v>
      </c>
      <c r="F179" t="str">
        <f t="shared" si="2"/>
        <v>+375</v>
      </c>
      <c r="G179" t="str">
        <f>INDEX('коды стран'!$A$2:$A$7, MATCH(F179, 'коды стран'!$B$2:$B$7, 0))</f>
        <v>Беларусь</v>
      </c>
      <c r="H179" t="s">
        <v>134</v>
      </c>
      <c r="I179" t="str">
        <f>LEFT(Таблица8[[#This Row],[ФИО]],(M179-1))</f>
        <v>Калинин</v>
      </c>
      <c r="J179" t="str">
        <f>MID(Таблица8[[#This Row],[ФИО]],M179,(N179-M179))</f>
        <v xml:space="preserve"> Лев</v>
      </c>
      <c r="K179" t="str">
        <f>RIGHT(Таблица8[[#This Row],[ФИО]],(O179-N179))</f>
        <v>Феодосьевич</v>
      </c>
      <c r="M179" s="60">
        <f>FIND(" ",Таблица8[[#This Row],[ФИО]],2)</f>
        <v>8</v>
      </c>
      <c r="N179">
        <f>FIND(" ",Таблица8[[#This Row],[ФИО]],(M179+1))</f>
        <v>12</v>
      </c>
      <c r="O179">
        <f>LEN(Таблица8[[#This Row],[ФИО]])</f>
        <v>23</v>
      </c>
      <c r="Q179" s="60" t="str">
        <f>MID(Таблица8[[#This Row],[ФИО]],M179,(N179-M179))</f>
        <v xml:space="preserve"> Лев</v>
      </c>
      <c r="R179" t="s">
        <v>1181</v>
      </c>
      <c r="S179" t="s">
        <v>1533</v>
      </c>
    </row>
    <row r="180" spans="1:19" x14ac:dyDescent="0.25">
      <c r="A180" s="51">
        <v>182</v>
      </c>
      <c r="B180" t="s">
        <v>397</v>
      </c>
      <c r="C180" t="s">
        <v>396</v>
      </c>
      <c r="D180" t="s">
        <v>143</v>
      </c>
      <c r="E180" s="26">
        <v>44856</v>
      </c>
      <c r="F180" t="str">
        <f t="shared" si="2"/>
        <v>+998</v>
      </c>
      <c r="G180" t="str">
        <f>INDEX('коды стран'!$A$2:$A$7, MATCH(F180, 'коды стран'!$B$2:$B$7, 0))</f>
        <v>Узбекистан</v>
      </c>
      <c r="H180" t="s">
        <v>132</v>
      </c>
      <c r="I180" t="str">
        <f>LEFT(Таблица8[[#This Row],[ФИО]],(M180-1))</f>
        <v>Калинин</v>
      </c>
      <c r="J180" t="str">
        <f>MID(Таблица8[[#This Row],[ФИО]],M180,(N180-M180))</f>
        <v xml:space="preserve"> Никита</v>
      </c>
      <c r="K180" t="str">
        <f>RIGHT(Таблица8[[#This Row],[ФИО]],(O180-N180))</f>
        <v>Артурович</v>
      </c>
      <c r="M180" s="59">
        <f>FIND(" ",Таблица8[[#This Row],[ФИО]],2)</f>
        <v>8</v>
      </c>
      <c r="N180">
        <f>FIND(" ",Таблица8[[#This Row],[ФИО]],(M180+1))</f>
        <v>15</v>
      </c>
      <c r="O180">
        <f>LEN(Таблица8[[#This Row],[ФИО]])</f>
        <v>24</v>
      </c>
      <c r="Q180" s="59" t="str">
        <f>MID(Таблица8[[#This Row],[ФИО]],M180,(N180-M180))</f>
        <v xml:space="preserve"> Никита</v>
      </c>
      <c r="R180" t="s">
        <v>1181</v>
      </c>
      <c r="S180" t="s">
        <v>1534</v>
      </c>
    </row>
    <row r="181" spans="1:19" x14ac:dyDescent="0.25">
      <c r="A181" s="51">
        <v>374</v>
      </c>
      <c r="B181" t="s">
        <v>999</v>
      </c>
      <c r="C181" t="s">
        <v>998</v>
      </c>
      <c r="D181" t="s">
        <v>140</v>
      </c>
      <c r="E181" s="26">
        <v>44582</v>
      </c>
      <c r="F181" t="str">
        <f t="shared" si="2"/>
        <v>+380</v>
      </c>
      <c r="G181" t="str">
        <f>INDEX('коды стран'!$A$2:$A$7, MATCH(F181, 'коды стран'!$B$2:$B$7, 0))</f>
        <v>Украина</v>
      </c>
      <c r="H181" t="s">
        <v>128</v>
      </c>
      <c r="I181" t="str">
        <f>LEFT(Таблица8[[#This Row],[ФИО]],(M181-1))</f>
        <v>Калинина</v>
      </c>
      <c r="J181" t="str">
        <f>MID(Таблица8[[#This Row],[ФИО]],M181,(N181-M181))</f>
        <v xml:space="preserve"> Ирина</v>
      </c>
      <c r="K181" t="str">
        <f>RIGHT(Таблица8[[#This Row],[ФИО]],(O181-N181))</f>
        <v>Филипповна</v>
      </c>
      <c r="M181" s="60">
        <f>FIND(" ",Таблица8[[#This Row],[ФИО]],2)</f>
        <v>9</v>
      </c>
      <c r="N181">
        <f>FIND(" ",Таблица8[[#This Row],[ФИО]],(M181+1))</f>
        <v>15</v>
      </c>
      <c r="O181">
        <f>LEN(Таблица8[[#This Row],[ФИО]])</f>
        <v>25</v>
      </c>
      <c r="Q181" s="60" t="str">
        <f>MID(Таблица8[[#This Row],[ФИО]],M181,(N181-M181))</f>
        <v xml:space="preserve"> Ирина</v>
      </c>
      <c r="R181" t="s">
        <v>1239</v>
      </c>
      <c r="S181" t="s">
        <v>1484</v>
      </c>
    </row>
    <row r="182" spans="1:19" x14ac:dyDescent="0.25">
      <c r="A182" s="51">
        <v>415</v>
      </c>
      <c r="B182" t="s">
        <v>881</v>
      </c>
      <c r="C182" t="s">
        <v>880</v>
      </c>
      <c r="D182" t="s">
        <v>143</v>
      </c>
      <c r="E182" s="26">
        <v>44661</v>
      </c>
      <c r="F182" t="str">
        <f t="shared" si="2"/>
        <v>+380</v>
      </c>
      <c r="G182" t="str">
        <f>INDEX('коды стран'!$A$2:$A$7, MATCH(F182, 'коды стран'!$B$2:$B$7, 0))</f>
        <v>Украина</v>
      </c>
      <c r="H182" t="s">
        <v>128</v>
      </c>
      <c r="I182" t="str">
        <f>LEFT(Таблица8[[#This Row],[ФИО]],(M182-1))</f>
        <v>Капитон</v>
      </c>
      <c r="J182" t="str">
        <f>MID(Таблица8[[#This Row],[ФИО]],M182,(N182-M182))</f>
        <v xml:space="preserve"> Феликсович</v>
      </c>
      <c r="K182" t="str">
        <f>RIGHT(Таблица8[[#This Row],[ФИО]],(O182-N182))</f>
        <v>Кабанов</v>
      </c>
      <c r="M182" s="59">
        <f>FIND(" ",Таблица8[[#This Row],[ФИО]],2)</f>
        <v>8</v>
      </c>
      <c r="N182">
        <f>FIND(" ",Таблица8[[#This Row],[ФИО]],(M182+1))</f>
        <v>19</v>
      </c>
      <c r="O182">
        <f>LEN(Таблица8[[#This Row],[ФИО]])</f>
        <v>26</v>
      </c>
      <c r="Q182" s="59" t="str">
        <f>LEFT(Таблица8[[#This Row],[ФИО]],(M182-1))</f>
        <v>Капитон</v>
      </c>
      <c r="R182" t="s">
        <v>1240</v>
      </c>
      <c r="S182" t="s">
        <v>1535</v>
      </c>
    </row>
    <row r="183" spans="1:19" x14ac:dyDescent="0.25">
      <c r="A183" s="51">
        <v>346</v>
      </c>
      <c r="B183" t="s">
        <v>883</v>
      </c>
      <c r="C183" t="s">
        <v>882</v>
      </c>
      <c r="D183" t="s">
        <v>143</v>
      </c>
      <c r="E183" s="26">
        <v>44636</v>
      </c>
      <c r="F183" t="str">
        <f t="shared" si="2"/>
        <v>+7</v>
      </c>
      <c r="G183" t="str">
        <f>INDEX('коды стран'!$A$2:$A$7, MATCH(F183, 'коды стран'!$B$2:$B$7, 0))</f>
        <v>Россия</v>
      </c>
      <c r="H183" t="s">
        <v>137</v>
      </c>
      <c r="I183" t="str">
        <f>LEFT(Таблица8[[#This Row],[ФИО]],(M183-1))</f>
        <v>Капитон</v>
      </c>
      <c r="J183" t="str">
        <f>MID(Таблица8[[#This Row],[ФИО]],M183,(N183-M183))</f>
        <v xml:space="preserve"> Харитонович</v>
      </c>
      <c r="K183" t="str">
        <f>RIGHT(Таблица8[[#This Row],[ФИО]],(O183-N183))</f>
        <v>Родионов</v>
      </c>
      <c r="M183" s="60">
        <f>FIND(" ",Таблица8[[#This Row],[ФИО]],2)</f>
        <v>8</v>
      </c>
      <c r="N183">
        <f>FIND(" ",Таблица8[[#This Row],[ФИО]],(M183+1))</f>
        <v>20</v>
      </c>
      <c r="O183">
        <f>LEN(Таблица8[[#This Row],[ФИО]])</f>
        <v>28</v>
      </c>
      <c r="Q183" s="60" t="str">
        <f>LEFT(Таблица8[[#This Row],[ФИО]],(M183-1))</f>
        <v>Капитон</v>
      </c>
      <c r="R183" t="s">
        <v>1241</v>
      </c>
      <c r="S183" t="s">
        <v>1536</v>
      </c>
    </row>
    <row r="184" spans="1:19" x14ac:dyDescent="0.25">
      <c r="A184" s="51">
        <v>179</v>
      </c>
      <c r="B184" t="s">
        <v>941</v>
      </c>
      <c r="C184" t="s">
        <v>940</v>
      </c>
      <c r="D184" t="s">
        <v>143</v>
      </c>
      <c r="E184" s="26">
        <v>44833</v>
      </c>
      <c r="F184" t="str">
        <f t="shared" si="2"/>
        <v>+7</v>
      </c>
      <c r="G184" t="str">
        <f>INDEX('коды стран'!$A$2:$A$7, MATCH(F184, 'коды стран'!$B$2:$B$7, 0))</f>
        <v>Россия</v>
      </c>
      <c r="H184" t="s">
        <v>137</v>
      </c>
      <c r="I184" t="str">
        <f>LEFT(Таблица8[[#This Row],[ФИО]],(M184-1))</f>
        <v>Капустина</v>
      </c>
      <c r="J184" t="str">
        <f>MID(Таблица8[[#This Row],[ФИО]],M184,(N184-M184))</f>
        <v xml:space="preserve"> Тамара</v>
      </c>
      <c r="K184" t="str">
        <f>RIGHT(Таблица8[[#This Row],[ФИО]],(O184-N184))</f>
        <v>Валериевна</v>
      </c>
      <c r="M184" s="59">
        <f>FIND(" ",Таблица8[[#This Row],[ФИО]],2)</f>
        <v>10</v>
      </c>
      <c r="N184">
        <f>FIND(" ",Таблица8[[#This Row],[ФИО]],(M184+1))</f>
        <v>17</v>
      </c>
      <c r="O184">
        <f>LEN(Таблица8[[#This Row],[ФИО]])</f>
        <v>27</v>
      </c>
      <c r="Q184" s="59" t="str">
        <f>MID(Таблица8[[#This Row],[ФИО]],M184,(N184-M184))</f>
        <v xml:space="preserve"> Тамара</v>
      </c>
      <c r="R184" t="s">
        <v>1242</v>
      </c>
      <c r="S184" t="s">
        <v>1537</v>
      </c>
    </row>
    <row r="185" spans="1:19" x14ac:dyDescent="0.25">
      <c r="A185" s="51">
        <v>407</v>
      </c>
      <c r="B185" t="s">
        <v>911</v>
      </c>
      <c r="C185" t="s">
        <v>910</v>
      </c>
      <c r="D185" t="s">
        <v>143</v>
      </c>
      <c r="E185" s="26">
        <v>44621</v>
      </c>
      <c r="F185" t="str">
        <f t="shared" si="2"/>
        <v>+375</v>
      </c>
      <c r="G185" t="str">
        <f>INDEX('коды стран'!$A$2:$A$7, MATCH(F185, 'коды стран'!$B$2:$B$7, 0))</f>
        <v>Беларусь</v>
      </c>
      <c r="H185" t="s">
        <v>134</v>
      </c>
      <c r="I185" t="str">
        <f>LEFT(Таблица8[[#This Row],[ФИО]],(M185-1))</f>
        <v>Карп</v>
      </c>
      <c r="J185" t="str">
        <f>MID(Таблица8[[#This Row],[ФИО]],M185,(N185-M185))</f>
        <v xml:space="preserve"> Афанасьевич</v>
      </c>
      <c r="K185" t="str">
        <f>RIGHT(Таблица8[[#This Row],[ФИО]],(O185-N185))</f>
        <v>Фомичев</v>
      </c>
      <c r="M185" s="60">
        <f>FIND(" ",Таблица8[[#This Row],[ФИО]],2)</f>
        <v>5</v>
      </c>
      <c r="N185">
        <f>FIND(" ",Таблица8[[#This Row],[ФИО]],(M185+1))</f>
        <v>17</v>
      </c>
      <c r="O185">
        <f>LEN(Таблица8[[#This Row],[ФИО]])</f>
        <v>24</v>
      </c>
      <c r="Q185" s="60" t="str">
        <f>LEFT(Таблица8[[#This Row],[ФИО]],(M185-1))</f>
        <v>Карп</v>
      </c>
      <c r="R185" t="s">
        <v>1243</v>
      </c>
      <c r="S185" t="s">
        <v>1538</v>
      </c>
    </row>
    <row r="186" spans="1:19" x14ac:dyDescent="0.25">
      <c r="A186" s="51">
        <v>44</v>
      </c>
      <c r="B186" t="s">
        <v>705</v>
      </c>
      <c r="C186" t="s">
        <v>704</v>
      </c>
      <c r="D186" t="s">
        <v>140</v>
      </c>
      <c r="E186" s="26">
        <v>44701</v>
      </c>
      <c r="F186" t="str">
        <f t="shared" si="2"/>
        <v>+375</v>
      </c>
      <c r="G186" t="str">
        <f>INDEX('коды стран'!$A$2:$A$7, MATCH(F186, 'коды стран'!$B$2:$B$7, 0))</f>
        <v>Беларусь</v>
      </c>
      <c r="H186" t="s">
        <v>134</v>
      </c>
      <c r="I186" t="str">
        <f>LEFT(Таблица8[[#This Row],[ФИО]],(M186-1))</f>
        <v>Кир</v>
      </c>
      <c r="J186" t="str">
        <f>MID(Таблица8[[#This Row],[ФИО]],M186,(N186-M186))</f>
        <v xml:space="preserve"> Васильевич</v>
      </c>
      <c r="K186" t="str">
        <f>RIGHT(Таблица8[[#This Row],[ФИО]],(O186-N186))</f>
        <v>Горбунов</v>
      </c>
      <c r="M186" s="59">
        <f>FIND(" ",Таблица8[[#This Row],[ФИО]],2)</f>
        <v>4</v>
      </c>
      <c r="N186">
        <f>FIND(" ",Таблица8[[#This Row],[ФИО]],(M186+1))</f>
        <v>15</v>
      </c>
      <c r="O186">
        <f>LEN(Таблица8[[#This Row],[ФИО]])</f>
        <v>23</v>
      </c>
      <c r="Q186" s="59" t="str">
        <f>LEFT(Таблица8[[#This Row],[ФИО]],(M186-1))</f>
        <v>Кир</v>
      </c>
      <c r="R186" t="s">
        <v>1244</v>
      </c>
      <c r="S186" t="s">
        <v>1539</v>
      </c>
    </row>
    <row r="187" spans="1:19" x14ac:dyDescent="0.25">
      <c r="A187" s="51">
        <v>18</v>
      </c>
      <c r="B187" t="s">
        <v>493</v>
      </c>
      <c r="C187" t="s">
        <v>492</v>
      </c>
      <c r="D187" t="s">
        <v>140</v>
      </c>
      <c r="E187" s="26">
        <v>44578</v>
      </c>
      <c r="F187" t="str">
        <f t="shared" si="2"/>
        <v>+380</v>
      </c>
      <c r="G187" t="str">
        <f>INDEX('коды стран'!$A$2:$A$7, MATCH(F187, 'коды стран'!$B$2:$B$7, 0))</f>
        <v>Украина</v>
      </c>
      <c r="H187" t="s">
        <v>128</v>
      </c>
      <c r="I187" t="str">
        <f>LEFT(Таблица8[[#This Row],[ФИО]],(M187-1))</f>
        <v>Кира</v>
      </c>
      <c r="J187" t="str">
        <f>MID(Таблица8[[#This Row],[ФИО]],M187,(N187-M187))</f>
        <v xml:space="preserve"> Степановна</v>
      </c>
      <c r="K187" t="str">
        <f>RIGHT(Таблица8[[#This Row],[ФИО]],(O187-N187))</f>
        <v>Рогова</v>
      </c>
      <c r="M187" s="60">
        <f>FIND(" ",Таблица8[[#This Row],[ФИО]],2)</f>
        <v>5</v>
      </c>
      <c r="N187">
        <f>FIND(" ",Таблица8[[#This Row],[ФИО]],(M187+1))</f>
        <v>16</v>
      </c>
      <c r="O187">
        <f>LEN(Таблица8[[#This Row],[ФИО]])</f>
        <v>22</v>
      </c>
      <c r="Q187" s="60" t="str">
        <f>LEFT(Таблица8[[#This Row],[ФИО]],(M187-1))</f>
        <v>Кира</v>
      </c>
      <c r="R187" t="s">
        <v>1245</v>
      </c>
      <c r="S187" t="s">
        <v>1495</v>
      </c>
    </row>
    <row r="188" spans="1:19" x14ac:dyDescent="0.25">
      <c r="A188" s="51">
        <v>283</v>
      </c>
      <c r="B188" t="s">
        <v>769</v>
      </c>
      <c r="C188" t="s">
        <v>768</v>
      </c>
      <c r="D188" t="s">
        <v>140</v>
      </c>
      <c r="E188" s="26">
        <v>44889</v>
      </c>
      <c r="F188" t="str">
        <f t="shared" si="2"/>
        <v>+992</v>
      </c>
      <c r="G188" t="str">
        <f>INDEX('коды стран'!$A$2:$A$7, MATCH(F188, 'коды стран'!$B$2:$B$7, 0))</f>
        <v>Таджикистан</v>
      </c>
      <c r="H188" t="s">
        <v>130</v>
      </c>
      <c r="I188" t="str">
        <f>LEFT(Таблица8[[#This Row],[ФИО]],(M188-1))</f>
        <v>Кириллов</v>
      </c>
      <c r="J188" t="str">
        <f>MID(Таблица8[[#This Row],[ФИО]],M188,(N188-M188))</f>
        <v xml:space="preserve"> Валерьян</v>
      </c>
      <c r="K188" t="str">
        <f>RIGHT(Таблица8[[#This Row],[ФИО]],(O188-N188))</f>
        <v>Иосипович</v>
      </c>
      <c r="M188" s="59">
        <f>FIND(" ",Таблица8[[#This Row],[ФИО]],2)</f>
        <v>9</v>
      </c>
      <c r="N188">
        <f>FIND(" ",Таблица8[[#This Row],[ФИО]],(M188+1))</f>
        <v>18</v>
      </c>
      <c r="O188">
        <f>LEN(Таблица8[[#This Row],[ФИО]])</f>
        <v>27</v>
      </c>
      <c r="Q188" s="59" t="str">
        <f>MID(Таблица8[[#This Row],[ФИО]],M188,(N188-M188))</f>
        <v xml:space="preserve"> Валерьян</v>
      </c>
      <c r="R188" t="s">
        <v>1138</v>
      </c>
      <c r="S188" t="s">
        <v>1437</v>
      </c>
    </row>
    <row r="189" spans="1:19" x14ac:dyDescent="0.25">
      <c r="A189" s="51">
        <v>404</v>
      </c>
      <c r="B189" t="s">
        <v>213</v>
      </c>
      <c r="C189" t="s">
        <v>212</v>
      </c>
      <c r="D189" t="s">
        <v>140</v>
      </c>
      <c r="E189" s="26">
        <v>44913</v>
      </c>
      <c r="F189" t="str">
        <f t="shared" si="2"/>
        <v>+380</v>
      </c>
      <c r="G189" t="str">
        <f>INDEX('коды стран'!$A$2:$A$7, MATCH(F189, 'коды стран'!$B$2:$B$7, 0))</f>
        <v>Украина</v>
      </c>
      <c r="H189" t="s">
        <v>128</v>
      </c>
      <c r="I189" t="str">
        <f>LEFT(Таблица8[[#This Row],[ФИО]],(M189-1))</f>
        <v>Кириллова</v>
      </c>
      <c r="J189" t="str">
        <f>MID(Таблица8[[#This Row],[ФИО]],M189,(N189-M189))</f>
        <v xml:space="preserve"> Пелагея</v>
      </c>
      <c r="K189" t="str">
        <f>RIGHT(Таблица8[[#This Row],[ФИО]],(O189-N189))</f>
        <v>Юльевна</v>
      </c>
      <c r="M189" s="60">
        <f>FIND(" ",Таблица8[[#This Row],[ФИО]],2)</f>
        <v>10</v>
      </c>
      <c r="N189">
        <f>FIND(" ",Таблица8[[#This Row],[ФИО]],(M189+1))</f>
        <v>18</v>
      </c>
      <c r="O189">
        <f>LEN(Таблица8[[#This Row],[ФИО]])</f>
        <v>25</v>
      </c>
      <c r="Q189" s="60" t="str">
        <f>MID(Таблица8[[#This Row],[ФИО]],M189,(N189-M189))</f>
        <v xml:space="preserve"> Пелагея</v>
      </c>
      <c r="R189" t="s">
        <v>1138</v>
      </c>
      <c r="S189" t="s">
        <v>1540</v>
      </c>
    </row>
    <row r="190" spans="1:19" x14ac:dyDescent="0.25">
      <c r="A190" s="51">
        <v>66</v>
      </c>
      <c r="B190" t="s">
        <v>525</v>
      </c>
      <c r="C190" t="s">
        <v>524</v>
      </c>
      <c r="D190" t="s">
        <v>140</v>
      </c>
      <c r="E190" s="26">
        <v>44777</v>
      </c>
      <c r="F190" t="str">
        <f t="shared" si="2"/>
        <v>+7</v>
      </c>
      <c r="G190" t="str">
        <f>INDEX('коды стран'!$A$2:$A$7, MATCH(F190, 'коды стран'!$B$2:$B$7, 0))</f>
        <v>Россия</v>
      </c>
      <c r="H190" t="s">
        <v>137</v>
      </c>
      <c r="I190" t="str">
        <f>LEFT(Таблица8[[#This Row],[ФИО]],(M190-1))</f>
        <v>Клавдия</v>
      </c>
      <c r="J190" t="str">
        <f>MID(Таблица8[[#This Row],[ФИО]],M190,(N190-M190))</f>
        <v xml:space="preserve"> Богдановна</v>
      </c>
      <c r="K190" t="str">
        <f>RIGHT(Таблица8[[#This Row],[ФИО]],(O190-N190))</f>
        <v>Ковалева</v>
      </c>
      <c r="M190" s="59">
        <f>FIND(" ",Таблица8[[#This Row],[ФИО]],2)</f>
        <v>8</v>
      </c>
      <c r="N190">
        <f>FIND(" ",Таблица8[[#This Row],[ФИО]],(M190+1))</f>
        <v>19</v>
      </c>
      <c r="O190">
        <f>LEN(Таблица8[[#This Row],[ФИО]])</f>
        <v>27</v>
      </c>
      <c r="Q190" s="59" t="str">
        <f>LEFT(Таблица8[[#This Row],[ФИО]],(M190-1))</f>
        <v>Клавдия</v>
      </c>
      <c r="R190" t="s">
        <v>1246</v>
      </c>
      <c r="S190" t="s">
        <v>1541</v>
      </c>
    </row>
    <row r="191" spans="1:19" x14ac:dyDescent="0.25">
      <c r="A191" s="51">
        <v>307</v>
      </c>
      <c r="B191" t="s">
        <v>521</v>
      </c>
      <c r="C191" t="s">
        <v>520</v>
      </c>
      <c r="D191" t="s">
        <v>143</v>
      </c>
      <c r="E191" s="26">
        <v>44764</v>
      </c>
      <c r="F191" t="str">
        <f t="shared" si="2"/>
        <v>+375</v>
      </c>
      <c r="G191" t="str">
        <f>INDEX('коды стран'!$A$2:$A$7, MATCH(F191, 'коды стран'!$B$2:$B$7, 0))</f>
        <v>Беларусь</v>
      </c>
      <c r="H191" t="s">
        <v>134</v>
      </c>
      <c r="I191" t="str">
        <f>LEFT(Таблица8[[#This Row],[ФИО]],(M191-1))</f>
        <v>Клавдия</v>
      </c>
      <c r="J191" t="str">
        <f>MID(Таблица8[[#This Row],[ФИО]],M191,(N191-M191))</f>
        <v xml:space="preserve"> Константиновна</v>
      </c>
      <c r="K191" t="str">
        <f>RIGHT(Таблица8[[#This Row],[ФИО]],(O191-N191))</f>
        <v>Хохлова</v>
      </c>
      <c r="M191" s="60">
        <f>FIND(" ",Таблица8[[#This Row],[ФИО]],2)</f>
        <v>8</v>
      </c>
      <c r="N191">
        <f>FIND(" ",Таблица8[[#This Row],[ФИО]],(M191+1))</f>
        <v>23</v>
      </c>
      <c r="O191">
        <f>LEN(Таблица8[[#This Row],[ФИО]])</f>
        <v>30</v>
      </c>
      <c r="Q191" s="60" t="str">
        <f>LEFT(Таблица8[[#This Row],[ФИО]],(M191-1))</f>
        <v>Клавдия</v>
      </c>
      <c r="R191" t="s">
        <v>1247</v>
      </c>
      <c r="S191" t="s">
        <v>1542</v>
      </c>
    </row>
    <row r="192" spans="1:19" x14ac:dyDescent="0.25">
      <c r="A192" s="51">
        <v>394</v>
      </c>
      <c r="B192" t="s">
        <v>227</v>
      </c>
      <c r="C192" t="s">
        <v>226</v>
      </c>
      <c r="D192" t="s">
        <v>143</v>
      </c>
      <c r="E192" s="26">
        <v>44708</v>
      </c>
      <c r="F192" t="str">
        <f t="shared" si="2"/>
        <v>+7</v>
      </c>
      <c r="G192" t="str">
        <f>INDEX('коды стран'!$A$2:$A$7, MATCH(F192, 'коды стран'!$B$2:$B$7, 0))</f>
        <v>Россия</v>
      </c>
      <c r="H192" t="s">
        <v>137</v>
      </c>
      <c r="I192" t="str">
        <f>LEFT(Таблица8[[#This Row],[ФИО]],(M192-1))</f>
        <v>Князев</v>
      </c>
      <c r="J192" t="str">
        <f>MID(Таблица8[[#This Row],[ФИО]],M192,(N192-M192))</f>
        <v xml:space="preserve"> Платон</v>
      </c>
      <c r="K192" t="str">
        <f>RIGHT(Таблица8[[#This Row],[ФИО]],(O192-N192))</f>
        <v>Андреевич</v>
      </c>
      <c r="M192" s="59">
        <f>FIND(" ",Таблица8[[#This Row],[ФИО]],2)</f>
        <v>7</v>
      </c>
      <c r="N192">
        <f>FIND(" ",Таблица8[[#This Row],[ФИО]],(M192+1))</f>
        <v>14</v>
      </c>
      <c r="O192">
        <f>LEN(Таблица8[[#This Row],[ФИО]])</f>
        <v>23</v>
      </c>
      <c r="Q192" s="59" t="str">
        <f>MID(Таблица8[[#This Row],[ФИО]],M192,(N192-M192))</f>
        <v xml:space="preserve"> Платон</v>
      </c>
      <c r="R192" t="s">
        <v>1248</v>
      </c>
      <c r="S192" t="s">
        <v>1506</v>
      </c>
    </row>
    <row r="193" spans="1:19" x14ac:dyDescent="0.25">
      <c r="A193" s="51">
        <v>356</v>
      </c>
      <c r="B193" t="s">
        <v>819</v>
      </c>
      <c r="C193" t="s">
        <v>818</v>
      </c>
      <c r="D193" t="s">
        <v>140</v>
      </c>
      <c r="E193" s="26">
        <v>44570</v>
      </c>
      <c r="F193" t="str">
        <f t="shared" si="2"/>
        <v>+992</v>
      </c>
      <c r="G193" t="str">
        <f>INDEX('коды стран'!$A$2:$A$7, MATCH(F193, 'коды стран'!$B$2:$B$7, 0))</f>
        <v>Таджикистан</v>
      </c>
      <c r="H193" t="s">
        <v>130</v>
      </c>
      <c r="I193" t="str">
        <f>LEFT(Таблица8[[#This Row],[ФИО]],(M193-1))</f>
        <v>Князева</v>
      </c>
      <c r="J193" t="str">
        <f>MID(Таблица8[[#This Row],[ФИО]],M193,(N193-M193))</f>
        <v xml:space="preserve"> Акулина</v>
      </c>
      <c r="K193" t="str">
        <f>RIGHT(Таблица8[[#This Row],[ФИО]],(O193-N193))</f>
        <v>Алексеевна</v>
      </c>
      <c r="M193" s="60">
        <f>FIND(" ",Таблица8[[#This Row],[ФИО]],2)</f>
        <v>8</v>
      </c>
      <c r="N193">
        <f>FIND(" ",Таблица8[[#This Row],[ФИО]],(M193+1))</f>
        <v>16</v>
      </c>
      <c r="O193">
        <f>LEN(Таблица8[[#This Row],[ФИО]])</f>
        <v>26</v>
      </c>
      <c r="Q193" s="60" t="str">
        <f>MID(Таблица8[[#This Row],[ФИО]],M193,(N193-M193))</f>
        <v xml:space="preserve"> Акулина</v>
      </c>
      <c r="R193" t="s">
        <v>1249</v>
      </c>
      <c r="S193" t="s">
        <v>1510</v>
      </c>
    </row>
    <row r="194" spans="1:19" x14ac:dyDescent="0.25">
      <c r="A194" s="51">
        <v>493</v>
      </c>
      <c r="B194" t="s">
        <v>909</v>
      </c>
      <c r="C194" t="s">
        <v>908</v>
      </c>
      <c r="D194" t="s">
        <v>143</v>
      </c>
      <c r="E194" s="26">
        <v>44855</v>
      </c>
      <c r="F194" t="str">
        <f t="shared" ref="F194:F257" si="3">LEFT(B194,LEN(B194)-13)</f>
        <v>+380</v>
      </c>
      <c r="G194" t="str">
        <f>INDEX('коды стран'!$A$2:$A$7, MATCH(F194, 'коды стран'!$B$2:$B$7, 0))</f>
        <v>Украина</v>
      </c>
      <c r="H194" t="s">
        <v>128</v>
      </c>
      <c r="I194" t="str">
        <f>LEFT(Таблица8[[#This Row],[ФИО]],(M194-1))</f>
        <v>Кондратьева</v>
      </c>
      <c r="J194" t="str">
        <f>MID(Таблица8[[#This Row],[ФИО]],M194,(N194-M194))</f>
        <v xml:space="preserve"> Валентина</v>
      </c>
      <c r="K194" t="str">
        <f>RIGHT(Таблица8[[#This Row],[ФИО]],(O194-N194))</f>
        <v>Львовна</v>
      </c>
      <c r="M194" s="59">
        <f>FIND(" ",Таблица8[[#This Row],[ФИО]],2)</f>
        <v>12</v>
      </c>
      <c r="N194">
        <f>FIND(" ",Таблица8[[#This Row],[ФИО]],(M194+1))</f>
        <v>22</v>
      </c>
      <c r="O194">
        <f>LEN(Таблица8[[#This Row],[ФИО]])</f>
        <v>29</v>
      </c>
      <c r="Q194" s="59" t="str">
        <f>MID(Таблица8[[#This Row],[ФИО]],M194,(N194-M194))</f>
        <v xml:space="preserve"> Валентина</v>
      </c>
      <c r="R194" t="s">
        <v>1250</v>
      </c>
      <c r="S194" t="s">
        <v>1543</v>
      </c>
    </row>
    <row r="195" spans="1:19" x14ac:dyDescent="0.25">
      <c r="A195" s="51">
        <v>295</v>
      </c>
      <c r="B195" t="s">
        <v>657</v>
      </c>
      <c r="C195" t="s">
        <v>656</v>
      </c>
      <c r="D195" t="s">
        <v>140</v>
      </c>
      <c r="E195" s="26">
        <v>44588</v>
      </c>
      <c r="F195" t="str">
        <f t="shared" si="3"/>
        <v>+7</v>
      </c>
      <c r="G195" t="str">
        <f>INDEX('коды стран'!$A$2:$A$7, MATCH(F195, 'коды стран'!$B$2:$B$7, 0))</f>
        <v>Россия</v>
      </c>
      <c r="H195" t="s">
        <v>137</v>
      </c>
      <c r="I195" t="str">
        <f>LEFT(Таблица8[[#This Row],[ФИО]],(M195-1))</f>
        <v>Конон</v>
      </c>
      <c r="J195" t="str">
        <f>MID(Таблица8[[#This Row],[ФИО]],M195,(N195-M195))</f>
        <v xml:space="preserve"> Валентинович</v>
      </c>
      <c r="K195" t="str">
        <f>RIGHT(Таблица8[[#This Row],[ФИО]],(O195-N195))</f>
        <v>Владимиров</v>
      </c>
      <c r="M195" s="60">
        <f>FIND(" ",Таблица8[[#This Row],[ФИО]],2)</f>
        <v>6</v>
      </c>
      <c r="N195">
        <f>FIND(" ",Таблица8[[#This Row],[ФИО]],(M195+1))</f>
        <v>19</v>
      </c>
      <c r="O195">
        <f>LEN(Таблица8[[#This Row],[ФИО]])</f>
        <v>29</v>
      </c>
      <c r="Q195" t="s">
        <v>1251</v>
      </c>
      <c r="R195" s="62" t="str">
        <f>RIGHT(Таблица8[[#This Row],[ФИО]],(O195-N195))</f>
        <v>Владимиров</v>
      </c>
      <c r="S195" t="s">
        <v>1409</v>
      </c>
    </row>
    <row r="196" spans="1:19" x14ac:dyDescent="0.25">
      <c r="A196" s="51">
        <v>257</v>
      </c>
      <c r="B196" t="s">
        <v>433</v>
      </c>
      <c r="C196" t="s">
        <v>432</v>
      </c>
      <c r="D196" t="s">
        <v>140</v>
      </c>
      <c r="E196" s="26">
        <v>44701</v>
      </c>
      <c r="F196" t="str">
        <f t="shared" si="3"/>
        <v>+7</v>
      </c>
      <c r="G196" t="str">
        <f>INDEX('коды стран'!$A$2:$A$7, MATCH(F196, 'коды стран'!$B$2:$B$7, 0))</f>
        <v>Россия</v>
      </c>
      <c r="H196" t="s">
        <v>137</v>
      </c>
      <c r="I196" t="str">
        <f>LEFT(Таблица8[[#This Row],[ФИО]],(M196-1))</f>
        <v>Кононова</v>
      </c>
      <c r="J196" t="str">
        <f>MID(Таблица8[[#This Row],[ФИО]],M196,(N196-M196))</f>
        <v xml:space="preserve"> Прасковья</v>
      </c>
      <c r="K196" t="str">
        <f>RIGHT(Таблица8[[#This Row],[ФИО]],(O196-N196))</f>
        <v>Павловна</v>
      </c>
      <c r="M196" s="59">
        <f>FIND(" ",Таблица8[[#This Row],[ФИО]],2)</f>
        <v>9</v>
      </c>
      <c r="N196">
        <f>FIND(" ",Таблица8[[#This Row],[ФИО]],(M196+1))</f>
        <v>19</v>
      </c>
      <c r="O196">
        <f>LEN(Таблица8[[#This Row],[ФИО]])</f>
        <v>27</v>
      </c>
      <c r="Q196" s="59" t="str">
        <f>MID(Таблица8[[#This Row],[ФИО]],M196,(N196-M196))</f>
        <v xml:space="preserve"> Прасковья</v>
      </c>
      <c r="R196" t="s">
        <v>1252</v>
      </c>
      <c r="S196" t="s">
        <v>1544</v>
      </c>
    </row>
    <row r="197" spans="1:19" x14ac:dyDescent="0.25">
      <c r="A197" s="51">
        <v>291</v>
      </c>
      <c r="B197" t="s">
        <v>259</v>
      </c>
      <c r="C197" t="s">
        <v>258</v>
      </c>
      <c r="D197" t="s">
        <v>143</v>
      </c>
      <c r="E197" s="26">
        <v>44710</v>
      </c>
      <c r="F197" t="str">
        <f t="shared" si="3"/>
        <v>+992</v>
      </c>
      <c r="G197" t="str">
        <f>INDEX('коды стран'!$A$2:$A$7, MATCH(F197, 'коды стран'!$B$2:$B$7, 0))</f>
        <v>Таджикистан</v>
      </c>
      <c r="H197" t="s">
        <v>130</v>
      </c>
      <c r="I197" t="str">
        <f>LEFT(Таблица8[[#This Row],[ФИО]],(M197-1))</f>
        <v>Кононова</v>
      </c>
      <c r="J197" t="str">
        <f>MID(Таблица8[[#This Row],[ФИО]],M197,(N197-M197))</f>
        <v xml:space="preserve"> Элеонора</v>
      </c>
      <c r="K197" t="str">
        <f>RIGHT(Таблица8[[#This Row],[ФИО]],(O197-N197))</f>
        <v>Юрьевна</v>
      </c>
      <c r="M197" s="60">
        <f>FIND(" ",Таблица8[[#This Row],[ФИО]],2)</f>
        <v>9</v>
      </c>
      <c r="N197">
        <f>FIND(" ",Таблица8[[#This Row],[ФИО]],(M197+1))</f>
        <v>18</v>
      </c>
      <c r="O197">
        <f>LEN(Таблица8[[#This Row],[ФИО]])</f>
        <v>25</v>
      </c>
      <c r="Q197" s="60" t="str">
        <f>MID(Таблица8[[#This Row],[ФИО]],M197,(N197-M197))</f>
        <v xml:space="preserve"> Элеонора</v>
      </c>
      <c r="R197" t="s">
        <v>1252</v>
      </c>
      <c r="S197" t="s">
        <v>1545</v>
      </c>
    </row>
    <row r="198" spans="1:19" x14ac:dyDescent="0.25">
      <c r="A198" s="51">
        <v>57</v>
      </c>
      <c r="B198" t="s">
        <v>509</v>
      </c>
      <c r="C198" t="s">
        <v>508</v>
      </c>
      <c r="D198" t="s">
        <v>140</v>
      </c>
      <c r="E198" s="26">
        <v>44669</v>
      </c>
      <c r="F198" t="str">
        <f t="shared" si="3"/>
        <v>+7</v>
      </c>
      <c r="G198" t="str">
        <f>INDEX('коды стран'!$A$2:$A$7, MATCH(F198, 'коды стран'!$B$2:$B$7, 0))</f>
        <v>Россия</v>
      </c>
      <c r="H198" t="s">
        <v>137</v>
      </c>
      <c r="I198" t="str">
        <f>LEFT(Таблица8[[#This Row],[ФИО]],(M198-1))</f>
        <v>Константин</v>
      </c>
      <c r="J198" t="str">
        <f>MID(Таблица8[[#This Row],[ФИО]],M198,(N198-M198))</f>
        <v xml:space="preserve"> Ефимьевич</v>
      </c>
      <c r="K198" t="str">
        <f>RIGHT(Таблица8[[#This Row],[ФИО]],(O198-N198))</f>
        <v>Колесников</v>
      </c>
      <c r="M198" s="59">
        <f>FIND(" ",Таблица8[[#This Row],[ФИО]],2)</f>
        <v>11</v>
      </c>
      <c r="N198">
        <f>FIND(" ",Таблица8[[#This Row],[ФИО]],(M198+1))</f>
        <v>21</v>
      </c>
      <c r="O198">
        <f>LEN(Таблица8[[#This Row],[ФИО]])</f>
        <v>31</v>
      </c>
      <c r="Q198" s="59" t="str">
        <f>LEFT(Таблица8[[#This Row],[ФИО]],(M198-1))</f>
        <v>Константин</v>
      </c>
      <c r="R198" t="s">
        <v>1253</v>
      </c>
      <c r="S198" t="s">
        <v>1546</v>
      </c>
    </row>
    <row r="199" spans="1:19" x14ac:dyDescent="0.25">
      <c r="A199" s="51">
        <v>400</v>
      </c>
      <c r="B199" t="s">
        <v>167</v>
      </c>
      <c r="C199" t="s">
        <v>166</v>
      </c>
      <c r="D199" t="s">
        <v>143</v>
      </c>
      <c r="E199" s="26">
        <v>44765</v>
      </c>
      <c r="F199" t="str">
        <f t="shared" si="3"/>
        <v>+375</v>
      </c>
      <c r="G199" t="str">
        <f>INDEX('коды стран'!$A$2:$A$7, MATCH(F199, 'коды стран'!$B$2:$B$7, 0))</f>
        <v>Беларусь</v>
      </c>
      <c r="H199" t="s">
        <v>134</v>
      </c>
      <c r="I199" t="str">
        <f>LEFT(Таблица8[[#This Row],[ФИО]],(M199-1))</f>
        <v>Константинов</v>
      </c>
      <c r="J199" t="str">
        <f>MID(Таблица8[[#This Row],[ФИО]],M199,(N199-M199))</f>
        <v xml:space="preserve"> Милован</v>
      </c>
      <c r="K199" t="str">
        <f>RIGHT(Таблица8[[#This Row],[ФИО]],(O199-N199))</f>
        <v>Денисович</v>
      </c>
      <c r="M199" s="60">
        <f>FIND(" ",Таблица8[[#This Row],[ФИО]],2)</f>
        <v>13</v>
      </c>
      <c r="N199">
        <f>FIND(" ",Таблица8[[#This Row],[ФИО]],(M199+1))</f>
        <v>21</v>
      </c>
      <c r="O199">
        <f>LEN(Таблица8[[#This Row],[ФИО]])</f>
        <v>30</v>
      </c>
      <c r="Q199" s="60" t="str">
        <f>MID(Таблица8[[#This Row],[ФИО]],M199,(N199-M199))</f>
        <v xml:space="preserve"> Милован</v>
      </c>
      <c r="R199" t="s">
        <v>1254</v>
      </c>
      <c r="S199" t="s">
        <v>1547</v>
      </c>
    </row>
    <row r="200" spans="1:19" x14ac:dyDescent="0.25">
      <c r="A200" s="51">
        <v>300</v>
      </c>
      <c r="B200" t="s">
        <v>339</v>
      </c>
      <c r="C200" t="s">
        <v>338</v>
      </c>
      <c r="D200" t="s">
        <v>143</v>
      </c>
      <c r="E200" s="26">
        <v>44824</v>
      </c>
      <c r="F200" t="str">
        <f t="shared" si="3"/>
        <v>+380</v>
      </c>
      <c r="G200" t="str">
        <f>INDEX('коды стран'!$A$2:$A$7, MATCH(F200, 'коды стран'!$B$2:$B$7, 0))</f>
        <v>Украина</v>
      </c>
      <c r="H200" t="s">
        <v>128</v>
      </c>
      <c r="I200" t="str">
        <f>LEFT(Таблица8[[#This Row],[ФИО]],(M200-1))</f>
        <v>Копылов</v>
      </c>
      <c r="J200" t="str">
        <f>MID(Таблица8[[#This Row],[ФИО]],M200,(N200-M200))</f>
        <v xml:space="preserve"> Мартьян</v>
      </c>
      <c r="K200" t="str">
        <f>RIGHT(Таблица8[[#This Row],[ФИО]],(O200-N200))</f>
        <v>Августович</v>
      </c>
      <c r="M200" s="59">
        <f>FIND(" ",Таблица8[[#This Row],[ФИО]],2)</f>
        <v>8</v>
      </c>
      <c r="N200">
        <f>FIND(" ",Таблица8[[#This Row],[ФИО]],(M200+1))</f>
        <v>16</v>
      </c>
      <c r="O200">
        <f>LEN(Таблица8[[#This Row],[ФИО]])</f>
        <v>26</v>
      </c>
      <c r="Q200" s="59" t="str">
        <f>MID(Таблица8[[#This Row],[ФИО]],M200,(N200-M200))</f>
        <v xml:space="preserve"> Мартьян</v>
      </c>
      <c r="R200" t="s">
        <v>1255</v>
      </c>
      <c r="S200" t="s">
        <v>1548</v>
      </c>
    </row>
    <row r="201" spans="1:19" x14ac:dyDescent="0.25">
      <c r="A201" s="51">
        <v>125</v>
      </c>
      <c r="B201" t="s">
        <v>363</v>
      </c>
      <c r="C201" t="s">
        <v>362</v>
      </c>
      <c r="D201" t="s">
        <v>140</v>
      </c>
      <c r="E201" s="26">
        <v>44701</v>
      </c>
      <c r="F201" t="str">
        <f t="shared" si="3"/>
        <v>+7</v>
      </c>
      <c r="G201" t="str">
        <f>INDEX('коды стран'!$A$2:$A$7, MATCH(F201, 'коды стран'!$B$2:$B$7, 0))</f>
        <v>Россия</v>
      </c>
      <c r="H201" t="s">
        <v>137</v>
      </c>
      <c r="I201" t="str">
        <f>LEFT(Таблица8[[#This Row],[ФИО]],(M201-1))</f>
        <v>Копылова</v>
      </c>
      <c r="J201" t="str">
        <f>MID(Таблица8[[#This Row],[ФИО]],M201,(N201-M201))</f>
        <v xml:space="preserve"> Эмилия</v>
      </c>
      <c r="K201" t="str">
        <f>RIGHT(Таблица8[[#This Row],[ФИО]],(O201-N201))</f>
        <v>Тарасовна</v>
      </c>
      <c r="M201" s="60">
        <f>FIND(" ",Таблица8[[#This Row],[ФИО]],2)</f>
        <v>9</v>
      </c>
      <c r="N201">
        <f>FIND(" ",Таблица8[[#This Row],[ФИО]],(M201+1))</f>
        <v>16</v>
      </c>
      <c r="O201">
        <f>LEN(Таблица8[[#This Row],[ФИО]])</f>
        <v>25</v>
      </c>
      <c r="Q201" s="60" t="str">
        <f>MID(Таблица8[[#This Row],[ФИО]],M201,(N201-M201))</f>
        <v xml:space="preserve"> Эмилия</v>
      </c>
      <c r="R201" t="s">
        <v>1256</v>
      </c>
      <c r="S201" t="s">
        <v>1549</v>
      </c>
    </row>
    <row r="202" spans="1:19" x14ac:dyDescent="0.25">
      <c r="A202" s="51">
        <v>215</v>
      </c>
      <c r="B202" t="s">
        <v>385</v>
      </c>
      <c r="C202" t="s">
        <v>384</v>
      </c>
      <c r="D202" t="s">
        <v>140</v>
      </c>
      <c r="E202" s="26">
        <v>44799</v>
      </c>
      <c r="F202" t="str">
        <f t="shared" si="3"/>
        <v>+7</v>
      </c>
      <c r="G202" t="str">
        <f>INDEX('коды стран'!$A$2:$A$7, MATCH(F202, 'коды стран'!$B$2:$B$7, 0))</f>
        <v>Россия</v>
      </c>
      <c r="H202" t="s">
        <v>137</v>
      </c>
      <c r="I202" t="str">
        <f>LEFT(Таблица8[[#This Row],[ФИО]],(M202-1))</f>
        <v>Корнил</v>
      </c>
      <c r="J202" t="str">
        <f>MID(Таблица8[[#This Row],[ФИО]],M202,(N202-M202))</f>
        <v xml:space="preserve"> Адрианович</v>
      </c>
      <c r="K202" t="str">
        <f>RIGHT(Таблица8[[#This Row],[ФИО]],(O202-N202))</f>
        <v>Комиссаров</v>
      </c>
      <c r="M202" s="59">
        <f>FIND(" ",Таблица8[[#This Row],[ФИО]],2)</f>
        <v>7</v>
      </c>
      <c r="N202">
        <f>FIND(" ",Таблица8[[#This Row],[ФИО]],(M202+1))</f>
        <v>18</v>
      </c>
      <c r="O202">
        <f>LEN(Таблица8[[#This Row],[ФИО]])</f>
        <v>28</v>
      </c>
      <c r="Q202" s="59" t="str">
        <f>LEFT(Таблица8[[#This Row],[ФИО]],(M202-1))</f>
        <v>Корнил</v>
      </c>
      <c r="R202" t="s">
        <v>1257</v>
      </c>
      <c r="S202" t="s">
        <v>1550</v>
      </c>
    </row>
    <row r="203" spans="1:19" x14ac:dyDescent="0.25">
      <c r="A203" s="51">
        <v>26</v>
      </c>
      <c r="B203" t="s">
        <v>183</v>
      </c>
      <c r="C203" t="s">
        <v>182</v>
      </c>
      <c r="D203" t="s">
        <v>143</v>
      </c>
      <c r="E203" s="26">
        <v>44819</v>
      </c>
      <c r="F203" t="str">
        <f t="shared" si="3"/>
        <v>+992</v>
      </c>
      <c r="G203" t="str">
        <f>INDEX('коды стран'!$A$2:$A$7, MATCH(F203, 'коды стран'!$B$2:$B$7, 0))</f>
        <v>Таджикистан</v>
      </c>
      <c r="H203" t="s">
        <v>130</v>
      </c>
      <c r="I203" t="str">
        <f>LEFT(Таблица8[[#This Row],[ФИО]],(M203-1))</f>
        <v>Корнилов</v>
      </c>
      <c r="J203" t="str">
        <f>MID(Таблица8[[#This Row],[ФИО]],M203,(N203-M203))</f>
        <v xml:space="preserve"> Леон</v>
      </c>
      <c r="K203" t="str">
        <f>RIGHT(Таблица8[[#This Row],[ФИО]],(O203-N203))</f>
        <v>Иосипович</v>
      </c>
      <c r="M203" s="60">
        <f>FIND(" ",Таблица8[[#This Row],[ФИО]],2)</f>
        <v>9</v>
      </c>
      <c r="N203">
        <f>FIND(" ",Таблица8[[#This Row],[ФИО]],(M203+1))</f>
        <v>14</v>
      </c>
      <c r="O203">
        <f>LEN(Таблица8[[#This Row],[ФИО]])</f>
        <v>23</v>
      </c>
      <c r="Q203" s="60" t="str">
        <f>MID(Таблица8[[#This Row],[ФИО]],M203,(N203-M203))</f>
        <v xml:space="preserve"> Леон</v>
      </c>
      <c r="R203" t="s">
        <v>1258</v>
      </c>
      <c r="S203" t="s">
        <v>1437</v>
      </c>
    </row>
    <row r="204" spans="1:19" x14ac:dyDescent="0.25">
      <c r="A204" s="51">
        <v>149</v>
      </c>
      <c r="B204" t="s">
        <v>787</v>
      </c>
      <c r="C204" t="s">
        <v>786</v>
      </c>
      <c r="D204" t="s">
        <v>143</v>
      </c>
      <c r="E204" s="26">
        <v>44882</v>
      </c>
      <c r="F204" t="str">
        <f t="shared" si="3"/>
        <v>+992</v>
      </c>
      <c r="G204" t="str">
        <f>INDEX('коды стран'!$A$2:$A$7, MATCH(F204, 'коды стран'!$B$2:$B$7, 0))</f>
        <v>Таджикистан</v>
      </c>
      <c r="H204" t="s">
        <v>130</v>
      </c>
      <c r="I204" t="str">
        <f>LEFT(Таблица8[[#This Row],[ФИО]],(M204-1))</f>
        <v>Королев</v>
      </c>
      <c r="J204" t="str">
        <f>MID(Таблица8[[#This Row],[ФИО]],M204,(N204-M204))</f>
        <v xml:space="preserve"> Феофан</v>
      </c>
      <c r="K204" t="str">
        <f>RIGHT(Таблица8[[#This Row],[ФИО]],(O204-N204))</f>
        <v>Бориславович</v>
      </c>
      <c r="M204" s="59">
        <f>FIND(" ",Таблица8[[#This Row],[ФИО]],2)</f>
        <v>8</v>
      </c>
      <c r="N204">
        <f>FIND(" ",Таблица8[[#This Row],[ФИО]],(M204+1))</f>
        <v>15</v>
      </c>
      <c r="O204">
        <f>LEN(Таблица8[[#This Row],[ФИО]])</f>
        <v>27</v>
      </c>
      <c r="Q204" s="59" t="str">
        <f>MID(Таблица8[[#This Row],[ФИО]],M204,(N204-M204))</f>
        <v xml:space="preserve"> Феофан</v>
      </c>
      <c r="R204" t="s">
        <v>1259</v>
      </c>
      <c r="S204" t="s">
        <v>1551</v>
      </c>
    </row>
    <row r="205" spans="1:19" x14ac:dyDescent="0.25">
      <c r="A205" s="51">
        <v>51</v>
      </c>
      <c r="B205" t="s">
        <v>613</v>
      </c>
      <c r="C205" t="s">
        <v>612</v>
      </c>
      <c r="D205" t="s">
        <v>140</v>
      </c>
      <c r="E205" s="26">
        <v>44605</v>
      </c>
      <c r="F205" t="str">
        <f t="shared" si="3"/>
        <v>+998</v>
      </c>
      <c r="G205" t="str">
        <f>INDEX('коды стран'!$A$2:$A$7, MATCH(F205, 'коды стран'!$B$2:$B$7, 0))</f>
        <v>Узбекистан</v>
      </c>
      <c r="H205" t="s">
        <v>132</v>
      </c>
      <c r="I205" t="str">
        <f>LEFT(Таблица8[[#This Row],[ФИО]],(M205-1))</f>
        <v>Костина</v>
      </c>
      <c r="J205" t="str">
        <f>MID(Таблица8[[#This Row],[ФИО]],M205,(N205-M205))</f>
        <v xml:space="preserve"> Жанна</v>
      </c>
      <c r="K205" t="str">
        <f>RIGHT(Таблица8[[#This Row],[ФИО]],(O205-N205))</f>
        <v>Рубеновна</v>
      </c>
      <c r="M205" s="60">
        <f>FIND(" ",Таблица8[[#This Row],[ФИО]],2)</f>
        <v>8</v>
      </c>
      <c r="N205">
        <f>FIND(" ",Таблица8[[#This Row],[ФИО]],(M205+1))</f>
        <v>14</v>
      </c>
      <c r="O205">
        <f>LEN(Таблица8[[#This Row],[ФИО]])</f>
        <v>23</v>
      </c>
      <c r="Q205" s="60" t="str">
        <f>MID(Таблица8[[#This Row],[ФИО]],M205,(N205-M205))</f>
        <v xml:space="preserve"> Жанна</v>
      </c>
      <c r="R205" t="s">
        <v>1260</v>
      </c>
      <c r="S205" t="s">
        <v>1552</v>
      </c>
    </row>
    <row r="206" spans="1:19" x14ac:dyDescent="0.25">
      <c r="A206" s="51">
        <v>326</v>
      </c>
      <c r="B206" t="s">
        <v>407</v>
      </c>
      <c r="C206" t="s">
        <v>406</v>
      </c>
      <c r="D206" t="s">
        <v>140</v>
      </c>
      <c r="E206" s="26">
        <v>44655</v>
      </c>
      <c r="F206" t="str">
        <f t="shared" si="3"/>
        <v>+7</v>
      </c>
      <c r="G206" t="str">
        <f>INDEX('коды стран'!$A$2:$A$7, MATCH(F206, 'коды стран'!$B$2:$B$7, 0))</f>
        <v>Россия</v>
      </c>
      <c r="H206" t="s">
        <v>137</v>
      </c>
      <c r="I206" t="str">
        <f>LEFT(Таблица8[[#This Row],[ФИО]],(M206-1))</f>
        <v>Кошелева</v>
      </c>
      <c r="J206" t="str">
        <f>MID(Таблица8[[#This Row],[ФИО]],M206,(N206-M206))</f>
        <v xml:space="preserve"> Марина</v>
      </c>
      <c r="K206" t="str">
        <f>RIGHT(Таблица8[[#This Row],[ФИО]],(O206-N206))</f>
        <v>Рудольфовна</v>
      </c>
      <c r="M206" s="59">
        <f>FIND(" ",Таблица8[[#This Row],[ФИО]],2)</f>
        <v>9</v>
      </c>
      <c r="N206">
        <f>FIND(" ",Таблица8[[#This Row],[ФИО]],(M206+1))</f>
        <v>16</v>
      </c>
      <c r="O206">
        <f>LEN(Таблица8[[#This Row],[ФИО]])</f>
        <v>27</v>
      </c>
      <c r="Q206" s="59" t="str">
        <f>MID(Таблица8[[#This Row],[ФИО]],M206,(N206-M206))</f>
        <v xml:space="preserve"> Марина</v>
      </c>
      <c r="R206" t="s">
        <v>1261</v>
      </c>
      <c r="S206" t="s">
        <v>1553</v>
      </c>
    </row>
    <row r="207" spans="1:19" x14ac:dyDescent="0.25">
      <c r="A207" s="51">
        <v>421</v>
      </c>
      <c r="B207" t="s">
        <v>583</v>
      </c>
      <c r="C207" t="s">
        <v>582</v>
      </c>
      <c r="D207" t="s">
        <v>140</v>
      </c>
      <c r="E207" s="26">
        <v>44620</v>
      </c>
      <c r="F207" t="str">
        <f t="shared" si="3"/>
        <v>+7</v>
      </c>
      <c r="G207" t="str">
        <f>INDEX('коды стран'!$A$2:$A$7, MATCH(F207, 'коды стран'!$B$2:$B$7, 0))</f>
        <v>Россия</v>
      </c>
      <c r="H207" t="s">
        <v>137</v>
      </c>
      <c r="I207" t="str">
        <f>LEFT(Таблица8[[#This Row],[ФИО]],(M207-1))</f>
        <v>Красильников</v>
      </c>
      <c r="J207" t="str">
        <f>MID(Таблица8[[#This Row],[ФИО]],M207,(N207-M207))</f>
        <v xml:space="preserve"> Павел</v>
      </c>
      <c r="K207" t="str">
        <f>RIGHT(Таблица8[[#This Row],[ФИО]],(O207-N207))</f>
        <v>Ермилович</v>
      </c>
      <c r="M207" s="60">
        <f>FIND(" ",Таблица8[[#This Row],[ФИО]],2)</f>
        <v>13</v>
      </c>
      <c r="N207">
        <f>FIND(" ",Таблица8[[#This Row],[ФИО]],(M207+1))</f>
        <v>19</v>
      </c>
      <c r="O207">
        <f>LEN(Таблица8[[#This Row],[ФИО]])</f>
        <v>28</v>
      </c>
      <c r="Q207" s="60" t="str">
        <f>MID(Таблица8[[#This Row],[ФИО]],M207,(N207-M207))</f>
        <v xml:space="preserve"> Павел</v>
      </c>
      <c r="R207" t="s">
        <v>1262</v>
      </c>
      <c r="S207" t="s">
        <v>1554</v>
      </c>
    </row>
    <row r="208" spans="1:19" x14ac:dyDescent="0.25">
      <c r="A208" s="51">
        <v>81</v>
      </c>
      <c r="B208" t="s">
        <v>513</v>
      </c>
      <c r="C208" t="s">
        <v>512</v>
      </c>
      <c r="D208" t="s">
        <v>143</v>
      </c>
      <c r="E208" s="26">
        <v>44825</v>
      </c>
      <c r="F208" t="str">
        <f t="shared" si="3"/>
        <v>+7</v>
      </c>
      <c r="G208" t="str">
        <f>INDEX('коды стран'!$A$2:$A$7, MATCH(F208, 'коды стран'!$B$2:$B$7, 0))</f>
        <v>Россия</v>
      </c>
      <c r="H208" t="s">
        <v>137</v>
      </c>
      <c r="I208" t="str">
        <f>LEFT(Таблица8[[#This Row],[ФИО]],(M208-1))</f>
        <v>Ксения</v>
      </c>
      <c r="J208" t="str">
        <f>MID(Таблица8[[#This Row],[ФИО]],M208,(N208-M208))</f>
        <v xml:space="preserve"> Кузьминична</v>
      </c>
      <c r="K208" t="str">
        <f>RIGHT(Таблица8[[#This Row],[ФИО]],(O208-N208))</f>
        <v>Авдеева</v>
      </c>
      <c r="M208" s="59">
        <f>FIND(" ",Таблица8[[#This Row],[ФИО]],2)</f>
        <v>7</v>
      </c>
      <c r="N208">
        <f>FIND(" ",Таблица8[[#This Row],[ФИО]],(M208+1))</f>
        <v>19</v>
      </c>
      <c r="O208">
        <f>LEN(Таблица8[[#This Row],[ФИО]])</f>
        <v>26</v>
      </c>
      <c r="Q208" s="59" t="str">
        <f>LEFT(Таблица8[[#This Row],[ФИО]],(M208-1))</f>
        <v>Ксения</v>
      </c>
      <c r="R208" t="s">
        <v>1263</v>
      </c>
      <c r="S208" t="s">
        <v>1555</v>
      </c>
    </row>
    <row r="209" spans="1:19" x14ac:dyDescent="0.25">
      <c r="A209" s="51">
        <v>490</v>
      </c>
      <c r="B209" t="s">
        <v>977</v>
      </c>
      <c r="C209" t="s">
        <v>976</v>
      </c>
      <c r="D209" t="s">
        <v>140</v>
      </c>
      <c r="E209" s="26">
        <v>44603</v>
      </c>
      <c r="F209" t="str">
        <f t="shared" si="3"/>
        <v>+7</v>
      </c>
      <c r="G209" t="str">
        <f>INDEX('коды стран'!$A$2:$A$7, MATCH(F209, 'коды стран'!$B$2:$B$7, 0))</f>
        <v>Россия</v>
      </c>
      <c r="H209" t="s">
        <v>137</v>
      </c>
      <c r="I209" t="str">
        <f>LEFT(Таблица8[[#This Row],[ФИО]],(M209-1))</f>
        <v>Кудрявцев</v>
      </c>
      <c r="J209" t="str">
        <f>MID(Таблица8[[#This Row],[ФИО]],M209,(N209-M209))</f>
        <v xml:space="preserve"> Демид</v>
      </c>
      <c r="K209" t="str">
        <f>RIGHT(Таблица8[[#This Row],[ФИО]],(O209-N209))</f>
        <v>Ерофеевич</v>
      </c>
      <c r="M209" s="60">
        <f>FIND(" ",Таблица8[[#This Row],[ФИО]],2)</f>
        <v>10</v>
      </c>
      <c r="N209">
        <f>FIND(" ",Таблица8[[#This Row],[ФИО]],(M209+1))</f>
        <v>16</v>
      </c>
      <c r="O209">
        <f>LEN(Таблица8[[#This Row],[ФИО]])</f>
        <v>25</v>
      </c>
      <c r="Q209" s="60" t="str">
        <f>MID(Таблица8[[#This Row],[ФИО]],M209,(N209-M209))</f>
        <v xml:space="preserve"> Демид</v>
      </c>
      <c r="R209" t="s">
        <v>1264</v>
      </c>
      <c r="S209" t="s">
        <v>1556</v>
      </c>
    </row>
    <row r="210" spans="1:19" x14ac:dyDescent="0.25">
      <c r="A210" s="51">
        <v>24</v>
      </c>
      <c r="B210" t="s">
        <v>957</v>
      </c>
      <c r="C210" t="s">
        <v>956</v>
      </c>
      <c r="D210" t="s">
        <v>143</v>
      </c>
      <c r="E210" s="26">
        <v>44609</v>
      </c>
      <c r="F210" t="str">
        <f t="shared" si="3"/>
        <v>+998</v>
      </c>
      <c r="G210" t="str">
        <f>INDEX('коды стран'!$A$2:$A$7, MATCH(F210, 'коды стран'!$B$2:$B$7, 0))</f>
        <v>Узбекистан</v>
      </c>
      <c r="H210" t="s">
        <v>132</v>
      </c>
      <c r="I210" t="str">
        <f>LEFT(Таблица8[[#This Row],[ФИО]],(M210-1))</f>
        <v>Кудрявцева</v>
      </c>
      <c r="J210" t="str">
        <f>MID(Таблица8[[#This Row],[ФИО]],M210,(N210-M210))</f>
        <v xml:space="preserve"> Ульяна</v>
      </c>
      <c r="K210" t="str">
        <f>RIGHT(Таблица8[[#This Row],[ФИО]],(O210-N210))</f>
        <v>Филипповна</v>
      </c>
      <c r="M210" s="59">
        <f>FIND(" ",Таблица8[[#This Row],[ФИО]],2)</f>
        <v>11</v>
      </c>
      <c r="N210">
        <f>FIND(" ",Таблица8[[#This Row],[ФИО]],(M210+1))</f>
        <v>18</v>
      </c>
      <c r="O210">
        <f>LEN(Таблица8[[#This Row],[ФИО]])</f>
        <v>28</v>
      </c>
      <c r="Q210" s="59" t="str">
        <f>MID(Таблица8[[#This Row],[ФИО]],M210,(N210-M210))</f>
        <v xml:space="preserve"> Ульяна</v>
      </c>
      <c r="R210" t="s">
        <v>1265</v>
      </c>
      <c r="S210" t="s">
        <v>1484</v>
      </c>
    </row>
    <row r="211" spans="1:19" x14ac:dyDescent="0.25">
      <c r="A211" s="51">
        <v>22</v>
      </c>
      <c r="B211" t="s">
        <v>241</v>
      </c>
      <c r="C211" t="s">
        <v>240</v>
      </c>
      <c r="D211" t="s">
        <v>143</v>
      </c>
      <c r="E211" s="26">
        <v>44870</v>
      </c>
      <c r="F211" t="str">
        <f t="shared" si="3"/>
        <v>+375</v>
      </c>
      <c r="G211" t="str">
        <f>INDEX('коды стран'!$A$2:$A$7, MATCH(F211, 'коды стран'!$B$2:$B$7, 0))</f>
        <v>Беларусь</v>
      </c>
      <c r="H211" t="s">
        <v>134</v>
      </c>
      <c r="I211" t="str">
        <f>LEFT(Таблица8[[#This Row],[ФИО]],(M211-1))</f>
        <v>Кудряшов</v>
      </c>
      <c r="J211" t="str">
        <f>MID(Таблица8[[#This Row],[ФИО]],M211,(N211-M211))</f>
        <v xml:space="preserve"> Влас</v>
      </c>
      <c r="K211" t="str">
        <f>RIGHT(Таблица8[[#This Row],[ФИО]],(O211-N211))</f>
        <v>Алексеевич</v>
      </c>
      <c r="M211" s="60">
        <f>FIND(" ",Таблица8[[#This Row],[ФИО]],2)</f>
        <v>9</v>
      </c>
      <c r="N211">
        <f>FIND(" ",Таблица8[[#This Row],[ФИО]],(M211+1))</f>
        <v>14</v>
      </c>
      <c r="O211">
        <f>LEN(Таблица8[[#This Row],[ФИО]])</f>
        <v>24</v>
      </c>
      <c r="Q211" s="60" t="str">
        <f>MID(Таблица8[[#This Row],[ФИО]],M211,(N211-M211))</f>
        <v xml:space="preserve"> Влас</v>
      </c>
      <c r="R211" t="s">
        <v>1266</v>
      </c>
      <c r="S211" t="s">
        <v>1468</v>
      </c>
    </row>
    <row r="212" spans="1:19" x14ac:dyDescent="0.25">
      <c r="A212" s="51">
        <v>211</v>
      </c>
      <c r="B212" t="s">
        <v>811</v>
      </c>
      <c r="C212" t="s">
        <v>810</v>
      </c>
      <c r="D212" t="s">
        <v>140</v>
      </c>
      <c r="E212" s="26">
        <v>44621</v>
      </c>
      <c r="F212" t="str">
        <f t="shared" si="3"/>
        <v>+380</v>
      </c>
      <c r="G212" t="str">
        <f>INDEX('коды стран'!$A$2:$A$7, MATCH(F212, 'коды стран'!$B$2:$B$7, 0))</f>
        <v>Украина</v>
      </c>
      <c r="H212" t="s">
        <v>128</v>
      </c>
      <c r="I212" t="str">
        <f>LEFT(Таблица8[[#This Row],[ФИО]],(M212-1))</f>
        <v>Кудряшова</v>
      </c>
      <c r="J212" t="str">
        <f>MID(Таблица8[[#This Row],[ФИО]],M212,(N212-M212))</f>
        <v xml:space="preserve"> Василиса</v>
      </c>
      <c r="K212" t="str">
        <f>RIGHT(Таблица8[[#This Row],[ФИО]],(O212-N212))</f>
        <v>Болеславовна</v>
      </c>
      <c r="M212" s="59">
        <f>FIND(" ",Таблица8[[#This Row],[ФИО]],2)</f>
        <v>10</v>
      </c>
      <c r="N212">
        <f>FIND(" ",Таблица8[[#This Row],[ФИО]],(M212+1))</f>
        <v>19</v>
      </c>
      <c r="O212">
        <f>LEN(Таблица8[[#This Row],[ФИО]])</f>
        <v>31</v>
      </c>
      <c r="Q212" s="59" t="str">
        <f>MID(Таблица8[[#This Row],[ФИО]],M212,(N212-M212))</f>
        <v xml:space="preserve"> Василиса</v>
      </c>
      <c r="R212" t="s">
        <v>1211</v>
      </c>
      <c r="S212" t="s">
        <v>1557</v>
      </c>
    </row>
    <row r="213" spans="1:19" x14ac:dyDescent="0.25">
      <c r="A213" s="51">
        <v>88</v>
      </c>
      <c r="B213" t="s">
        <v>491</v>
      </c>
      <c r="C213" t="s">
        <v>490</v>
      </c>
      <c r="D213" t="s">
        <v>143</v>
      </c>
      <c r="E213" s="26">
        <v>44630</v>
      </c>
      <c r="F213" t="str">
        <f t="shared" si="3"/>
        <v>+380</v>
      </c>
      <c r="G213" t="str">
        <f>INDEX('коды стран'!$A$2:$A$7, MATCH(F213, 'коды стран'!$B$2:$B$7, 0))</f>
        <v>Украина</v>
      </c>
      <c r="H213" t="s">
        <v>128</v>
      </c>
      <c r="I213" t="str">
        <f>LEFT(Таблица8[[#This Row],[ФИО]],(M213-1))</f>
        <v>Кузнецов</v>
      </c>
      <c r="J213" t="str">
        <f>MID(Таблица8[[#This Row],[ФИО]],M213,(N213-M213))</f>
        <v xml:space="preserve"> Севастьян</v>
      </c>
      <c r="K213" t="str">
        <f>RIGHT(Таблица8[[#This Row],[ФИО]],(O213-N213))</f>
        <v>Валерьевич</v>
      </c>
      <c r="M213" s="60">
        <f>FIND(" ",Таблица8[[#This Row],[ФИО]],2)</f>
        <v>9</v>
      </c>
      <c r="N213">
        <f>FIND(" ",Таблица8[[#This Row],[ФИО]],(M213+1))</f>
        <v>19</v>
      </c>
      <c r="O213">
        <f>LEN(Таблица8[[#This Row],[ФИО]])</f>
        <v>29</v>
      </c>
      <c r="Q213" s="60" t="str">
        <f>MID(Таблица8[[#This Row],[ФИО]],M213,(N213-M213))</f>
        <v xml:space="preserve"> Севастьян</v>
      </c>
      <c r="R213" t="s">
        <v>1143</v>
      </c>
      <c r="S213" t="s">
        <v>1513</v>
      </c>
    </row>
    <row r="214" spans="1:19" x14ac:dyDescent="0.25">
      <c r="A214" s="51">
        <v>37</v>
      </c>
      <c r="B214" t="s">
        <v>723</v>
      </c>
      <c r="C214" t="s">
        <v>722</v>
      </c>
      <c r="D214" t="s">
        <v>143</v>
      </c>
      <c r="E214" s="26">
        <v>44728</v>
      </c>
      <c r="F214" t="str">
        <f t="shared" si="3"/>
        <v>+380</v>
      </c>
      <c r="G214" t="str">
        <f>INDEX('коды стран'!$A$2:$A$7, MATCH(F214, 'коды стран'!$B$2:$B$7, 0))</f>
        <v>Украина</v>
      </c>
      <c r="H214" t="s">
        <v>128</v>
      </c>
      <c r="I214" t="str">
        <f>LEFT(Таблица8[[#This Row],[ФИО]],(M214-1))</f>
        <v>Кулакова</v>
      </c>
      <c r="J214" t="str">
        <f>MID(Таблица8[[#This Row],[ФИО]],M214,(N214-M214))</f>
        <v xml:space="preserve"> Нина</v>
      </c>
      <c r="K214" t="str">
        <f>RIGHT(Таблица8[[#This Row],[ФИО]],(O214-N214))</f>
        <v>Семеновна</v>
      </c>
      <c r="M214" s="59">
        <f>FIND(" ",Таблица8[[#This Row],[ФИО]],2)</f>
        <v>9</v>
      </c>
      <c r="N214">
        <f>FIND(" ",Таблица8[[#This Row],[ФИО]],(M214+1))</f>
        <v>14</v>
      </c>
      <c r="O214">
        <f>LEN(Таблица8[[#This Row],[ФИО]])</f>
        <v>23</v>
      </c>
      <c r="Q214" s="59" t="str">
        <f>MID(Таблица8[[#This Row],[ФИО]],M214,(N214-M214))</f>
        <v xml:space="preserve"> Нина</v>
      </c>
      <c r="R214" t="s">
        <v>1210</v>
      </c>
      <c r="S214" t="s">
        <v>1558</v>
      </c>
    </row>
    <row r="215" spans="1:19" x14ac:dyDescent="0.25">
      <c r="A215" s="51">
        <v>43</v>
      </c>
      <c r="B215" t="s">
        <v>409</v>
      </c>
      <c r="C215" t="s">
        <v>408</v>
      </c>
      <c r="D215" t="s">
        <v>143</v>
      </c>
      <c r="E215" s="26">
        <v>44912</v>
      </c>
      <c r="F215" t="str">
        <f t="shared" si="3"/>
        <v>+7</v>
      </c>
      <c r="G215" t="str">
        <f>INDEX('коды стран'!$A$2:$A$7, MATCH(F215, 'коды стран'!$B$2:$B$7, 0))</f>
        <v>Россия</v>
      </c>
      <c r="H215" t="s">
        <v>137</v>
      </c>
      <c r="I215" t="str">
        <f>LEFT(Таблица8[[#This Row],[ФИО]],(M215-1))</f>
        <v>Куликова</v>
      </c>
      <c r="J215" t="str">
        <f>MID(Таблица8[[#This Row],[ФИО]],M215,(N215-M215))</f>
        <v xml:space="preserve"> Евгения</v>
      </c>
      <c r="K215" t="str">
        <f>RIGHT(Таблица8[[#This Row],[ФИО]],(O215-N215))</f>
        <v>Григорьевна</v>
      </c>
      <c r="M215" s="60">
        <f>FIND(" ",Таблица8[[#This Row],[ФИО]],2)</f>
        <v>9</v>
      </c>
      <c r="N215">
        <f>FIND(" ",Таблица8[[#This Row],[ФИО]],(M215+1))</f>
        <v>17</v>
      </c>
      <c r="O215">
        <f>LEN(Таблица8[[#This Row],[ФИО]])</f>
        <v>28</v>
      </c>
      <c r="Q215" s="60" t="str">
        <f>MID(Таблица8[[#This Row],[ФИО]],M215,(N215-M215))</f>
        <v xml:space="preserve"> Евгения</v>
      </c>
      <c r="R215" t="s">
        <v>1267</v>
      </c>
      <c r="S215" t="s">
        <v>1559</v>
      </c>
    </row>
    <row r="216" spans="1:19" x14ac:dyDescent="0.25">
      <c r="A216" s="51">
        <v>428</v>
      </c>
      <c r="B216" t="s">
        <v>391</v>
      </c>
      <c r="C216" t="s">
        <v>390</v>
      </c>
      <c r="D216" t="s">
        <v>140</v>
      </c>
      <c r="E216" s="26">
        <v>44848</v>
      </c>
      <c r="F216" t="str">
        <f t="shared" si="3"/>
        <v>+375</v>
      </c>
      <c r="G216" t="str">
        <f>INDEX('коды стран'!$A$2:$A$7, MATCH(F216, 'коды стран'!$B$2:$B$7, 0))</f>
        <v>Беларусь</v>
      </c>
      <c r="H216" t="s">
        <v>134</v>
      </c>
      <c r="I216" t="str">
        <f>LEFT(Таблица8[[#This Row],[ФИО]],(M216-1))</f>
        <v>Лавр</v>
      </c>
      <c r="J216" t="str">
        <f>MID(Таблица8[[#This Row],[ФИО]],M216,(N216-M216))</f>
        <v xml:space="preserve"> Харлампович</v>
      </c>
      <c r="K216" t="str">
        <f>RIGHT(Таблица8[[#This Row],[ФИО]],(O216-N216))</f>
        <v>Беляков</v>
      </c>
      <c r="M216" s="59">
        <f>FIND(" ",Таблица8[[#This Row],[ФИО]],2)</f>
        <v>5</v>
      </c>
      <c r="N216">
        <f>FIND(" ",Таблица8[[#This Row],[ФИО]],(M216+1))</f>
        <v>17</v>
      </c>
      <c r="O216">
        <f>LEN(Таблица8[[#This Row],[ФИО]])</f>
        <v>24</v>
      </c>
      <c r="Q216" s="59" t="str">
        <f>LEFT(Таблица8[[#This Row],[ФИО]],(M216-1))</f>
        <v>Лавр</v>
      </c>
      <c r="R216" t="s">
        <v>1142</v>
      </c>
      <c r="S216" t="s">
        <v>1560</v>
      </c>
    </row>
    <row r="217" spans="1:19" x14ac:dyDescent="0.25">
      <c r="A217" s="51">
        <v>48</v>
      </c>
      <c r="B217" t="s">
        <v>185</v>
      </c>
      <c r="C217" t="s">
        <v>184</v>
      </c>
      <c r="D217" t="s">
        <v>140</v>
      </c>
      <c r="E217" s="26">
        <v>44856</v>
      </c>
      <c r="F217" t="str">
        <f t="shared" si="3"/>
        <v>+998</v>
      </c>
      <c r="G217" t="str">
        <f>INDEX('коды стран'!$A$2:$A$7, MATCH(F217, 'коды стран'!$B$2:$B$7, 0))</f>
        <v>Узбекистан</v>
      </c>
      <c r="H217" t="s">
        <v>132</v>
      </c>
      <c r="I217" t="str">
        <f>LEFT(Таблица8[[#This Row],[ФИО]],(M217-1))</f>
        <v>Лаврентьева</v>
      </c>
      <c r="J217" t="str">
        <f>MID(Таблица8[[#This Row],[ФИО]],M217,(N217-M217))</f>
        <v xml:space="preserve"> Вера</v>
      </c>
      <c r="K217" t="str">
        <f>RIGHT(Таблица8[[#This Row],[ФИО]],(O217-N217))</f>
        <v>Владиславовна</v>
      </c>
      <c r="M217" s="60">
        <f>FIND(" ",Таблица8[[#This Row],[ФИО]],2)</f>
        <v>12</v>
      </c>
      <c r="N217">
        <f>FIND(" ",Таблица8[[#This Row],[ФИО]],(M217+1))</f>
        <v>17</v>
      </c>
      <c r="O217">
        <f>LEN(Таблица8[[#This Row],[ФИО]])</f>
        <v>30</v>
      </c>
      <c r="Q217" s="60" t="str">
        <f>MID(Таблица8[[#This Row],[ФИО]],M217,(N217-M217))</f>
        <v xml:space="preserve"> Вера</v>
      </c>
      <c r="R217" t="s">
        <v>1268</v>
      </c>
      <c r="S217" t="s">
        <v>1561</v>
      </c>
    </row>
    <row r="218" spans="1:19" x14ac:dyDescent="0.25">
      <c r="A218" s="51">
        <v>409</v>
      </c>
      <c r="B218" t="s">
        <v>327</v>
      </c>
      <c r="C218" t="s">
        <v>326</v>
      </c>
      <c r="D218" t="s">
        <v>140</v>
      </c>
      <c r="E218" s="26">
        <v>44869</v>
      </c>
      <c r="F218" t="str">
        <f t="shared" si="3"/>
        <v>+380</v>
      </c>
      <c r="G218" t="str">
        <f>INDEX('коды стран'!$A$2:$A$7, MATCH(F218, 'коды стран'!$B$2:$B$7, 0))</f>
        <v>Украина</v>
      </c>
      <c r="H218" t="s">
        <v>128</v>
      </c>
      <c r="I218" t="str">
        <f>LEFT(Таблица8[[#This Row],[ФИО]],(M218-1))</f>
        <v>Лаврентьева</v>
      </c>
      <c r="J218" t="str">
        <f>MID(Таблица8[[#This Row],[ФИО]],M218,(N218-M218))</f>
        <v xml:space="preserve"> Маргарита</v>
      </c>
      <c r="K218" t="str">
        <f>RIGHT(Таблица8[[#This Row],[ФИО]],(O218-N218))</f>
        <v>Артемовна</v>
      </c>
      <c r="M218" s="59">
        <f>FIND(" ",Таблица8[[#This Row],[ФИО]],2)</f>
        <v>12</v>
      </c>
      <c r="N218">
        <f>FIND(" ",Таблица8[[#This Row],[ФИО]],(M218+1))</f>
        <v>22</v>
      </c>
      <c r="O218">
        <f>LEN(Таблица8[[#This Row],[ФИО]])</f>
        <v>31</v>
      </c>
      <c r="Q218" s="59" t="str">
        <f>MID(Таблица8[[#This Row],[ФИО]],M218,(N218-M218))</f>
        <v xml:space="preserve"> Маргарита</v>
      </c>
      <c r="R218" t="s">
        <v>1268</v>
      </c>
      <c r="S218" t="s">
        <v>1441</v>
      </c>
    </row>
    <row r="219" spans="1:19" x14ac:dyDescent="0.25">
      <c r="A219" s="51">
        <v>252</v>
      </c>
      <c r="B219" t="s">
        <v>863</v>
      </c>
      <c r="C219" t="s">
        <v>862</v>
      </c>
      <c r="D219" t="s">
        <v>140</v>
      </c>
      <c r="E219" s="26">
        <v>44643</v>
      </c>
      <c r="F219" t="str">
        <f t="shared" si="3"/>
        <v>+7</v>
      </c>
      <c r="G219" t="str">
        <f>INDEX('коды стран'!$A$2:$A$7, MATCH(F219, 'коды стран'!$B$2:$B$7, 0))</f>
        <v>Россия</v>
      </c>
      <c r="H219" t="s">
        <v>137</v>
      </c>
      <c r="I219" t="str">
        <f>LEFT(Таблица8[[#This Row],[ФИО]],(M219-1))</f>
        <v>Ладимир</v>
      </c>
      <c r="J219" t="str">
        <f>MID(Таблица8[[#This Row],[ФИО]],M219,(N219-M219))</f>
        <v xml:space="preserve"> Гурьевич</v>
      </c>
      <c r="K219" t="str">
        <f>RIGHT(Таблица8[[#This Row],[ФИО]],(O219-N219))</f>
        <v>Егоров</v>
      </c>
      <c r="M219" s="60">
        <f>FIND(" ",Таблица8[[#This Row],[ФИО]],2)</f>
        <v>8</v>
      </c>
      <c r="N219">
        <f>FIND(" ",Таблица8[[#This Row],[ФИО]],(M219+1))</f>
        <v>17</v>
      </c>
      <c r="O219">
        <f>LEN(Таблица8[[#This Row],[ФИО]])</f>
        <v>23</v>
      </c>
      <c r="Q219" s="60" t="str">
        <f>LEFT(Таблица8[[#This Row],[ФИО]],(M219-1))</f>
        <v>Ладимир</v>
      </c>
      <c r="R219" t="s">
        <v>1269</v>
      </c>
      <c r="S219" t="s">
        <v>1562</v>
      </c>
    </row>
    <row r="220" spans="1:19" x14ac:dyDescent="0.25">
      <c r="A220" s="51">
        <v>174</v>
      </c>
      <c r="B220" t="s">
        <v>499</v>
      </c>
      <c r="C220" t="s">
        <v>498</v>
      </c>
      <c r="D220" t="s">
        <v>143</v>
      </c>
      <c r="E220" s="26">
        <v>44779</v>
      </c>
      <c r="F220" t="str">
        <f t="shared" si="3"/>
        <v>+992</v>
      </c>
      <c r="G220" t="str">
        <f>INDEX('коды стран'!$A$2:$A$7, MATCH(F220, 'коды стран'!$B$2:$B$7, 0))</f>
        <v>Таджикистан</v>
      </c>
      <c r="H220" t="s">
        <v>130</v>
      </c>
      <c r="I220" t="str">
        <f>LEFT(Таблица8[[#This Row],[ФИО]],(M220-1))</f>
        <v>Лазарев</v>
      </c>
      <c r="J220" t="str">
        <f>MID(Таблица8[[#This Row],[ФИО]],M220,(N220-M220))</f>
        <v xml:space="preserve"> Аникей</v>
      </c>
      <c r="K220" t="str">
        <f>RIGHT(Таблица8[[#This Row],[ФИО]],(O220-N220))</f>
        <v>Венедиктович</v>
      </c>
      <c r="M220" s="59">
        <f>FIND(" ",Таблица8[[#This Row],[ФИО]],2)</f>
        <v>8</v>
      </c>
      <c r="N220">
        <f>FIND(" ",Таблица8[[#This Row],[ФИО]],(M220+1))</f>
        <v>15</v>
      </c>
      <c r="O220">
        <f>LEN(Таблица8[[#This Row],[ФИО]])</f>
        <v>27</v>
      </c>
      <c r="Q220" s="59" t="str">
        <f>MID(Таблица8[[#This Row],[ФИО]],M220,(N220-M220))</f>
        <v xml:space="preserve"> Аникей</v>
      </c>
      <c r="R220" t="s">
        <v>1270</v>
      </c>
      <c r="S220" t="s">
        <v>1563</v>
      </c>
    </row>
    <row r="221" spans="1:19" x14ac:dyDescent="0.25">
      <c r="A221" s="51">
        <v>276</v>
      </c>
      <c r="B221" t="s">
        <v>777</v>
      </c>
      <c r="C221" t="s">
        <v>776</v>
      </c>
      <c r="D221" t="s">
        <v>140</v>
      </c>
      <c r="E221" s="26">
        <v>44632</v>
      </c>
      <c r="F221" t="str">
        <f t="shared" si="3"/>
        <v>+992</v>
      </c>
      <c r="G221" t="str">
        <f>INDEX('коды стран'!$A$2:$A$7, MATCH(F221, 'коды стран'!$B$2:$B$7, 0))</f>
        <v>Таджикистан</v>
      </c>
      <c r="H221" t="s">
        <v>130</v>
      </c>
      <c r="I221" t="str">
        <f>LEFT(Таблица8[[#This Row],[ФИО]],(M221-1))</f>
        <v>Лазарев</v>
      </c>
      <c r="J221" t="str">
        <f>MID(Таблица8[[#This Row],[ФИО]],M221,(N221-M221))</f>
        <v xml:space="preserve"> Арефий</v>
      </c>
      <c r="K221" t="str">
        <f>RIGHT(Таблица8[[#This Row],[ФИО]],(O221-N221))</f>
        <v>Анатольевич</v>
      </c>
      <c r="M221" s="60">
        <f>FIND(" ",Таблица8[[#This Row],[ФИО]],2)</f>
        <v>8</v>
      </c>
      <c r="N221">
        <f>FIND(" ",Таблица8[[#This Row],[ФИО]],(M221+1))</f>
        <v>15</v>
      </c>
      <c r="O221">
        <f>LEN(Таблица8[[#This Row],[ФИО]])</f>
        <v>26</v>
      </c>
      <c r="Q221" s="60" t="str">
        <f>MID(Таблица8[[#This Row],[ФИО]],M221,(N221-M221))</f>
        <v xml:space="preserve"> Арефий</v>
      </c>
      <c r="R221" t="s">
        <v>1270</v>
      </c>
      <c r="S221" t="s">
        <v>1470</v>
      </c>
    </row>
    <row r="222" spans="1:19" x14ac:dyDescent="0.25">
      <c r="A222" s="51">
        <v>132</v>
      </c>
      <c r="B222" t="s">
        <v>809</v>
      </c>
      <c r="C222" t="s">
        <v>808</v>
      </c>
      <c r="D222" t="s">
        <v>143</v>
      </c>
      <c r="E222" s="26">
        <v>44601</v>
      </c>
      <c r="F222" t="str">
        <f t="shared" si="3"/>
        <v>+380</v>
      </c>
      <c r="G222" t="str">
        <f>INDEX('коды стран'!$A$2:$A$7, MATCH(F222, 'коды стран'!$B$2:$B$7, 0))</f>
        <v>Украина</v>
      </c>
      <c r="H222" t="s">
        <v>128</v>
      </c>
      <c r="I222" t="str">
        <f>LEFT(Таблица8[[#This Row],[ФИО]],(M222-1))</f>
        <v>Лазарев</v>
      </c>
      <c r="J222" t="str">
        <f>MID(Таблица8[[#This Row],[ФИО]],M222,(N222-M222))</f>
        <v xml:space="preserve"> Софон</v>
      </c>
      <c r="K222" t="str">
        <f>RIGHT(Таблица8[[#This Row],[ФИО]],(O222-N222))</f>
        <v>Якубович</v>
      </c>
      <c r="M222" s="59">
        <f>FIND(" ",Таблица8[[#This Row],[ФИО]],2)</f>
        <v>8</v>
      </c>
      <c r="N222">
        <f>FIND(" ",Таблица8[[#This Row],[ФИО]],(M222+1))</f>
        <v>14</v>
      </c>
      <c r="O222">
        <f>LEN(Таблица8[[#This Row],[ФИО]])</f>
        <v>22</v>
      </c>
      <c r="Q222" s="59" t="str">
        <f>MID(Таблица8[[#This Row],[ФИО]],M222,(N222-M222))</f>
        <v xml:space="preserve"> Софон</v>
      </c>
      <c r="R222" t="s">
        <v>1270</v>
      </c>
      <c r="S222" t="s">
        <v>1564</v>
      </c>
    </row>
    <row r="223" spans="1:19" x14ac:dyDescent="0.25">
      <c r="A223" s="51">
        <v>73</v>
      </c>
      <c r="B223" t="s">
        <v>747</v>
      </c>
      <c r="C223" t="s">
        <v>746</v>
      </c>
      <c r="D223" t="s">
        <v>143</v>
      </c>
      <c r="E223" s="26">
        <v>44665</v>
      </c>
      <c r="F223" t="str">
        <f t="shared" si="3"/>
        <v>+380</v>
      </c>
      <c r="G223" t="str">
        <f>INDEX('коды стран'!$A$2:$A$7, MATCH(F223, 'коды стран'!$B$2:$B$7, 0))</f>
        <v>Украина</v>
      </c>
      <c r="H223" t="s">
        <v>128</v>
      </c>
      <c r="I223" t="str">
        <f>LEFT(Таблица8[[#This Row],[ФИО]],(M223-1))</f>
        <v>Лапин</v>
      </c>
      <c r="J223" t="str">
        <f>MID(Таблица8[[#This Row],[ФИО]],M223,(N223-M223))</f>
        <v xml:space="preserve"> Эрнест</v>
      </c>
      <c r="K223" t="str">
        <f>RIGHT(Таблица8[[#This Row],[ФИО]],(O223-N223))</f>
        <v>Антипович</v>
      </c>
      <c r="M223" s="60">
        <f>FIND(" ",Таблица8[[#This Row],[ФИО]],2)</f>
        <v>6</v>
      </c>
      <c r="N223">
        <f>FIND(" ",Таблица8[[#This Row],[ФИО]],(M223+1))</f>
        <v>13</v>
      </c>
      <c r="O223">
        <f>LEN(Таблица8[[#This Row],[ФИО]])</f>
        <v>22</v>
      </c>
      <c r="Q223" s="60" t="str">
        <f>MID(Таблица8[[#This Row],[ФИО]],M223,(N223-M223))</f>
        <v xml:space="preserve"> Эрнест</v>
      </c>
      <c r="R223" t="s">
        <v>1271</v>
      </c>
      <c r="S223" t="s">
        <v>1565</v>
      </c>
    </row>
    <row r="224" spans="1:19" x14ac:dyDescent="0.25">
      <c r="A224" s="51">
        <v>469</v>
      </c>
      <c r="B224" t="s">
        <v>155</v>
      </c>
      <c r="C224" t="s">
        <v>154</v>
      </c>
      <c r="D224" t="s">
        <v>143</v>
      </c>
      <c r="E224" s="26">
        <v>44659</v>
      </c>
      <c r="F224" t="str">
        <f t="shared" si="3"/>
        <v>+7</v>
      </c>
      <c r="G224" t="str">
        <f>INDEX('коды стран'!$A$2:$A$7, MATCH(F224, 'коды стран'!$B$2:$B$7, 0))</f>
        <v>Россия</v>
      </c>
      <c r="H224" t="s">
        <v>137</v>
      </c>
      <c r="I224" t="str">
        <f>LEFT(Таблица8[[#This Row],[ФИО]],(M224-1))</f>
        <v>Лариса</v>
      </c>
      <c r="J224" t="str">
        <f>MID(Таблица8[[#This Row],[ФИО]],M224,(N224-M224))</f>
        <v xml:space="preserve"> Романовна</v>
      </c>
      <c r="K224" t="str">
        <f>RIGHT(Таблица8[[#This Row],[ФИО]],(O224-N224))</f>
        <v>Крюкова</v>
      </c>
      <c r="M224" s="59">
        <f>FIND(" ",Таблица8[[#This Row],[ФИО]],2)</f>
        <v>7</v>
      </c>
      <c r="N224">
        <f>FIND(" ",Таблица8[[#This Row],[ФИО]],(M224+1))</f>
        <v>17</v>
      </c>
      <c r="O224">
        <f>LEN(Таблица8[[#This Row],[ФИО]])</f>
        <v>24</v>
      </c>
      <c r="Q224" s="59" t="str">
        <f>LEFT(Таблица8[[#This Row],[ФИО]],(M224-1))</f>
        <v>Лариса</v>
      </c>
      <c r="R224" t="s">
        <v>1272</v>
      </c>
      <c r="S224" t="s">
        <v>1566</v>
      </c>
    </row>
    <row r="225" spans="1:19" x14ac:dyDescent="0.25">
      <c r="A225" s="51">
        <v>285</v>
      </c>
      <c r="B225" t="s">
        <v>483</v>
      </c>
      <c r="C225" t="s">
        <v>482</v>
      </c>
      <c r="D225" t="s">
        <v>140</v>
      </c>
      <c r="E225" s="26">
        <v>44922</v>
      </c>
      <c r="F225" t="str">
        <f t="shared" si="3"/>
        <v>+992</v>
      </c>
      <c r="G225" t="str">
        <f>INDEX('коды стран'!$A$2:$A$7, MATCH(F225, 'коды стран'!$B$2:$B$7, 0))</f>
        <v>Таджикистан</v>
      </c>
      <c r="H225" t="s">
        <v>130</v>
      </c>
      <c r="I225" t="str">
        <f>LEFT(Таблица8[[#This Row],[ФИО]],(M225-1))</f>
        <v>Лариса</v>
      </c>
      <c r="J225" t="str">
        <f>MID(Таблица8[[#This Row],[ФИО]],M225,(N225-M225))</f>
        <v xml:space="preserve"> Степановна</v>
      </c>
      <c r="K225" t="str">
        <f>RIGHT(Таблица8[[#This Row],[ФИО]],(O225-N225))</f>
        <v>Гурьева</v>
      </c>
      <c r="M225" s="60">
        <f>FIND(" ",Таблица8[[#This Row],[ФИО]],2)</f>
        <v>7</v>
      </c>
      <c r="N225">
        <f>FIND(" ",Таблица8[[#This Row],[ФИО]],(M225+1))</f>
        <v>18</v>
      </c>
      <c r="O225">
        <f>LEN(Таблица8[[#This Row],[ФИО]])</f>
        <v>25</v>
      </c>
      <c r="Q225" s="60" t="str">
        <f>LEFT(Таблица8[[#This Row],[ФИО]],(M225-1))</f>
        <v>Лариса</v>
      </c>
      <c r="R225" t="s">
        <v>1197</v>
      </c>
      <c r="S225" t="s">
        <v>1495</v>
      </c>
    </row>
    <row r="226" spans="1:19" x14ac:dyDescent="0.25">
      <c r="A226" s="51">
        <v>340</v>
      </c>
      <c r="B226" t="s">
        <v>335</v>
      </c>
      <c r="C226" t="s">
        <v>334</v>
      </c>
      <c r="D226" t="s">
        <v>140</v>
      </c>
      <c r="E226" s="26">
        <v>44896</v>
      </c>
      <c r="F226" t="str">
        <f t="shared" si="3"/>
        <v>+7</v>
      </c>
      <c r="G226" t="str">
        <f>INDEX('коды стран'!$A$2:$A$7, MATCH(F226, 'коды стран'!$B$2:$B$7, 0))</f>
        <v>Россия</v>
      </c>
      <c r="H226" t="s">
        <v>137</v>
      </c>
      <c r="I226" t="str">
        <f>LEFT(Таблица8[[#This Row],[ФИО]],(M226-1))</f>
        <v>Леон</v>
      </c>
      <c r="J226" t="str">
        <f>MID(Таблица8[[#This Row],[ФИО]],M226,(N226-M226))</f>
        <v xml:space="preserve"> Аверьянович</v>
      </c>
      <c r="K226" t="str">
        <f>RIGHT(Таблица8[[#This Row],[ФИО]],(O226-N226))</f>
        <v>Захаров</v>
      </c>
      <c r="M226" s="59">
        <f>FIND(" ",Таблица8[[#This Row],[ФИО]],2)</f>
        <v>5</v>
      </c>
      <c r="N226">
        <f>FIND(" ",Таблица8[[#This Row],[ФИО]],(M226+1))</f>
        <v>17</v>
      </c>
      <c r="O226">
        <f>LEN(Таблица8[[#This Row],[ФИО]])</f>
        <v>24</v>
      </c>
      <c r="Q226" s="59" t="str">
        <f>LEFT(Таблица8[[#This Row],[ФИО]],(M226-1))</f>
        <v>Леон</v>
      </c>
      <c r="R226" t="s">
        <v>1273</v>
      </c>
      <c r="S226" t="s">
        <v>1567</v>
      </c>
    </row>
    <row r="227" spans="1:19" x14ac:dyDescent="0.25">
      <c r="A227" s="51">
        <v>75</v>
      </c>
      <c r="B227" t="s">
        <v>835</v>
      </c>
      <c r="C227" t="s">
        <v>834</v>
      </c>
      <c r="D227" t="s">
        <v>140</v>
      </c>
      <c r="E227" s="26">
        <v>44796</v>
      </c>
      <c r="F227" t="str">
        <f t="shared" si="3"/>
        <v>+380</v>
      </c>
      <c r="G227" t="str">
        <f>INDEX('коды стран'!$A$2:$A$7, MATCH(F227, 'коды стран'!$B$2:$B$7, 0))</f>
        <v>Украина</v>
      </c>
      <c r="H227" t="s">
        <v>128</v>
      </c>
      <c r="I227" t="str">
        <f>LEFT(Таблица8[[#This Row],[ФИО]],(M227-1))</f>
        <v>Леонид</v>
      </c>
      <c r="J227" t="str">
        <f>MID(Таблица8[[#This Row],[ФИО]],M227,(N227-M227))</f>
        <v xml:space="preserve"> Арсенович</v>
      </c>
      <c r="K227" t="str">
        <f>RIGHT(Таблица8[[#This Row],[ФИО]],(O227-N227))</f>
        <v>Давыдов</v>
      </c>
      <c r="M227" s="60">
        <f>FIND(" ",Таблица8[[#This Row],[ФИО]],2)</f>
        <v>7</v>
      </c>
      <c r="N227">
        <f>FIND(" ",Таблица8[[#This Row],[ФИО]],(M227+1))</f>
        <v>17</v>
      </c>
      <c r="O227">
        <f>LEN(Таблица8[[#This Row],[ФИО]])</f>
        <v>24</v>
      </c>
      <c r="Q227" s="60" t="str">
        <f>LEFT(Таблица8[[#This Row],[ФИО]],(M227-1))</f>
        <v>Леонид</v>
      </c>
      <c r="R227" t="s">
        <v>1200</v>
      </c>
      <c r="S227" t="s">
        <v>1568</v>
      </c>
    </row>
    <row r="228" spans="1:19" x14ac:dyDescent="0.25">
      <c r="A228" s="51">
        <v>427</v>
      </c>
      <c r="B228" t="s">
        <v>142</v>
      </c>
      <c r="C228" t="s">
        <v>141</v>
      </c>
      <c r="D228" t="s">
        <v>140</v>
      </c>
      <c r="E228" s="26">
        <v>44834</v>
      </c>
      <c r="F228" t="str">
        <f t="shared" si="3"/>
        <v>+7</v>
      </c>
      <c r="G228" t="str">
        <f>INDEX('коды стран'!$A$2:$A$7, MATCH(F228, 'коды стран'!$B$2:$B$7, 0))</f>
        <v>Россия</v>
      </c>
      <c r="H228" t="s">
        <v>137</v>
      </c>
      <c r="I228" t="str">
        <f>LEFT(Таблица8[[#This Row],[ФИО]],(M228-1))</f>
        <v>Лидия</v>
      </c>
      <c r="J228" t="str">
        <f>MID(Таблица8[[#This Row],[ФИО]],M228,(N228-M228))</f>
        <v xml:space="preserve"> Андреевна</v>
      </c>
      <c r="K228" t="str">
        <f>RIGHT(Таблица8[[#This Row],[ФИО]],(O228-N228))</f>
        <v>Крюкова</v>
      </c>
      <c r="M228" s="59">
        <f>FIND(" ",Таблица8[[#This Row],[ФИО]],2)</f>
        <v>6</v>
      </c>
      <c r="N228">
        <f>FIND(" ",Таблица8[[#This Row],[ФИО]],(M228+1))</f>
        <v>16</v>
      </c>
      <c r="O228">
        <f>LEN(Таблица8[[#This Row],[ФИО]])</f>
        <v>23</v>
      </c>
      <c r="Q228" s="59" t="str">
        <f>LEFT(Таблица8[[#This Row],[ФИО]],(M228-1))</f>
        <v>Лидия</v>
      </c>
      <c r="R228" t="s">
        <v>1272</v>
      </c>
      <c r="S228" t="s">
        <v>1569</v>
      </c>
    </row>
    <row r="229" spans="1:19" x14ac:dyDescent="0.25">
      <c r="A229" s="51">
        <v>236</v>
      </c>
      <c r="B229" t="s">
        <v>981</v>
      </c>
      <c r="C229" t="s">
        <v>980</v>
      </c>
      <c r="D229" t="s">
        <v>143</v>
      </c>
      <c r="E229" s="26">
        <v>44820</v>
      </c>
      <c r="F229" t="str">
        <f t="shared" si="3"/>
        <v>+998</v>
      </c>
      <c r="G229" t="str">
        <f>INDEX('коды стран'!$A$2:$A$7, MATCH(F229, 'коды стран'!$B$2:$B$7, 0))</f>
        <v>Узбекистан</v>
      </c>
      <c r="H229" t="s">
        <v>132</v>
      </c>
      <c r="I229" t="str">
        <f>LEFT(Таблица8[[#This Row],[ФИО]],(M229-1))</f>
        <v>Лонгин</v>
      </c>
      <c r="J229" t="str">
        <f>MID(Таблица8[[#This Row],[ФИО]],M229,(N229-M229))</f>
        <v xml:space="preserve"> Арсенович</v>
      </c>
      <c r="K229" t="str">
        <f>RIGHT(Таблица8[[#This Row],[ФИО]],(O229-N229))</f>
        <v>Никонов</v>
      </c>
      <c r="M229" s="60">
        <f>FIND(" ",Таблица8[[#This Row],[ФИО]],2)</f>
        <v>7</v>
      </c>
      <c r="N229">
        <f>FIND(" ",Таблица8[[#This Row],[ФИО]],(M229+1))</f>
        <v>17</v>
      </c>
      <c r="O229">
        <f>LEN(Таблица8[[#This Row],[ФИО]])</f>
        <v>24</v>
      </c>
      <c r="Q229" s="60" t="str">
        <f>LEFT(Таблица8[[#This Row],[ФИО]],(M229-1))</f>
        <v>Лонгин</v>
      </c>
      <c r="R229" t="s">
        <v>1274</v>
      </c>
      <c r="S229" t="s">
        <v>1568</v>
      </c>
    </row>
    <row r="230" spans="1:19" x14ac:dyDescent="0.25">
      <c r="A230" s="51">
        <v>267</v>
      </c>
      <c r="B230" t="s">
        <v>931</v>
      </c>
      <c r="C230" t="s">
        <v>930</v>
      </c>
      <c r="D230" t="s">
        <v>143</v>
      </c>
      <c r="E230" s="26">
        <v>44910</v>
      </c>
      <c r="F230" t="str">
        <f t="shared" si="3"/>
        <v>+7</v>
      </c>
      <c r="G230" t="str">
        <f>INDEX('коды стран'!$A$2:$A$7, MATCH(F230, 'коды стран'!$B$2:$B$7, 0))</f>
        <v>Россия</v>
      </c>
      <c r="H230" t="s">
        <v>137</v>
      </c>
      <c r="I230" t="str">
        <f>LEFT(Таблица8[[#This Row],[ФИО]],(M230-1))</f>
        <v>Лора</v>
      </c>
      <c r="J230" t="str">
        <f>MID(Таблица8[[#This Row],[ФИО]],M230,(N230-M230))</f>
        <v xml:space="preserve"> Болеславовна</v>
      </c>
      <c r="K230" t="str">
        <f>RIGHT(Таблица8[[#This Row],[ФИО]],(O230-N230))</f>
        <v>Потапова</v>
      </c>
      <c r="M230" s="59">
        <f>FIND(" ",Таблица8[[#This Row],[ФИО]],2)</f>
        <v>5</v>
      </c>
      <c r="N230">
        <f>FIND(" ",Таблица8[[#This Row],[ФИО]],(M230+1))</f>
        <v>18</v>
      </c>
      <c r="O230">
        <f>LEN(Таблица8[[#This Row],[ФИО]])</f>
        <v>26</v>
      </c>
      <c r="Q230" s="59" t="str">
        <f>LEFT(Таблица8[[#This Row],[ФИО]],(M230-1))</f>
        <v>Лора</v>
      </c>
      <c r="R230" t="s">
        <v>1135</v>
      </c>
      <c r="S230" t="s">
        <v>1570</v>
      </c>
    </row>
    <row r="231" spans="1:19" x14ac:dyDescent="0.25">
      <c r="A231" s="51">
        <v>446</v>
      </c>
      <c r="B231" t="s">
        <v>549</v>
      </c>
      <c r="C231" t="s">
        <v>548</v>
      </c>
      <c r="D231" t="s">
        <v>143</v>
      </c>
      <c r="E231" s="26">
        <v>44671</v>
      </c>
      <c r="F231" t="str">
        <f t="shared" si="3"/>
        <v>+992</v>
      </c>
      <c r="G231" t="str">
        <f>INDEX('коды стран'!$A$2:$A$7, MATCH(F231, 'коды стран'!$B$2:$B$7, 0))</f>
        <v>Таджикистан</v>
      </c>
      <c r="H231" t="s">
        <v>130</v>
      </c>
      <c r="I231" t="str">
        <f>LEFT(Таблица8[[#This Row],[ФИО]],(M231-1))</f>
        <v>Лора</v>
      </c>
      <c r="J231" t="str">
        <f>MID(Таблица8[[#This Row],[ФИО]],M231,(N231-M231))</f>
        <v xml:space="preserve"> Вадимовна</v>
      </c>
      <c r="K231" t="str">
        <f>RIGHT(Таблица8[[#This Row],[ФИО]],(O231-N231))</f>
        <v>Турова</v>
      </c>
      <c r="M231" s="60">
        <f>FIND(" ",Таблица8[[#This Row],[ФИО]],2)</f>
        <v>5</v>
      </c>
      <c r="N231">
        <f>FIND(" ",Таблица8[[#This Row],[ФИО]],(M231+1))</f>
        <v>15</v>
      </c>
      <c r="O231">
        <f>LEN(Таблица8[[#This Row],[ФИО]])</f>
        <v>21</v>
      </c>
      <c r="Q231" s="60" t="str">
        <f>LEFT(Таблица8[[#This Row],[ФИО]],(M231-1))</f>
        <v>Лора</v>
      </c>
      <c r="R231" t="s">
        <v>1275</v>
      </c>
      <c r="S231" t="s">
        <v>1571</v>
      </c>
    </row>
    <row r="232" spans="1:19" x14ac:dyDescent="0.25">
      <c r="A232" s="51">
        <v>151</v>
      </c>
      <c r="B232" t="s">
        <v>393</v>
      </c>
      <c r="C232" t="s">
        <v>392</v>
      </c>
      <c r="D232" t="s">
        <v>140</v>
      </c>
      <c r="E232" s="26">
        <v>44923</v>
      </c>
      <c r="F232" t="str">
        <f t="shared" si="3"/>
        <v>+375</v>
      </c>
      <c r="G232" t="str">
        <f>INDEX('коды стран'!$A$2:$A$7, MATCH(F232, 'коды стран'!$B$2:$B$7, 0))</f>
        <v>Беларусь</v>
      </c>
      <c r="H232" t="s">
        <v>134</v>
      </c>
      <c r="I232" t="str">
        <f>LEFT(Таблица8[[#This Row],[ФИО]],(M232-1))</f>
        <v>Лука</v>
      </c>
      <c r="J232" t="str">
        <f>MID(Таблица8[[#This Row],[ФИО]],M232,(N232-M232))</f>
        <v xml:space="preserve"> Игнатьевич</v>
      </c>
      <c r="K232" t="str">
        <f>RIGHT(Таблица8[[#This Row],[ФИО]],(O232-N232))</f>
        <v>Власов</v>
      </c>
      <c r="M232" s="59">
        <f>FIND(" ",Таблица8[[#This Row],[ФИО]],2)</f>
        <v>5</v>
      </c>
      <c r="N232">
        <f>FIND(" ",Таблица8[[#This Row],[ФИО]],(M232+1))</f>
        <v>16</v>
      </c>
      <c r="O232">
        <f>LEN(Таблица8[[#This Row],[ФИО]])</f>
        <v>22</v>
      </c>
      <c r="Q232" s="59" t="str">
        <f>LEFT(Таблица8[[#This Row],[ФИО]],(M232-1))</f>
        <v>Лука</v>
      </c>
      <c r="R232" t="s">
        <v>1174</v>
      </c>
      <c r="S232" t="s">
        <v>1572</v>
      </c>
    </row>
    <row r="233" spans="1:19" x14ac:dyDescent="0.25">
      <c r="A233" s="51">
        <v>376</v>
      </c>
      <c r="B233" t="s">
        <v>621</v>
      </c>
      <c r="C233" t="s">
        <v>620</v>
      </c>
      <c r="D233" t="s">
        <v>143</v>
      </c>
      <c r="E233" s="26">
        <v>44730</v>
      </c>
      <c r="F233" t="str">
        <f t="shared" si="3"/>
        <v>+375</v>
      </c>
      <c r="G233" t="str">
        <f>INDEX('коды стран'!$A$2:$A$7, MATCH(F233, 'коды стран'!$B$2:$B$7, 0))</f>
        <v>Беларусь</v>
      </c>
      <c r="H233" t="s">
        <v>134</v>
      </c>
      <c r="I233" t="str">
        <f>LEFT(Таблица8[[#This Row],[ФИО]],(M233-1))</f>
        <v>Лукин</v>
      </c>
      <c r="J233" t="str">
        <f>MID(Таблица8[[#This Row],[ФИО]],M233,(N233-M233))</f>
        <v xml:space="preserve"> Борис</v>
      </c>
      <c r="K233" t="str">
        <f>RIGHT(Таблица8[[#This Row],[ФИО]],(O233-N233))</f>
        <v>Власович</v>
      </c>
      <c r="M233" s="60">
        <f>FIND(" ",Таблица8[[#This Row],[ФИО]],2)</f>
        <v>6</v>
      </c>
      <c r="N233">
        <f>FIND(" ",Таблица8[[#This Row],[ФИО]],(M233+1))</f>
        <v>12</v>
      </c>
      <c r="O233">
        <f>LEN(Таблица8[[#This Row],[ФИО]])</f>
        <v>20</v>
      </c>
      <c r="Q233" s="60" t="str">
        <f>MID(Таблица8[[#This Row],[ФИО]],M233,(N233-M233))</f>
        <v xml:space="preserve"> Борис</v>
      </c>
      <c r="R233" t="s">
        <v>1276</v>
      </c>
      <c r="S233" t="s">
        <v>1573</v>
      </c>
    </row>
    <row r="234" spans="1:19" x14ac:dyDescent="0.25">
      <c r="A234" s="51">
        <v>47</v>
      </c>
      <c r="B234" t="s">
        <v>927</v>
      </c>
      <c r="C234" t="s">
        <v>926</v>
      </c>
      <c r="D234" t="s">
        <v>140</v>
      </c>
      <c r="E234" s="26">
        <v>44693</v>
      </c>
      <c r="F234" t="str">
        <f t="shared" si="3"/>
        <v>+375</v>
      </c>
      <c r="G234" t="str">
        <f>INDEX('коды стран'!$A$2:$A$7, MATCH(F234, 'коды стран'!$B$2:$B$7, 0))</f>
        <v>Беларусь</v>
      </c>
      <c r="H234" t="s">
        <v>134</v>
      </c>
      <c r="I234" t="str">
        <f>LEFT(Таблица8[[#This Row],[ФИО]],(M234-1))</f>
        <v>Лукин</v>
      </c>
      <c r="J234" t="str">
        <f>MID(Таблица8[[#This Row],[ФИО]],M234,(N234-M234))</f>
        <v xml:space="preserve"> Харлампий</v>
      </c>
      <c r="K234" t="str">
        <f>RIGHT(Таблица8[[#This Row],[ФИО]],(O234-N234))</f>
        <v>Игнатович</v>
      </c>
      <c r="M234" s="59">
        <f>FIND(" ",Таблица8[[#This Row],[ФИО]],2)</f>
        <v>6</v>
      </c>
      <c r="N234">
        <f>FIND(" ",Таблица8[[#This Row],[ФИО]],(M234+1))</f>
        <v>16</v>
      </c>
      <c r="O234">
        <f>LEN(Таблица8[[#This Row],[ФИО]])</f>
        <v>25</v>
      </c>
      <c r="Q234" s="59" t="str">
        <f>MID(Таблица8[[#This Row],[ФИО]],M234,(N234-M234))</f>
        <v xml:space="preserve"> Харлампий</v>
      </c>
      <c r="R234" t="s">
        <v>1276</v>
      </c>
      <c r="S234" t="s">
        <v>1390</v>
      </c>
    </row>
    <row r="235" spans="1:19" x14ac:dyDescent="0.25">
      <c r="A235" s="51">
        <v>451</v>
      </c>
      <c r="B235" t="s">
        <v>953</v>
      </c>
      <c r="C235" t="s">
        <v>952</v>
      </c>
      <c r="D235" t="s">
        <v>143</v>
      </c>
      <c r="E235" s="26">
        <v>44584</v>
      </c>
      <c r="F235" t="str">
        <f t="shared" si="3"/>
        <v>+7</v>
      </c>
      <c r="G235" t="str">
        <f>INDEX('коды стран'!$A$2:$A$7, MATCH(F235, 'коды стран'!$B$2:$B$7, 0))</f>
        <v>Россия</v>
      </c>
      <c r="H235" t="s">
        <v>137</v>
      </c>
      <c r="I235" t="str">
        <f>LEFT(Таблица8[[#This Row],[ФИО]],(M235-1))</f>
        <v>Лукия</v>
      </c>
      <c r="J235" t="str">
        <f>MID(Таблица8[[#This Row],[ФИО]],M235,(N235-M235))</f>
        <v xml:space="preserve"> Ефимовна</v>
      </c>
      <c r="K235" t="str">
        <f>RIGHT(Таблица8[[#This Row],[ФИО]],(O235-N235))</f>
        <v>Тимофеева</v>
      </c>
      <c r="M235" s="60">
        <f>FIND(" ",Таблица8[[#This Row],[ФИО]],2)</f>
        <v>6</v>
      </c>
      <c r="N235">
        <f>FIND(" ",Таблица8[[#This Row],[ФИО]],(M235+1))</f>
        <v>15</v>
      </c>
      <c r="O235">
        <f>LEN(Таблица8[[#This Row],[ФИО]])</f>
        <v>24</v>
      </c>
      <c r="Q235" s="60" t="str">
        <f>MID(Таблица8[[#This Row],[ФИО]],M235,(N235-M235))</f>
        <v xml:space="preserve"> Ефимовна</v>
      </c>
      <c r="R235" t="s">
        <v>1277</v>
      </c>
      <c r="S235" t="s">
        <v>1413</v>
      </c>
    </row>
    <row r="236" spans="1:19" x14ac:dyDescent="0.25">
      <c r="A236" s="51">
        <v>426</v>
      </c>
      <c r="B236" t="s">
        <v>869</v>
      </c>
      <c r="C236" t="s">
        <v>868</v>
      </c>
      <c r="D236" t="s">
        <v>143</v>
      </c>
      <c r="E236" s="26">
        <v>44768</v>
      </c>
      <c r="F236" t="str">
        <f t="shared" si="3"/>
        <v>+992</v>
      </c>
      <c r="G236" t="str">
        <f>INDEX('коды стран'!$A$2:$A$7, MATCH(F236, 'коды стран'!$B$2:$B$7, 0))</f>
        <v>Таджикистан</v>
      </c>
      <c r="H236" t="s">
        <v>130</v>
      </c>
      <c r="I236" t="str">
        <f>LEFT(Таблица8[[#This Row],[ФИО]],(M236-1))</f>
        <v>Лыткина</v>
      </c>
      <c r="J236" t="str">
        <f>MID(Таблица8[[#This Row],[ФИО]],M236,(N236-M236))</f>
        <v xml:space="preserve"> Вера</v>
      </c>
      <c r="K236" t="str">
        <f>RIGHT(Таблица8[[#This Row],[ФИО]],(O236-N236))</f>
        <v>Ждановна</v>
      </c>
      <c r="M236" s="59">
        <f>FIND(" ",Таблица8[[#This Row],[ФИО]],2)</f>
        <v>8</v>
      </c>
      <c r="N236">
        <f>FIND(" ",Таблица8[[#This Row],[ФИО]],(M236+1))</f>
        <v>13</v>
      </c>
      <c r="O236">
        <f>LEN(Таблица8[[#This Row],[ФИО]])</f>
        <v>21</v>
      </c>
      <c r="Q236" s="59" t="str">
        <f>MID(Таблица8[[#This Row],[ФИО]],M236,(N236-M236))</f>
        <v xml:space="preserve"> Вера</v>
      </c>
      <c r="R236" t="s">
        <v>1278</v>
      </c>
      <c r="S236" t="s">
        <v>1574</v>
      </c>
    </row>
    <row r="237" spans="1:19" x14ac:dyDescent="0.25">
      <c r="A237" s="51">
        <v>345</v>
      </c>
      <c r="B237" t="s">
        <v>273</v>
      </c>
      <c r="C237" t="s">
        <v>272</v>
      </c>
      <c r="D237" t="s">
        <v>143</v>
      </c>
      <c r="E237" s="26">
        <v>44705</v>
      </c>
      <c r="F237" t="str">
        <f t="shared" si="3"/>
        <v>+375</v>
      </c>
      <c r="G237" t="str">
        <f>INDEX('коды стран'!$A$2:$A$7, MATCH(F237, 'коды стран'!$B$2:$B$7, 0))</f>
        <v>Беларусь</v>
      </c>
      <c r="H237" t="s">
        <v>134</v>
      </c>
      <c r="I237" t="str">
        <f>LEFT(Таблица8[[#This Row],[ФИО]],(M237-1))</f>
        <v>Лыткина</v>
      </c>
      <c r="J237" t="str">
        <f>MID(Таблица8[[#This Row],[ФИО]],M237,(N237-M237))</f>
        <v xml:space="preserve"> Ираида</v>
      </c>
      <c r="K237" t="str">
        <f>RIGHT(Таблица8[[#This Row],[ФИО]],(O237-N237))</f>
        <v>Александровна</v>
      </c>
      <c r="M237" s="60">
        <f>FIND(" ",Таблица8[[#This Row],[ФИО]],2)</f>
        <v>8</v>
      </c>
      <c r="N237">
        <f>FIND(" ",Таблица8[[#This Row],[ФИО]],(M237+1))</f>
        <v>15</v>
      </c>
      <c r="O237">
        <f>LEN(Таблица8[[#This Row],[ФИО]])</f>
        <v>28</v>
      </c>
      <c r="Q237" s="60" t="str">
        <f>MID(Таблица8[[#This Row],[ФИО]],M237,(N237-M237))</f>
        <v xml:space="preserve"> Ираида</v>
      </c>
      <c r="R237" t="s">
        <v>1278</v>
      </c>
      <c r="S237" t="s">
        <v>1392</v>
      </c>
    </row>
    <row r="238" spans="1:19" x14ac:dyDescent="0.25">
      <c r="A238" s="51">
        <v>357</v>
      </c>
      <c r="B238" t="s">
        <v>473</v>
      </c>
      <c r="C238" t="s">
        <v>472</v>
      </c>
      <c r="D238" t="s">
        <v>143</v>
      </c>
      <c r="E238" s="26">
        <v>44913</v>
      </c>
      <c r="F238" t="str">
        <f t="shared" si="3"/>
        <v>+998</v>
      </c>
      <c r="G238" t="str">
        <f>INDEX('коды стран'!$A$2:$A$7, MATCH(F238, 'коды стран'!$B$2:$B$7, 0))</f>
        <v>Узбекистан</v>
      </c>
      <c r="H238" t="s">
        <v>132</v>
      </c>
      <c r="I238" t="str">
        <f>LEFT(Таблица8[[#This Row],[ФИО]],(M238-1))</f>
        <v>Любим</v>
      </c>
      <c r="J238" t="str">
        <f>MID(Таблица8[[#This Row],[ФИО]],M238,(N238-M238))</f>
        <v xml:space="preserve"> Зиновьевич</v>
      </c>
      <c r="K238" t="str">
        <f>RIGHT(Таблица8[[#This Row],[ФИО]],(O238-N238))</f>
        <v>Брагин</v>
      </c>
      <c r="M238" s="59">
        <f>FIND(" ",Таблица8[[#This Row],[ФИО]],2)</f>
        <v>6</v>
      </c>
      <c r="N238">
        <f>FIND(" ",Таблица8[[#This Row],[ФИО]],(M238+1))</f>
        <v>17</v>
      </c>
      <c r="O238">
        <f>LEN(Таблица8[[#This Row],[ФИО]])</f>
        <v>23</v>
      </c>
      <c r="Q238" s="59" t="str">
        <f>LEFT(Таблица8[[#This Row],[ФИО]],(M238-1))</f>
        <v>Любим</v>
      </c>
      <c r="R238" t="s">
        <v>1092</v>
      </c>
      <c r="S238" t="s">
        <v>1575</v>
      </c>
    </row>
    <row r="239" spans="1:19" x14ac:dyDescent="0.25">
      <c r="A239" s="51">
        <v>59</v>
      </c>
      <c r="B239" t="s">
        <v>681</v>
      </c>
      <c r="C239" t="s">
        <v>680</v>
      </c>
      <c r="D239" t="s">
        <v>143</v>
      </c>
      <c r="E239" s="26">
        <v>44770</v>
      </c>
      <c r="F239" t="str">
        <f t="shared" si="3"/>
        <v>+7</v>
      </c>
      <c r="G239" t="str">
        <f>INDEX('коды стран'!$A$2:$A$7, MATCH(F239, 'коды стран'!$B$2:$B$7, 0))</f>
        <v>Россия</v>
      </c>
      <c r="H239" t="s">
        <v>137</v>
      </c>
      <c r="I239" t="str">
        <f>LEFT(Таблица8[[#This Row],[ФИО]],(M239-1))</f>
        <v>Любовь</v>
      </c>
      <c r="J239" t="str">
        <f>MID(Таблица8[[#This Row],[ФИО]],M239,(N239-M239))</f>
        <v xml:space="preserve"> Альбертовна</v>
      </c>
      <c r="K239" t="str">
        <f>RIGHT(Таблица8[[#This Row],[ФИО]],(O239-N239))</f>
        <v>Одинцова</v>
      </c>
      <c r="M239" s="60">
        <f>FIND(" ",Таблица8[[#This Row],[ФИО]],2)</f>
        <v>7</v>
      </c>
      <c r="N239">
        <f>FIND(" ",Таблица8[[#This Row],[ФИО]],(M239+1))</f>
        <v>19</v>
      </c>
      <c r="O239">
        <f>LEN(Таблица8[[#This Row],[ФИО]])</f>
        <v>27</v>
      </c>
      <c r="Q239" s="60" t="str">
        <f>LEFT(Таблица8[[#This Row],[ФИО]],(M239-1))</f>
        <v>Любовь</v>
      </c>
      <c r="R239" t="s">
        <v>1279</v>
      </c>
      <c r="S239" t="s">
        <v>1424</v>
      </c>
    </row>
    <row r="240" spans="1:19" x14ac:dyDescent="0.25">
      <c r="A240" s="51">
        <v>418</v>
      </c>
      <c r="B240" t="s">
        <v>257</v>
      </c>
      <c r="C240" t="s">
        <v>256</v>
      </c>
      <c r="D240" t="s">
        <v>143</v>
      </c>
      <c r="E240" s="26">
        <v>44700</v>
      </c>
      <c r="F240" t="str">
        <f t="shared" si="3"/>
        <v>+375</v>
      </c>
      <c r="G240" t="str">
        <f>INDEX('коды стран'!$A$2:$A$7, MATCH(F240, 'коды стран'!$B$2:$B$7, 0))</f>
        <v>Беларусь</v>
      </c>
      <c r="H240" t="s">
        <v>134</v>
      </c>
      <c r="I240" t="str">
        <f>LEFT(Таблица8[[#This Row],[ФИО]],(M240-1))</f>
        <v>Любовь</v>
      </c>
      <c r="J240" t="str">
        <f>MID(Таблица8[[#This Row],[ФИО]],M240,(N240-M240))</f>
        <v xml:space="preserve"> Богдановна</v>
      </c>
      <c r="K240" t="str">
        <f>RIGHT(Таблица8[[#This Row],[ФИО]],(O240-N240))</f>
        <v>Новикова</v>
      </c>
      <c r="M240" s="59">
        <f>FIND(" ",Таблица8[[#This Row],[ФИО]],2)</f>
        <v>7</v>
      </c>
      <c r="N240">
        <f>FIND(" ",Таблица8[[#This Row],[ФИО]],(M240+1))</f>
        <v>18</v>
      </c>
      <c r="O240">
        <f>LEN(Таблица8[[#This Row],[ФИО]])</f>
        <v>26</v>
      </c>
      <c r="Q240" s="59" t="str">
        <f>LEFT(Таблица8[[#This Row],[ФИО]],(M240-1))</f>
        <v>Любовь</v>
      </c>
      <c r="R240" t="s">
        <v>1123</v>
      </c>
      <c r="S240" t="s">
        <v>1541</v>
      </c>
    </row>
    <row r="241" spans="1:19" x14ac:dyDescent="0.25">
      <c r="A241" s="51">
        <v>350</v>
      </c>
      <c r="B241" t="s">
        <v>993</v>
      </c>
      <c r="C241" t="s">
        <v>992</v>
      </c>
      <c r="D241" t="s">
        <v>140</v>
      </c>
      <c r="E241" s="26">
        <v>44684</v>
      </c>
      <c r="F241" t="str">
        <f t="shared" si="3"/>
        <v>+380</v>
      </c>
      <c r="G241" t="str">
        <f>INDEX('коды стран'!$A$2:$A$7, MATCH(F241, 'коды стран'!$B$2:$B$7, 0))</f>
        <v>Украина</v>
      </c>
      <c r="H241" t="s">
        <v>128</v>
      </c>
      <c r="I241" t="str">
        <f>LEFT(Таблица8[[#This Row],[ФИО]],(M241-1))</f>
        <v>Любовь</v>
      </c>
      <c r="J241" t="str">
        <f>MID(Таблица8[[#This Row],[ФИО]],M241,(N241-M241))</f>
        <v xml:space="preserve"> Георгиевна</v>
      </c>
      <c r="K241" t="str">
        <f>RIGHT(Таблица8[[#This Row],[ФИО]],(O241-N241))</f>
        <v>Мамонтова</v>
      </c>
      <c r="M241" s="60">
        <f>FIND(" ",Таблица8[[#This Row],[ФИО]],2)</f>
        <v>7</v>
      </c>
      <c r="N241">
        <f>FIND(" ",Таблица8[[#This Row],[ФИО]],(M241+1))</f>
        <v>18</v>
      </c>
      <c r="O241">
        <f>LEN(Таблица8[[#This Row],[ФИО]])</f>
        <v>27</v>
      </c>
      <c r="Q241" s="60" t="str">
        <f>LEFT(Таблица8[[#This Row],[ФИО]],(M241-1))</f>
        <v>Любовь</v>
      </c>
      <c r="R241" t="s">
        <v>1280</v>
      </c>
      <c r="S241" t="s">
        <v>1460</v>
      </c>
    </row>
    <row r="242" spans="1:19" x14ac:dyDescent="0.25">
      <c r="A242" s="51">
        <v>254</v>
      </c>
      <c r="B242" t="s">
        <v>455</v>
      </c>
      <c r="C242" t="s">
        <v>454</v>
      </c>
      <c r="D242" t="s">
        <v>143</v>
      </c>
      <c r="E242" s="26">
        <v>44862</v>
      </c>
      <c r="F242" t="str">
        <f t="shared" si="3"/>
        <v>+375</v>
      </c>
      <c r="G242" t="str">
        <f>INDEX('коды стран'!$A$2:$A$7, MATCH(F242, 'коды стран'!$B$2:$B$7, 0))</f>
        <v>Беларусь</v>
      </c>
      <c r="H242" t="s">
        <v>134</v>
      </c>
      <c r="I242" t="str">
        <f>LEFT(Таблица8[[#This Row],[ФИО]],(M242-1))</f>
        <v>Любовь</v>
      </c>
      <c r="J242" t="str">
        <f>MID(Таблица8[[#This Row],[ФИО]],M242,(N242-M242))</f>
        <v xml:space="preserve"> Павловна</v>
      </c>
      <c r="K242" t="str">
        <f>RIGHT(Таблица8[[#This Row],[ФИО]],(O242-N242))</f>
        <v>Капустина</v>
      </c>
      <c r="M242" s="59">
        <f>FIND(" ",Таблица8[[#This Row],[ФИО]],2)</f>
        <v>7</v>
      </c>
      <c r="N242">
        <f>FIND(" ",Таблица8[[#This Row],[ФИО]],(M242+1))</f>
        <v>16</v>
      </c>
      <c r="O242">
        <f>LEN(Таблица8[[#This Row],[ФИО]])</f>
        <v>25</v>
      </c>
      <c r="Q242" s="59" t="str">
        <f>LEFT(Таблица8[[#This Row],[ФИО]],(M242-1))</f>
        <v>Любовь</v>
      </c>
      <c r="R242" t="s">
        <v>1242</v>
      </c>
      <c r="S242" t="s">
        <v>1576</v>
      </c>
    </row>
    <row r="243" spans="1:19" x14ac:dyDescent="0.25">
      <c r="A243" s="51">
        <v>74</v>
      </c>
      <c r="B243" t="s">
        <v>701</v>
      </c>
      <c r="C243" t="s">
        <v>700</v>
      </c>
      <c r="D243" t="s">
        <v>140</v>
      </c>
      <c r="E243" s="26">
        <v>44857</v>
      </c>
      <c r="F243" t="str">
        <f t="shared" si="3"/>
        <v>+7</v>
      </c>
      <c r="G243" t="str">
        <f>INDEX('коды стран'!$A$2:$A$7, MATCH(F243, 'коды стран'!$B$2:$B$7, 0))</f>
        <v>Россия</v>
      </c>
      <c r="H243" t="s">
        <v>137</v>
      </c>
      <c r="I243" t="str">
        <f>LEFT(Таблица8[[#This Row],[ФИО]],(M243-1))</f>
        <v>Любовь</v>
      </c>
      <c r="J243" t="str">
        <f>MID(Таблица8[[#This Row],[ФИО]],M243,(N243-M243))</f>
        <v xml:space="preserve"> Романовна</v>
      </c>
      <c r="K243" t="str">
        <f>RIGHT(Таблица8[[#This Row],[ФИО]],(O243-N243))</f>
        <v>Данилова</v>
      </c>
      <c r="M243" s="60">
        <f>FIND(" ",Таблица8[[#This Row],[ФИО]],2)</f>
        <v>7</v>
      </c>
      <c r="N243">
        <f>FIND(" ",Таблица8[[#This Row],[ФИО]],(M243+1))</f>
        <v>17</v>
      </c>
      <c r="O243">
        <f>LEN(Таблица8[[#This Row],[ФИО]])</f>
        <v>25</v>
      </c>
      <c r="Q243" s="60" t="str">
        <f>LEFT(Таблица8[[#This Row],[ФИО]],(M243-1))</f>
        <v>Любовь</v>
      </c>
      <c r="R243" t="s">
        <v>1212</v>
      </c>
      <c r="S243" t="s">
        <v>1566</v>
      </c>
    </row>
    <row r="244" spans="1:19" x14ac:dyDescent="0.25">
      <c r="A244" s="51">
        <v>277</v>
      </c>
      <c r="B244" t="s">
        <v>535</v>
      </c>
      <c r="C244" t="s">
        <v>534</v>
      </c>
      <c r="D244" t="s">
        <v>143</v>
      </c>
      <c r="E244" s="26">
        <v>44750</v>
      </c>
      <c r="F244" t="str">
        <f t="shared" si="3"/>
        <v>+7</v>
      </c>
      <c r="G244" t="str">
        <f>INDEX('коды стран'!$A$2:$A$7, MATCH(F244, 'коды стран'!$B$2:$B$7, 0))</f>
        <v>Россия</v>
      </c>
      <c r="H244" t="s">
        <v>137</v>
      </c>
      <c r="I244" t="str">
        <f>LEFT(Таблица8[[#This Row],[ФИО]],(M244-1))</f>
        <v>Любомир</v>
      </c>
      <c r="J244" t="str">
        <f>MID(Таблица8[[#This Row],[ФИО]],M244,(N244-M244))</f>
        <v xml:space="preserve"> Архипович</v>
      </c>
      <c r="K244" t="str">
        <f>RIGHT(Таблица8[[#This Row],[ФИО]],(O244-N244))</f>
        <v>Пономарев</v>
      </c>
      <c r="M244" s="59">
        <f>FIND(" ",Таблица8[[#This Row],[ФИО]],2)</f>
        <v>8</v>
      </c>
      <c r="N244">
        <f>FIND(" ",Таблица8[[#This Row],[ФИО]],(M244+1))</f>
        <v>18</v>
      </c>
      <c r="O244">
        <f>LEN(Таблица8[[#This Row],[ФИО]])</f>
        <v>27</v>
      </c>
      <c r="Q244" s="59" t="str">
        <f>LEFT(Таблица8[[#This Row],[ФИО]],(M244-1))</f>
        <v>Любомир</v>
      </c>
      <c r="R244" t="s">
        <v>1281</v>
      </c>
      <c r="S244" t="s">
        <v>1415</v>
      </c>
    </row>
    <row r="245" spans="1:19" x14ac:dyDescent="0.25">
      <c r="A245" s="51">
        <v>309</v>
      </c>
      <c r="B245" t="s">
        <v>431</v>
      </c>
      <c r="C245" t="s">
        <v>430</v>
      </c>
      <c r="D245" t="s">
        <v>140</v>
      </c>
      <c r="E245" s="26">
        <v>44711</v>
      </c>
      <c r="F245" t="str">
        <f t="shared" si="3"/>
        <v>+7</v>
      </c>
      <c r="G245" t="str">
        <f>INDEX('коды стран'!$A$2:$A$7, MATCH(F245, 'коды стран'!$B$2:$B$7, 0))</f>
        <v>Россия</v>
      </c>
      <c r="H245" t="s">
        <v>137</v>
      </c>
      <c r="I245" t="str">
        <f>LEFT(Таблица8[[#This Row],[ФИО]],(M245-1))</f>
        <v>Любомир</v>
      </c>
      <c r="J245" t="str">
        <f>MID(Таблица8[[#This Row],[ФИО]],M245,(N245-M245))</f>
        <v xml:space="preserve"> Валерианович</v>
      </c>
      <c r="K245" t="str">
        <f>RIGHT(Таблица8[[#This Row],[ФИО]],(O245-N245))</f>
        <v>Туров</v>
      </c>
      <c r="M245" s="60">
        <f>FIND(" ",Таблица8[[#This Row],[ФИО]],2)</f>
        <v>8</v>
      </c>
      <c r="N245">
        <f>FIND(" ",Таблица8[[#This Row],[ФИО]],(M245+1))</f>
        <v>21</v>
      </c>
      <c r="O245">
        <f>LEN(Таблица8[[#This Row],[ФИО]])</f>
        <v>26</v>
      </c>
      <c r="Q245" s="60" t="str">
        <f>LEFT(Таблица8[[#This Row],[ФИО]],(M245-1))</f>
        <v>Любомир</v>
      </c>
      <c r="R245" t="s">
        <v>1282</v>
      </c>
      <c r="S245" t="s">
        <v>1577</v>
      </c>
    </row>
    <row r="246" spans="1:19" x14ac:dyDescent="0.25">
      <c r="A246" s="51">
        <v>264</v>
      </c>
      <c r="B246" t="s">
        <v>217</v>
      </c>
      <c r="C246" t="s">
        <v>216</v>
      </c>
      <c r="D246" t="s">
        <v>140</v>
      </c>
      <c r="E246" s="26">
        <v>44907</v>
      </c>
      <c r="F246" t="str">
        <f t="shared" si="3"/>
        <v>+375</v>
      </c>
      <c r="G246" t="str">
        <f>INDEX('коды стран'!$A$2:$A$7, MATCH(F246, 'коды стран'!$B$2:$B$7, 0))</f>
        <v>Беларусь</v>
      </c>
      <c r="H246" t="s">
        <v>134</v>
      </c>
      <c r="I246" t="str">
        <f>LEFT(Таблица8[[#This Row],[ФИО]],(M246-1))</f>
        <v>Любомир</v>
      </c>
      <c r="J246" t="str">
        <f>MID(Таблица8[[#This Row],[ФИО]],M246,(N246-M246))</f>
        <v xml:space="preserve"> Ермолаевич</v>
      </c>
      <c r="K246" t="str">
        <f>RIGHT(Таблица8[[#This Row],[ФИО]],(O246-N246))</f>
        <v>Стрелков</v>
      </c>
      <c r="M246" s="59">
        <f>FIND(" ",Таблица8[[#This Row],[ФИО]],2)</f>
        <v>8</v>
      </c>
      <c r="N246">
        <f>FIND(" ",Таблица8[[#This Row],[ФИО]],(M246+1))</f>
        <v>19</v>
      </c>
      <c r="O246">
        <f>LEN(Таблица8[[#This Row],[ФИО]])</f>
        <v>27</v>
      </c>
      <c r="Q246" s="59" t="str">
        <f>LEFT(Таблица8[[#This Row],[ФИО]],(M246-1))</f>
        <v>Любомир</v>
      </c>
      <c r="R246" t="s">
        <v>1283</v>
      </c>
      <c r="S246" t="s">
        <v>1431</v>
      </c>
    </row>
    <row r="247" spans="1:19" x14ac:dyDescent="0.25">
      <c r="A247" s="51">
        <v>430</v>
      </c>
      <c r="B247" t="s">
        <v>173</v>
      </c>
      <c r="C247" t="s">
        <v>172</v>
      </c>
      <c r="D247" t="s">
        <v>140</v>
      </c>
      <c r="E247" s="26">
        <v>44799</v>
      </c>
      <c r="F247" t="str">
        <f t="shared" si="3"/>
        <v>+992</v>
      </c>
      <c r="G247" t="str">
        <f>INDEX('коды стран'!$A$2:$A$7, MATCH(F247, 'коды стран'!$B$2:$B$7, 0))</f>
        <v>Таджикистан</v>
      </c>
      <c r="H247" t="s">
        <v>130</v>
      </c>
      <c r="I247" t="str">
        <f>LEFT(Таблица8[[#This Row],[ФИО]],(M247-1))</f>
        <v>Любосмысл</v>
      </c>
      <c r="J247" t="str">
        <f>MID(Таблица8[[#This Row],[ФИО]],M247,(N247-M247))</f>
        <v xml:space="preserve"> Тихонович</v>
      </c>
      <c r="K247" t="str">
        <f>RIGHT(Таблица8[[#This Row],[ФИО]],(O247-N247))</f>
        <v>Веселов</v>
      </c>
      <c r="M247" s="60">
        <f>FIND(" ",Таблица8[[#This Row],[ФИО]],2)</f>
        <v>10</v>
      </c>
      <c r="N247">
        <f>FIND(" ",Таблица8[[#This Row],[ФИО]],(M247+1))</f>
        <v>20</v>
      </c>
      <c r="O247">
        <f>LEN(Таблица8[[#This Row],[ФИО]])</f>
        <v>27</v>
      </c>
      <c r="Q247" s="60" t="str">
        <f>LEFT(Таблица8[[#This Row],[ФИО]],(M247-1))</f>
        <v>Любосмысл</v>
      </c>
      <c r="R247" t="s">
        <v>1284</v>
      </c>
      <c r="S247" t="s">
        <v>1578</v>
      </c>
    </row>
    <row r="248" spans="1:19" x14ac:dyDescent="0.25">
      <c r="A248" s="51">
        <v>433</v>
      </c>
      <c r="B248" t="s">
        <v>163</v>
      </c>
      <c r="C248" t="s">
        <v>162</v>
      </c>
      <c r="D248" t="s">
        <v>143</v>
      </c>
      <c r="E248" s="26">
        <v>44832</v>
      </c>
      <c r="F248" t="str">
        <f t="shared" si="3"/>
        <v>+992</v>
      </c>
      <c r="G248" t="str">
        <f>INDEX('коды стран'!$A$2:$A$7, MATCH(F248, 'коды стран'!$B$2:$B$7, 0))</f>
        <v>Таджикистан</v>
      </c>
      <c r="H248" t="s">
        <v>130</v>
      </c>
      <c r="I248" t="str">
        <f>LEFT(Таблица8[[#This Row],[ФИО]],(M248-1))</f>
        <v>Людмила</v>
      </c>
      <c r="J248" t="str">
        <f>MID(Таблица8[[#This Row],[ФИО]],M248,(N248-M248))</f>
        <v xml:space="preserve"> Борисовна</v>
      </c>
      <c r="K248" t="str">
        <f>RIGHT(Таблица8[[#This Row],[ФИО]],(O248-N248))</f>
        <v>Иванова</v>
      </c>
      <c r="M248" s="59">
        <f>FIND(" ",Таблица8[[#This Row],[ФИО]],2)</f>
        <v>8</v>
      </c>
      <c r="N248">
        <f>FIND(" ",Таблица8[[#This Row],[ФИО]],(M248+1))</f>
        <v>18</v>
      </c>
      <c r="O248">
        <f>LEN(Таблица8[[#This Row],[ФИО]])</f>
        <v>25</v>
      </c>
      <c r="Q248" s="59" t="str">
        <f>LEFT(Таблица8[[#This Row],[ФИО]],(M248-1))</f>
        <v>Людмила</v>
      </c>
      <c r="R248" t="s">
        <v>1230</v>
      </c>
      <c r="S248" t="s">
        <v>1429</v>
      </c>
    </row>
    <row r="249" spans="1:19" x14ac:dyDescent="0.25">
      <c r="A249" s="51">
        <v>112</v>
      </c>
      <c r="B249" t="s">
        <v>955</v>
      </c>
      <c r="C249" t="s">
        <v>954</v>
      </c>
      <c r="D249" t="s">
        <v>140</v>
      </c>
      <c r="E249" s="26">
        <v>44652</v>
      </c>
      <c r="F249" t="str">
        <f t="shared" si="3"/>
        <v>+7</v>
      </c>
      <c r="G249" t="str">
        <f>INDEX('коды стран'!$A$2:$A$7, MATCH(F249, 'коды стран'!$B$2:$B$7, 0))</f>
        <v>Россия</v>
      </c>
      <c r="H249" t="s">
        <v>137</v>
      </c>
      <c r="I249" t="str">
        <f>LEFT(Таблица8[[#This Row],[ФИО]],(M249-1))</f>
        <v>Майя</v>
      </c>
      <c r="J249" t="str">
        <f>MID(Таблица8[[#This Row],[ФИО]],M249,(N249-M249))</f>
        <v xml:space="preserve"> Вадимовна</v>
      </c>
      <c r="K249" t="str">
        <f>RIGHT(Таблица8[[#This Row],[ФИО]],(O249-N249))</f>
        <v>Рябова</v>
      </c>
      <c r="M249" s="60">
        <f>FIND(" ",Таблица8[[#This Row],[ФИО]],2)</f>
        <v>5</v>
      </c>
      <c r="N249">
        <f>FIND(" ",Таблица8[[#This Row],[ФИО]],(M249+1))</f>
        <v>15</v>
      </c>
      <c r="O249">
        <f>LEN(Таблица8[[#This Row],[ФИО]])</f>
        <v>21</v>
      </c>
      <c r="Q249" s="60" t="str">
        <f>LEFT(Таблица8[[#This Row],[ФИО]],(M249-1))</f>
        <v>Майя</v>
      </c>
      <c r="R249" t="s">
        <v>1285</v>
      </c>
      <c r="S249" t="s">
        <v>1571</v>
      </c>
    </row>
    <row r="250" spans="1:19" x14ac:dyDescent="0.25">
      <c r="A250" s="51">
        <v>122</v>
      </c>
      <c r="B250" t="s">
        <v>315</v>
      </c>
      <c r="C250" t="s">
        <v>314</v>
      </c>
      <c r="D250" t="s">
        <v>140</v>
      </c>
      <c r="E250" s="26">
        <v>44683</v>
      </c>
      <c r="F250" t="str">
        <f t="shared" si="3"/>
        <v>+375</v>
      </c>
      <c r="G250" t="str">
        <f>INDEX('коды стран'!$A$2:$A$7, MATCH(F250, 'коды стран'!$B$2:$B$7, 0))</f>
        <v>Беларусь</v>
      </c>
      <c r="H250" t="s">
        <v>134</v>
      </c>
      <c r="I250" t="str">
        <f>LEFT(Таблица8[[#This Row],[ФИО]],(M250-1))</f>
        <v>Максим</v>
      </c>
      <c r="J250" t="str">
        <f>MID(Таблица8[[#This Row],[ФИО]],M250,(N250-M250))</f>
        <v xml:space="preserve"> Анатольевич</v>
      </c>
      <c r="K250" t="str">
        <f>RIGHT(Таблица8[[#This Row],[ФИО]],(O250-N250))</f>
        <v>Семенов</v>
      </c>
      <c r="M250" s="59">
        <f>FIND(" ",Таблица8[[#This Row],[ФИО]],2)</f>
        <v>7</v>
      </c>
      <c r="N250">
        <f>FIND(" ",Таблица8[[#This Row],[ФИО]],(M250+1))</f>
        <v>19</v>
      </c>
      <c r="O250">
        <f>LEN(Таблица8[[#This Row],[ФИО]])</f>
        <v>26</v>
      </c>
      <c r="Q250" s="59" t="str">
        <f>LEFT(Таблица8[[#This Row],[ФИО]],(M250-1))</f>
        <v>Максим</v>
      </c>
      <c r="R250" t="s">
        <v>1286</v>
      </c>
      <c r="S250" t="s">
        <v>1579</v>
      </c>
    </row>
    <row r="251" spans="1:19" x14ac:dyDescent="0.25">
      <c r="A251" s="51">
        <v>337</v>
      </c>
      <c r="B251" t="s">
        <v>675</v>
      </c>
      <c r="C251" t="s">
        <v>674</v>
      </c>
      <c r="D251" t="s">
        <v>143</v>
      </c>
      <c r="E251" s="26">
        <v>44875</v>
      </c>
      <c r="F251" t="str">
        <f t="shared" si="3"/>
        <v>+7</v>
      </c>
      <c r="G251" t="str">
        <f>INDEX('коды стран'!$A$2:$A$7, MATCH(F251, 'коды стран'!$B$2:$B$7, 0))</f>
        <v>Россия</v>
      </c>
      <c r="H251" t="s">
        <v>137</v>
      </c>
      <c r="I251" t="str">
        <f>LEFT(Таблица8[[#This Row],[ФИО]],(M251-1))</f>
        <v>Максимова</v>
      </c>
      <c r="J251" t="str">
        <f>MID(Таблица8[[#This Row],[ФИО]],M251,(N251-M251))</f>
        <v xml:space="preserve"> Евпраксия</v>
      </c>
      <c r="K251" t="str">
        <f>RIGHT(Таблица8[[#This Row],[ФИО]],(O251-N251))</f>
        <v>Ждановна</v>
      </c>
      <c r="M251" s="60">
        <f>FIND(" ",Таблица8[[#This Row],[ФИО]],2)</f>
        <v>10</v>
      </c>
      <c r="N251">
        <f>FIND(" ",Таблица8[[#This Row],[ФИО]],(M251+1))</f>
        <v>20</v>
      </c>
      <c r="O251">
        <f>LEN(Таблица8[[#This Row],[ФИО]])</f>
        <v>28</v>
      </c>
      <c r="Q251" s="60" t="str">
        <f>MID(Таблица8[[#This Row],[ФИО]],M251,(N251-M251))</f>
        <v xml:space="preserve"> Евпраксия</v>
      </c>
      <c r="R251" t="s">
        <v>1287</v>
      </c>
      <c r="S251" t="s">
        <v>1574</v>
      </c>
    </row>
    <row r="252" spans="1:19" x14ac:dyDescent="0.25">
      <c r="A252" s="51">
        <v>13</v>
      </c>
      <c r="B252" t="s">
        <v>575</v>
      </c>
      <c r="C252" t="s">
        <v>574</v>
      </c>
      <c r="D252" t="s">
        <v>140</v>
      </c>
      <c r="E252" s="26">
        <v>44724</v>
      </c>
      <c r="F252" t="str">
        <f t="shared" si="3"/>
        <v>+7</v>
      </c>
      <c r="G252" t="str">
        <f>INDEX('коды стран'!$A$2:$A$7, MATCH(F252, 'коды стран'!$B$2:$B$7, 0))</f>
        <v>Россия</v>
      </c>
      <c r="H252" t="s">
        <v>137</v>
      </c>
      <c r="I252" t="str">
        <f>LEFT(Таблица8[[#This Row],[ФИО]],(M252-1))</f>
        <v>Максимова</v>
      </c>
      <c r="J252" t="str">
        <f>MID(Таблица8[[#This Row],[ФИО]],M252,(N252-M252))</f>
        <v xml:space="preserve"> Елена</v>
      </c>
      <c r="K252" t="str">
        <f>RIGHT(Таблица8[[#This Row],[ФИО]],(O252-N252))</f>
        <v>Валериевна</v>
      </c>
      <c r="M252" s="59">
        <f>FIND(" ",Таблица8[[#This Row],[ФИО]],2)</f>
        <v>10</v>
      </c>
      <c r="N252">
        <f>FIND(" ",Таблица8[[#This Row],[ФИО]],(M252+1))</f>
        <v>16</v>
      </c>
      <c r="O252">
        <f>LEN(Таблица8[[#This Row],[ФИО]])</f>
        <v>26</v>
      </c>
      <c r="Q252" s="59" t="str">
        <f>MID(Таблица8[[#This Row],[ФИО]],M252,(N252-M252))</f>
        <v xml:space="preserve"> Елена</v>
      </c>
      <c r="R252" t="s">
        <v>1287</v>
      </c>
      <c r="S252" t="s">
        <v>1537</v>
      </c>
    </row>
    <row r="253" spans="1:19" x14ac:dyDescent="0.25">
      <c r="A253" s="51">
        <v>386</v>
      </c>
      <c r="B253" t="s">
        <v>773</v>
      </c>
      <c r="C253" t="s">
        <v>772</v>
      </c>
      <c r="D253" t="s">
        <v>143</v>
      </c>
      <c r="E253" s="26">
        <v>44734</v>
      </c>
      <c r="F253" t="str">
        <f t="shared" si="3"/>
        <v>+998</v>
      </c>
      <c r="G253" t="str">
        <f>INDEX('коды стран'!$A$2:$A$7, MATCH(F253, 'коды стран'!$B$2:$B$7, 0))</f>
        <v>Узбекистан</v>
      </c>
      <c r="H253" t="s">
        <v>132</v>
      </c>
      <c r="I253" t="str">
        <f>LEFT(Таблица8[[#This Row],[ФИО]],(M253-1))</f>
        <v>Маргарита</v>
      </c>
      <c r="J253" t="str">
        <f>MID(Таблица8[[#This Row],[ФИО]],M253,(N253-M253))</f>
        <v xml:space="preserve"> Ждановна</v>
      </c>
      <c r="K253" t="str">
        <f>RIGHT(Таблица8[[#This Row],[ФИО]],(O253-N253))</f>
        <v>Зуева</v>
      </c>
      <c r="M253" s="60">
        <f>FIND(" ",Таблица8[[#This Row],[ФИО]],2)</f>
        <v>10</v>
      </c>
      <c r="N253">
        <f>FIND(" ",Таблица8[[#This Row],[ФИО]],(M253+1))</f>
        <v>19</v>
      </c>
      <c r="O253">
        <f>LEN(Таблица8[[#This Row],[ФИО]])</f>
        <v>24</v>
      </c>
      <c r="Q253" s="60" t="str">
        <f>LEFT(Таблица8[[#This Row],[ФИО]],(M253-1))</f>
        <v>Маргарита</v>
      </c>
      <c r="R253" t="s">
        <v>1288</v>
      </c>
      <c r="S253" t="s">
        <v>1580</v>
      </c>
    </row>
    <row r="254" spans="1:19" x14ac:dyDescent="0.25">
      <c r="A254" s="51">
        <v>232</v>
      </c>
      <c r="B254" t="s">
        <v>451</v>
      </c>
      <c r="C254" t="s">
        <v>450</v>
      </c>
      <c r="D254" t="s">
        <v>143</v>
      </c>
      <c r="E254" s="26">
        <v>44923</v>
      </c>
      <c r="F254" t="str">
        <f t="shared" si="3"/>
        <v>+992</v>
      </c>
      <c r="G254" t="str">
        <f>INDEX('коды стран'!$A$2:$A$7, MATCH(F254, 'коды стран'!$B$2:$B$7, 0))</f>
        <v>Таджикистан</v>
      </c>
      <c r="H254" t="s">
        <v>130</v>
      </c>
      <c r="I254" t="str">
        <f>LEFT(Таблица8[[#This Row],[ФИО]],(M254-1))</f>
        <v>Мария</v>
      </c>
      <c r="J254" t="str">
        <f>MID(Таблица8[[#This Row],[ФИО]],M254,(N254-M254))</f>
        <v xml:space="preserve"> Анатольевна</v>
      </c>
      <c r="K254" t="str">
        <f>RIGHT(Таблица8[[#This Row],[ФИО]],(O254-N254))</f>
        <v>Смирнова</v>
      </c>
      <c r="M254" s="59">
        <f>FIND(" ",Таблица8[[#This Row],[ФИО]],2)</f>
        <v>6</v>
      </c>
      <c r="N254">
        <f>FIND(" ",Таблица8[[#This Row],[ФИО]],(M254+1))</f>
        <v>18</v>
      </c>
      <c r="O254">
        <f>LEN(Таблица8[[#This Row],[ФИО]])</f>
        <v>26</v>
      </c>
      <c r="Q254" s="59" t="str">
        <f>LEFT(Таблица8[[#This Row],[ФИО]],(M254-1))</f>
        <v>Мария</v>
      </c>
      <c r="R254" t="s">
        <v>1289</v>
      </c>
      <c r="S254" t="s">
        <v>1528</v>
      </c>
    </row>
    <row r="255" spans="1:19" x14ac:dyDescent="0.25">
      <c r="A255" s="51">
        <v>437</v>
      </c>
      <c r="B255" t="s">
        <v>765</v>
      </c>
      <c r="C255" t="s">
        <v>764</v>
      </c>
      <c r="D255" t="s">
        <v>140</v>
      </c>
      <c r="E255" s="26">
        <v>44576</v>
      </c>
      <c r="F255" t="str">
        <f t="shared" si="3"/>
        <v>+998</v>
      </c>
      <c r="G255" t="str">
        <f>INDEX('коды стран'!$A$2:$A$7, MATCH(F255, 'коды стран'!$B$2:$B$7, 0))</f>
        <v>Узбекистан</v>
      </c>
      <c r="H255" t="s">
        <v>132</v>
      </c>
      <c r="I255" t="str">
        <f>LEFT(Таблица8[[#This Row],[ФИО]],(M255-1))</f>
        <v>Мария</v>
      </c>
      <c r="J255" t="str">
        <f>MID(Таблица8[[#This Row],[ФИО]],M255,(N255-M255))</f>
        <v xml:space="preserve"> Кузьминична</v>
      </c>
      <c r="K255" t="str">
        <f>RIGHT(Таблица8[[#This Row],[ФИО]],(O255-N255))</f>
        <v>Борисова</v>
      </c>
      <c r="M255" s="60">
        <f>FIND(" ",Таблица8[[#This Row],[ФИО]],2)</f>
        <v>6</v>
      </c>
      <c r="N255">
        <f>FIND(" ",Таблица8[[#This Row],[ФИО]],(M255+1))</f>
        <v>18</v>
      </c>
      <c r="O255">
        <f>LEN(Таблица8[[#This Row],[ФИО]])</f>
        <v>26</v>
      </c>
      <c r="Q255" s="60" t="str">
        <f>LEFT(Таблица8[[#This Row],[ФИО]],(M255-1))</f>
        <v>Мария</v>
      </c>
      <c r="R255" t="s">
        <v>1290</v>
      </c>
      <c r="S255" t="s">
        <v>1555</v>
      </c>
    </row>
    <row r="256" spans="1:19" x14ac:dyDescent="0.25">
      <c r="A256" s="51">
        <v>159</v>
      </c>
      <c r="B256" t="s">
        <v>697</v>
      </c>
      <c r="C256" t="s">
        <v>696</v>
      </c>
      <c r="D256" t="s">
        <v>140</v>
      </c>
      <c r="E256" s="26">
        <v>44686</v>
      </c>
      <c r="F256" t="str">
        <f t="shared" si="3"/>
        <v>+998</v>
      </c>
      <c r="G256" t="str">
        <f>INDEX('коды стран'!$A$2:$A$7, MATCH(F256, 'коды стран'!$B$2:$B$7, 0))</f>
        <v>Узбекистан</v>
      </c>
      <c r="H256" t="s">
        <v>132</v>
      </c>
      <c r="I256" t="str">
        <f>LEFT(Таблица8[[#This Row],[ФИО]],(M256-1))</f>
        <v>Марк</v>
      </c>
      <c r="J256" t="str">
        <f>MID(Таблица8[[#This Row],[ФИО]],M256,(N256-M256))</f>
        <v xml:space="preserve"> Яковлевич</v>
      </c>
      <c r="K256" t="str">
        <f>RIGHT(Таблица8[[#This Row],[ФИО]],(O256-N256))</f>
        <v>Корнилов</v>
      </c>
      <c r="M256" s="59">
        <f>FIND(" ",Таблица8[[#This Row],[ФИО]],2)</f>
        <v>5</v>
      </c>
      <c r="N256">
        <f>FIND(" ",Таблица8[[#This Row],[ФИО]],(M256+1))</f>
        <v>15</v>
      </c>
      <c r="O256">
        <f>LEN(Таблица8[[#This Row],[ФИО]])</f>
        <v>23</v>
      </c>
      <c r="Q256" s="59" t="str">
        <f>LEFT(Таблица8[[#This Row],[ФИО]],(M256-1))</f>
        <v>Марк</v>
      </c>
      <c r="R256" t="s">
        <v>1258</v>
      </c>
      <c r="S256" t="s">
        <v>1581</v>
      </c>
    </row>
    <row r="257" spans="1:19" x14ac:dyDescent="0.25">
      <c r="A257" s="51">
        <v>319</v>
      </c>
      <c r="B257" t="s">
        <v>579</v>
      </c>
      <c r="C257" t="s">
        <v>578</v>
      </c>
      <c r="D257" t="s">
        <v>143</v>
      </c>
      <c r="E257" s="26">
        <v>44674</v>
      </c>
      <c r="F257" t="str">
        <f t="shared" si="3"/>
        <v>+998</v>
      </c>
      <c r="G257" t="str">
        <f>INDEX('коды стран'!$A$2:$A$7, MATCH(F257, 'коды стран'!$B$2:$B$7, 0))</f>
        <v>Узбекистан</v>
      </c>
      <c r="H257" t="s">
        <v>132</v>
      </c>
      <c r="I257" t="str">
        <f>LEFT(Таблица8[[#This Row],[ФИО]],(M257-1))</f>
        <v>Маркова</v>
      </c>
      <c r="J257" t="str">
        <f>MID(Таблица8[[#This Row],[ФИО]],M257,(N257-M257))</f>
        <v xml:space="preserve"> Василиса</v>
      </c>
      <c r="K257" t="str">
        <f>RIGHT(Таблица8[[#This Row],[ФИО]],(O257-N257))</f>
        <v>Юрьевна</v>
      </c>
      <c r="M257" s="60">
        <f>FIND(" ",Таблица8[[#This Row],[ФИО]],2)</f>
        <v>8</v>
      </c>
      <c r="N257">
        <f>FIND(" ",Таблица8[[#This Row],[ФИО]],(M257+1))</f>
        <v>17</v>
      </c>
      <c r="O257">
        <f>LEN(Таблица8[[#This Row],[ФИО]])</f>
        <v>24</v>
      </c>
      <c r="Q257" s="60" t="str">
        <f>MID(Таблица8[[#This Row],[ФИО]],M257,(N257-M257))</f>
        <v xml:space="preserve"> Василиса</v>
      </c>
      <c r="R257" t="s">
        <v>1291</v>
      </c>
      <c r="S257" t="s">
        <v>1545</v>
      </c>
    </row>
    <row r="258" spans="1:19" x14ac:dyDescent="0.25">
      <c r="A258" s="51">
        <v>158</v>
      </c>
      <c r="B258" t="s">
        <v>417</v>
      </c>
      <c r="C258" t="s">
        <v>416</v>
      </c>
      <c r="D258" t="s">
        <v>140</v>
      </c>
      <c r="E258" s="26">
        <v>44752</v>
      </c>
      <c r="F258" t="str">
        <f t="shared" ref="F258:F321" si="4">LEFT(B258,LEN(B258)-13)</f>
        <v>+998</v>
      </c>
      <c r="G258" t="str">
        <f>INDEX('коды стран'!$A$2:$A$7, MATCH(F258, 'коды стран'!$B$2:$B$7, 0))</f>
        <v>Узбекистан</v>
      </c>
      <c r="H258" t="s">
        <v>132</v>
      </c>
      <c r="I258" t="str">
        <f>LEFT(Таблица8[[#This Row],[ФИО]],(M258-1))</f>
        <v>Маркова</v>
      </c>
      <c r="J258" t="str">
        <f>MID(Таблица8[[#This Row],[ФИО]],M258,(N258-M258))</f>
        <v xml:space="preserve"> Ксения</v>
      </c>
      <c r="K258" t="str">
        <f>RIGHT(Таблица8[[#This Row],[ФИО]],(O258-N258))</f>
        <v>Максимовна</v>
      </c>
      <c r="M258" s="59">
        <f>FIND(" ",Таблица8[[#This Row],[ФИО]],2)</f>
        <v>8</v>
      </c>
      <c r="N258">
        <f>FIND(" ",Таблица8[[#This Row],[ФИО]],(M258+1))</f>
        <v>15</v>
      </c>
      <c r="O258">
        <f>LEN(Таблица8[[#This Row],[ФИО]])</f>
        <v>25</v>
      </c>
      <c r="Q258" s="59" t="str">
        <f>MID(Таблица8[[#This Row],[ФИО]],M258,(N258-M258))</f>
        <v xml:space="preserve"> Ксения</v>
      </c>
      <c r="R258" t="s">
        <v>1291</v>
      </c>
      <c r="S258" t="s">
        <v>1483</v>
      </c>
    </row>
    <row r="259" spans="1:19" x14ac:dyDescent="0.25">
      <c r="A259" s="51">
        <v>210</v>
      </c>
      <c r="B259" t="s">
        <v>367</v>
      </c>
      <c r="C259" t="s">
        <v>366</v>
      </c>
      <c r="D259" t="s">
        <v>140</v>
      </c>
      <c r="E259" s="26">
        <v>44602</v>
      </c>
      <c r="F259" t="str">
        <f t="shared" si="4"/>
        <v>+998</v>
      </c>
      <c r="G259" t="str">
        <f>INDEX('коды стран'!$A$2:$A$7, MATCH(F259, 'коды стран'!$B$2:$B$7, 0))</f>
        <v>Узбекистан</v>
      </c>
      <c r="H259" t="s">
        <v>132</v>
      </c>
      <c r="I259" t="str">
        <f>LEFT(Таблица8[[#This Row],[ФИО]],(M259-1))</f>
        <v>Мартын</v>
      </c>
      <c r="J259" t="str">
        <f>MID(Таблица8[[#This Row],[ФИО]],M259,(N259-M259))</f>
        <v xml:space="preserve"> Августович</v>
      </c>
      <c r="K259" t="str">
        <f>RIGHT(Таблица8[[#This Row],[ФИО]],(O259-N259))</f>
        <v>Баранов</v>
      </c>
      <c r="M259" s="60">
        <f>FIND(" ",Таблица8[[#This Row],[ФИО]],2)</f>
        <v>7</v>
      </c>
      <c r="N259">
        <f>FIND(" ",Таблица8[[#This Row],[ФИО]],(M259+1))</f>
        <v>18</v>
      </c>
      <c r="O259">
        <f>LEN(Таблица8[[#This Row],[ФИО]])</f>
        <v>25</v>
      </c>
      <c r="Q259" s="60" t="str">
        <f>LEFT(Таблица8[[#This Row],[ФИО]],(M259-1))</f>
        <v>Мартын</v>
      </c>
      <c r="R259" t="s">
        <v>1146</v>
      </c>
      <c r="S259" t="s">
        <v>1582</v>
      </c>
    </row>
    <row r="260" spans="1:19" x14ac:dyDescent="0.25">
      <c r="A260" s="51">
        <v>331</v>
      </c>
      <c r="B260" t="s">
        <v>247</v>
      </c>
      <c r="C260" t="s">
        <v>246</v>
      </c>
      <c r="D260" t="s">
        <v>140</v>
      </c>
      <c r="E260" s="26">
        <v>44813</v>
      </c>
      <c r="F260" t="str">
        <f t="shared" si="4"/>
        <v>+998</v>
      </c>
      <c r="G260" t="str">
        <f>INDEX('коды стран'!$A$2:$A$7, MATCH(F260, 'коды стран'!$B$2:$B$7, 0))</f>
        <v>Узбекистан</v>
      </c>
      <c r="H260" t="s">
        <v>132</v>
      </c>
      <c r="I260" t="str">
        <f>LEFT(Таблица8[[#This Row],[ФИО]],(M260-1))</f>
        <v>Мартынов</v>
      </c>
      <c r="J260" t="str">
        <f>MID(Таблица8[[#This Row],[ФИО]],M260,(N260-M260))</f>
        <v xml:space="preserve"> Фома</v>
      </c>
      <c r="K260" t="str">
        <f>RIGHT(Таблица8[[#This Row],[ФИО]],(O260-N260))</f>
        <v>Гордеевич</v>
      </c>
      <c r="M260" s="59">
        <f>FIND(" ",Таблица8[[#This Row],[ФИО]],2)</f>
        <v>9</v>
      </c>
      <c r="N260">
        <f>FIND(" ",Таблица8[[#This Row],[ФИО]],(M260+1))</f>
        <v>14</v>
      </c>
      <c r="O260">
        <f>LEN(Таблица8[[#This Row],[ФИО]])</f>
        <v>23</v>
      </c>
      <c r="Q260" s="59" t="str">
        <f>MID(Таблица8[[#This Row],[ФИО]],M260,(N260-M260))</f>
        <v xml:space="preserve"> Фома</v>
      </c>
      <c r="R260" t="s">
        <v>1292</v>
      </c>
      <c r="S260" t="s">
        <v>1583</v>
      </c>
    </row>
    <row r="261" spans="1:19" x14ac:dyDescent="0.25">
      <c r="A261" s="51">
        <v>445</v>
      </c>
      <c r="B261" t="s">
        <v>207</v>
      </c>
      <c r="C261" t="s">
        <v>206</v>
      </c>
      <c r="D261" t="s">
        <v>140</v>
      </c>
      <c r="E261" s="26">
        <v>44676</v>
      </c>
      <c r="F261" t="str">
        <f t="shared" si="4"/>
        <v>+7</v>
      </c>
      <c r="G261" t="str">
        <f>INDEX('коды стран'!$A$2:$A$7, MATCH(F261, 'коды стран'!$B$2:$B$7, 0))</f>
        <v>Россия</v>
      </c>
      <c r="H261" t="s">
        <v>137</v>
      </c>
      <c r="I261" t="str">
        <f>LEFT(Таблица8[[#This Row],[ФИО]],(M261-1))</f>
        <v>Марфа</v>
      </c>
      <c r="J261" t="str">
        <f>MID(Таблица8[[#This Row],[ФИО]],M261,(N261-M261))</f>
        <v xml:space="preserve"> Архиповна</v>
      </c>
      <c r="K261" t="str">
        <f>RIGHT(Таблица8[[#This Row],[ФИО]],(O261-N261))</f>
        <v>Белоусова</v>
      </c>
      <c r="M261" s="60">
        <f>FIND(" ",Таблица8[[#This Row],[ФИО]],2)</f>
        <v>6</v>
      </c>
      <c r="N261">
        <f>FIND(" ",Таблица8[[#This Row],[ФИО]],(M261+1))</f>
        <v>16</v>
      </c>
      <c r="O261">
        <f>LEN(Таблица8[[#This Row],[ФИО]])</f>
        <v>25</v>
      </c>
      <c r="Q261" s="60" t="str">
        <f>LEFT(Таблица8[[#This Row],[ФИО]],(M261-1))</f>
        <v>Марфа</v>
      </c>
      <c r="R261" t="s">
        <v>1150</v>
      </c>
      <c r="S261" t="s">
        <v>1411</v>
      </c>
    </row>
    <row r="262" spans="1:19" x14ac:dyDescent="0.25">
      <c r="A262" s="51">
        <v>133</v>
      </c>
      <c r="B262" t="s">
        <v>341</v>
      </c>
      <c r="C262" t="s">
        <v>340</v>
      </c>
      <c r="D262" t="s">
        <v>140</v>
      </c>
      <c r="E262" s="26">
        <v>44588</v>
      </c>
      <c r="F262" t="str">
        <f t="shared" si="4"/>
        <v>+998</v>
      </c>
      <c r="G262" t="str">
        <f>INDEX('коды стран'!$A$2:$A$7, MATCH(F262, 'коды стран'!$B$2:$B$7, 0))</f>
        <v>Узбекистан</v>
      </c>
      <c r="H262" t="s">
        <v>132</v>
      </c>
      <c r="I262" t="str">
        <f>LEFT(Таблица8[[#This Row],[ФИО]],(M262-1))</f>
        <v>Марфа</v>
      </c>
      <c r="J262" t="str">
        <f>MID(Таблица8[[#This Row],[ФИО]],M262,(N262-M262))</f>
        <v xml:space="preserve"> Георгиевна</v>
      </c>
      <c r="K262" t="str">
        <f>RIGHT(Таблица8[[#This Row],[ФИО]],(O262-N262))</f>
        <v>Титова</v>
      </c>
      <c r="M262" s="59">
        <f>FIND(" ",Таблица8[[#This Row],[ФИО]],2)</f>
        <v>6</v>
      </c>
      <c r="N262">
        <f>FIND(" ",Таблица8[[#This Row],[ФИО]],(M262+1))</f>
        <v>17</v>
      </c>
      <c r="O262">
        <f>LEN(Таблица8[[#This Row],[ФИО]])</f>
        <v>23</v>
      </c>
      <c r="Q262" s="59" t="str">
        <f>LEFT(Таблица8[[#This Row],[ФИО]],(M262-1))</f>
        <v>Марфа</v>
      </c>
      <c r="R262" t="s">
        <v>1293</v>
      </c>
      <c r="S262" t="s">
        <v>1460</v>
      </c>
    </row>
    <row r="263" spans="1:19" x14ac:dyDescent="0.25">
      <c r="A263" s="51">
        <v>243</v>
      </c>
      <c r="B263" t="s">
        <v>283</v>
      </c>
      <c r="C263" t="s">
        <v>282</v>
      </c>
      <c r="D263" t="s">
        <v>140</v>
      </c>
      <c r="E263" s="26">
        <v>44681</v>
      </c>
      <c r="F263" t="str">
        <f t="shared" si="4"/>
        <v>+7</v>
      </c>
      <c r="G263" t="str">
        <f>INDEX('коды стран'!$A$2:$A$7, MATCH(F263, 'коды стран'!$B$2:$B$7, 0))</f>
        <v>Россия</v>
      </c>
      <c r="H263" t="s">
        <v>137</v>
      </c>
      <c r="I263" t="str">
        <f>LEFT(Таблица8[[#This Row],[ФИО]],(M263-1))</f>
        <v>Марфа</v>
      </c>
      <c r="J263" t="str">
        <f>MID(Таблица8[[#This Row],[ФИО]],M263,(N263-M263))</f>
        <v xml:space="preserve"> Эдуардовна</v>
      </c>
      <c r="K263" t="str">
        <f>RIGHT(Таблица8[[#This Row],[ФИО]],(O263-N263))</f>
        <v>Макарова</v>
      </c>
      <c r="M263" s="60">
        <f>FIND(" ",Таблица8[[#This Row],[ФИО]],2)</f>
        <v>6</v>
      </c>
      <c r="N263">
        <f>FIND(" ",Таблица8[[#This Row],[ФИО]],(M263+1))</f>
        <v>17</v>
      </c>
      <c r="O263">
        <f>LEN(Таблица8[[#This Row],[ФИО]])</f>
        <v>25</v>
      </c>
      <c r="Q263" s="60" t="str">
        <f>LEFT(Таблица8[[#This Row],[ФИО]],(M263-1))</f>
        <v>Марфа</v>
      </c>
      <c r="R263" t="s">
        <v>1294</v>
      </c>
      <c r="S263" t="s">
        <v>1499</v>
      </c>
    </row>
    <row r="264" spans="1:19" x14ac:dyDescent="0.25">
      <c r="A264" s="51">
        <v>143</v>
      </c>
      <c r="B264" t="s">
        <v>351</v>
      </c>
      <c r="C264" t="s">
        <v>350</v>
      </c>
      <c r="D264" t="s">
        <v>140</v>
      </c>
      <c r="E264" s="26">
        <v>44601</v>
      </c>
      <c r="F264" t="str">
        <f t="shared" si="4"/>
        <v>+7</v>
      </c>
      <c r="G264" t="str">
        <f>INDEX('коды стран'!$A$2:$A$7, MATCH(F264, 'коды стран'!$B$2:$B$7, 0))</f>
        <v>Россия</v>
      </c>
      <c r="H264" t="s">
        <v>137</v>
      </c>
      <c r="I264" t="str">
        <f>LEFT(Таблица8[[#This Row],[ФИО]],(M264-1))</f>
        <v>Маслов</v>
      </c>
      <c r="J264" t="str">
        <f>MID(Таблица8[[#This Row],[ФИО]],M264,(N264-M264))</f>
        <v xml:space="preserve"> Захар</v>
      </c>
      <c r="K264" t="str">
        <f>RIGHT(Таблица8[[#This Row],[ФИО]],(O264-N264))</f>
        <v>Феофанович</v>
      </c>
      <c r="M264" s="59">
        <f>FIND(" ",Таблица8[[#This Row],[ФИО]],2)</f>
        <v>7</v>
      </c>
      <c r="N264">
        <f>FIND(" ",Таблица8[[#This Row],[ФИО]],(M264+1))</f>
        <v>13</v>
      </c>
      <c r="O264">
        <f>LEN(Таблица8[[#This Row],[ФИО]])</f>
        <v>23</v>
      </c>
      <c r="Q264" s="59" t="str">
        <f>MID(Таблица8[[#This Row],[ФИО]],M264,(N264-M264))</f>
        <v xml:space="preserve"> Захар</v>
      </c>
      <c r="R264" t="s">
        <v>1295</v>
      </c>
      <c r="S264" t="s">
        <v>1584</v>
      </c>
    </row>
    <row r="265" spans="1:19" x14ac:dyDescent="0.25">
      <c r="A265" s="51">
        <v>153</v>
      </c>
      <c r="B265" t="s">
        <v>735</v>
      </c>
      <c r="C265" t="s">
        <v>734</v>
      </c>
      <c r="D265" t="s">
        <v>140</v>
      </c>
      <c r="E265" s="26">
        <v>44802</v>
      </c>
      <c r="F265" t="str">
        <f t="shared" si="4"/>
        <v>+7</v>
      </c>
      <c r="G265" t="str">
        <f>INDEX('коды стран'!$A$2:$A$7, MATCH(F265, 'коды стран'!$B$2:$B$7, 0))</f>
        <v>Россия</v>
      </c>
      <c r="H265" t="s">
        <v>137</v>
      </c>
      <c r="I265" t="str">
        <f>LEFT(Таблица8[[#This Row],[ФИО]],(M265-1))</f>
        <v>Маслов</v>
      </c>
      <c r="J265" t="str">
        <f>MID(Таблица8[[#This Row],[ФИО]],M265,(N265-M265))</f>
        <v xml:space="preserve"> Сократ</v>
      </c>
      <c r="K265" t="str">
        <f>RIGHT(Таблица8[[#This Row],[ФИО]],(O265-N265))</f>
        <v>Анатольевич</v>
      </c>
      <c r="M265" s="60">
        <f>FIND(" ",Таблица8[[#This Row],[ФИО]],2)</f>
        <v>7</v>
      </c>
      <c r="N265">
        <f>FIND(" ",Таблица8[[#This Row],[ФИО]],(M265+1))</f>
        <v>14</v>
      </c>
      <c r="O265">
        <f>LEN(Таблица8[[#This Row],[ФИО]])</f>
        <v>25</v>
      </c>
      <c r="Q265" s="60" t="str">
        <f>MID(Таблица8[[#This Row],[ФИО]],M265,(N265-M265))</f>
        <v xml:space="preserve"> Сократ</v>
      </c>
      <c r="R265" t="s">
        <v>1295</v>
      </c>
      <c r="S265" t="s">
        <v>1470</v>
      </c>
    </row>
    <row r="266" spans="1:19" x14ac:dyDescent="0.25">
      <c r="A266" s="51">
        <v>329</v>
      </c>
      <c r="B266" t="s">
        <v>671</v>
      </c>
      <c r="C266" t="s">
        <v>670</v>
      </c>
      <c r="D266" t="s">
        <v>143</v>
      </c>
      <c r="E266" s="26">
        <v>44653</v>
      </c>
      <c r="F266" t="str">
        <f t="shared" si="4"/>
        <v>+375</v>
      </c>
      <c r="G266" t="str">
        <f>INDEX('коды стран'!$A$2:$A$7, MATCH(F266, 'коды стран'!$B$2:$B$7, 0))</f>
        <v>Беларусь</v>
      </c>
      <c r="H266" t="s">
        <v>134</v>
      </c>
      <c r="I266" t="str">
        <f>LEFT(Таблица8[[#This Row],[ФИО]],(M266-1))</f>
        <v>Маслова</v>
      </c>
      <c r="J266" t="str">
        <f>MID(Таблица8[[#This Row],[ФИО]],M266,(N266-M266))</f>
        <v xml:space="preserve"> Агафья</v>
      </c>
      <c r="K266" t="str">
        <f>RIGHT(Таблица8[[#This Row],[ФИО]],(O266-N266))</f>
        <v>Юрьевна</v>
      </c>
      <c r="M266" s="59">
        <f>FIND(" ",Таблица8[[#This Row],[ФИО]],2)</f>
        <v>8</v>
      </c>
      <c r="N266">
        <f>FIND(" ",Таблица8[[#This Row],[ФИО]],(M266+1))</f>
        <v>15</v>
      </c>
      <c r="O266">
        <f>LEN(Таблица8[[#This Row],[ФИО]])</f>
        <v>22</v>
      </c>
      <c r="Q266" s="59" t="str">
        <f>MID(Таблица8[[#This Row],[ФИО]],M266,(N266-M266))</f>
        <v xml:space="preserve"> Агафья</v>
      </c>
      <c r="R266" t="s">
        <v>1296</v>
      </c>
      <c r="S266" t="s">
        <v>1545</v>
      </c>
    </row>
    <row r="267" spans="1:19" x14ac:dyDescent="0.25">
      <c r="A267" s="51">
        <v>444</v>
      </c>
      <c r="B267" t="s">
        <v>343</v>
      </c>
      <c r="C267" t="s">
        <v>342</v>
      </c>
      <c r="D267" t="s">
        <v>143</v>
      </c>
      <c r="E267" s="26">
        <v>44688</v>
      </c>
      <c r="F267" t="str">
        <f t="shared" si="4"/>
        <v>+7</v>
      </c>
      <c r="G267" t="str">
        <f>INDEX('коды стран'!$A$2:$A$7, MATCH(F267, 'коды стран'!$B$2:$B$7, 0))</f>
        <v>Россия</v>
      </c>
      <c r="H267" t="s">
        <v>137</v>
      </c>
      <c r="I267" t="str">
        <f>LEFT(Таблица8[[#This Row],[ФИО]],(M267-1))</f>
        <v>Маслова</v>
      </c>
      <c r="J267" t="str">
        <f>MID(Таблица8[[#This Row],[ФИО]],M267,(N267-M267))</f>
        <v xml:space="preserve"> Анастасия</v>
      </c>
      <c r="K267" t="str">
        <f>RIGHT(Таблица8[[#This Row],[ФИО]],(O267-N267))</f>
        <v>Станиславовна</v>
      </c>
      <c r="M267" s="60">
        <f>FIND(" ",Таблица8[[#This Row],[ФИО]],2)</f>
        <v>8</v>
      </c>
      <c r="N267">
        <f>FIND(" ",Таблица8[[#This Row],[ФИО]],(M267+1))</f>
        <v>18</v>
      </c>
      <c r="O267">
        <f>LEN(Таблица8[[#This Row],[ФИО]])</f>
        <v>31</v>
      </c>
      <c r="Q267" s="60" t="str">
        <f>MID(Таблица8[[#This Row],[ФИО]],M267,(N267-M267))</f>
        <v xml:space="preserve"> Анастасия</v>
      </c>
      <c r="R267" t="s">
        <v>1296</v>
      </c>
      <c r="S267" t="s">
        <v>1585</v>
      </c>
    </row>
    <row r="268" spans="1:19" x14ac:dyDescent="0.25">
      <c r="A268" s="51">
        <v>78</v>
      </c>
      <c r="B268" t="s">
        <v>527</v>
      </c>
      <c r="C268" t="s">
        <v>526</v>
      </c>
      <c r="D268" t="s">
        <v>143</v>
      </c>
      <c r="E268" s="26">
        <v>44658</v>
      </c>
      <c r="F268" t="str">
        <f t="shared" si="4"/>
        <v>+380</v>
      </c>
      <c r="G268" t="str">
        <f>INDEX('коды стран'!$A$2:$A$7, MATCH(F268, 'коды стран'!$B$2:$B$7, 0))</f>
        <v>Украина</v>
      </c>
      <c r="H268" t="s">
        <v>128</v>
      </c>
      <c r="I268" t="str">
        <f>LEFT(Таблица8[[#This Row],[ФИО]],(M268-1))</f>
        <v>Маслова</v>
      </c>
      <c r="J268" t="str">
        <f>MID(Таблица8[[#This Row],[ФИО]],M268,(N268-M268))</f>
        <v xml:space="preserve"> Иванна</v>
      </c>
      <c r="K268" t="str">
        <f>RIGHT(Таблица8[[#This Row],[ФИО]],(O268-N268))</f>
        <v>Макаровна</v>
      </c>
      <c r="M268" s="59">
        <f>FIND(" ",Таблица8[[#This Row],[ФИО]],2)</f>
        <v>8</v>
      </c>
      <c r="N268">
        <f>FIND(" ",Таблица8[[#This Row],[ФИО]],(M268+1))</f>
        <v>15</v>
      </c>
      <c r="O268">
        <f>LEN(Таблица8[[#This Row],[ФИО]])</f>
        <v>24</v>
      </c>
      <c r="Q268" s="59" t="str">
        <f>MID(Таблица8[[#This Row],[ФИО]],M268,(N268-M268))</f>
        <v xml:space="preserve"> Иванна</v>
      </c>
      <c r="R268" t="s">
        <v>1296</v>
      </c>
      <c r="S268" t="s">
        <v>1586</v>
      </c>
    </row>
    <row r="269" spans="1:19" x14ac:dyDescent="0.25">
      <c r="A269" s="51">
        <v>191</v>
      </c>
      <c r="B269" t="s">
        <v>553</v>
      </c>
      <c r="C269" t="s">
        <v>552</v>
      </c>
      <c r="D269" t="s">
        <v>143</v>
      </c>
      <c r="E269" s="26">
        <v>44866</v>
      </c>
      <c r="F269" t="str">
        <f t="shared" si="4"/>
        <v>+380</v>
      </c>
      <c r="G269" t="str">
        <f>INDEX('коды стран'!$A$2:$A$7, MATCH(F269, 'коды стран'!$B$2:$B$7, 0))</f>
        <v>Украина</v>
      </c>
      <c r="H269" t="s">
        <v>128</v>
      </c>
      <c r="I269" t="str">
        <f>LEFT(Таблица8[[#This Row],[ФИО]],(M269-1))</f>
        <v>Матвей</v>
      </c>
      <c r="J269" t="str">
        <f>MID(Таблица8[[#This Row],[ФИО]],M269,(N269-M269))</f>
        <v xml:space="preserve"> Адамович</v>
      </c>
      <c r="K269" t="str">
        <f>RIGHT(Таблица8[[#This Row],[ФИО]],(O269-N269))</f>
        <v>Богданов</v>
      </c>
      <c r="M269" s="60">
        <f>FIND(" ",Таблица8[[#This Row],[ФИО]],2)</f>
        <v>7</v>
      </c>
      <c r="N269">
        <f>FIND(" ",Таблица8[[#This Row],[ФИО]],(M269+1))</f>
        <v>16</v>
      </c>
      <c r="O269">
        <f>LEN(Таблица8[[#This Row],[ФИО]])</f>
        <v>24</v>
      </c>
      <c r="Q269" s="60" t="str">
        <f>LEFT(Таблица8[[#This Row],[ФИО]],(M269-1))</f>
        <v>Матвей</v>
      </c>
      <c r="R269" t="s">
        <v>1297</v>
      </c>
      <c r="S269" t="s">
        <v>1587</v>
      </c>
    </row>
    <row r="270" spans="1:19" x14ac:dyDescent="0.25">
      <c r="A270" s="51">
        <v>71</v>
      </c>
      <c r="B270" t="s">
        <v>833</v>
      </c>
      <c r="C270" t="s">
        <v>832</v>
      </c>
      <c r="D270" t="s">
        <v>143</v>
      </c>
      <c r="E270" s="26">
        <v>44762</v>
      </c>
      <c r="F270" t="str">
        <f t="shared" si="4"/>
        <v>+380</v>
      </c>
      <c r="G270" t="str">
        <f>INDEX('коды стран'!$A$2:$A$7, MATCH(F270, 'коды стран'!$B$2:$B$7, 0))</f>
        <v>Украина</v>
      </c>
      <c r="H270" t="s">
        <v>128</v>
      </c>
      <c r="I270" t="str">
        <f>LEFT(Таблица8[[#This Row],[ФИО]],(M270-1))</f>
        <v>Медведева</v>
      </c>
      <c r="J270" t="str">
        <f>MID(Таблица8[[#This Row],[ФИО]],M270,(N270-M270))</f>
        <v xml:space="preserve"> Алина</v>
      </c>
      <c r="K270" t="str">
        <f>RIGHT(Таблица8[[#This Row],[ФИО]],(O270-N270))</f>
        <v>Алексеевна</v>
      </c>
      <c r="M270" s="59">
        <f>FIND(" ",Таблица8[[#This Row],[ФИО]],2)</f>
        <v>10</v>
      </c>
      <c r="N270">
        <f>FIND(" ",Таблица8[[#This Row],[ФИО]],(M270+1))</f>
        <v>16</v>
      </c>
      <c r="O270">
        <f>LEN(Таблица8[[#This Row],[ФИО]])</f>
        <v>26</v>
      </c>
      <c r="Q270" s="59" t="str">
        <f>MID(Таблица8[[#This Row],[ФИО]],M270,(N270-M270))</f>
        <v xml:space="preserve"> Алина</v>
      </c>
      <c r="R270" t="s">
        <v>1134</v>
      </c>
      <c r="S270" t="s">
        <v>1588</v>
      </c>
    </row>
    <row r="271" spans="1:19" x14ac:dyDescent="0.25">
      <c r="A271" s="51">
        <v>248</v>
      </c>
      <c r="B271" t="s">
        <v>225</v>
      </c>
      <c r="C271" t="s">
        <v>224</v>
      </c>
      <c r="D271" t="s">
        <v>140</v>
      </c>
      <c r="E271" s="26">
        <v>44694</v>
      </c>
      <c r="F271" t="str">
        <f t="shared" si="4"/>
        <v>+7</v>
      </c>
      <c r="G271" t="str">
        <f>INDEX('коды стран'!$A$2:$A$7, MATCH(F271, 'коды стран'!$B$2:$B$7, 0))</f>
        <v>Россия</v>
      </c>
      <c r="H271" t="s">
        <v>137</v>
      </c>
      <c r="I271" t="str">
        <f>LEFT(Таблица8[[#This Row],[ФИО]],(M271-1))</f>
        <v>Меркушева</v>
      </c>
      <c r="J271" t="str">
        <f>MID(Таблица8[[#This Row],[ФИО]],M271,(N271-M271))</f>
        <v xml:space="preserve"> Марина</v>
      </c>
      <c r="K271" t="str">
        <f>RIGHT(Таблица8[[#This Row],[ФИО]],(O271-N271))</f>
        <v>Наумовна</v>
      </c>
      <c r="M271" s="60">
        <f>FIND(" ",Таблица8[[#This Row],[ФИО]],2)</f>
        <v>10</v>
      </c>
      <c r="N271">
        <f>FIND(" ",Таблица8[[#This Row],[ФИО]],(M271+1))</f>
        <v>17</v>
      </c>
      <c r="O271">
        <f>LEN(Таблица8[[#This Row],[ФИО]])</f>
        <v>25</v>
      </c>
      <c r="Q271" s="60" t="str">
        <f>MID(Таблица8[[#This Row],[ФИО]],M271,(N271-M271))</f>
        <v xml:space="preserve"> Марина</v>
      </c>
      <c r="R271" t="s">
        <v>1298</v>
      </c>
      <c r="S271" t="s">
        <v>1589</v>
      </c>
    </row>
    <row r="272" spans="1:19" x14ac:dyDescent="0.25">
      <c r="A272" s="51">
        <v>495</v>
      </c>
      <c r="B272" t="s">
        <v>989</v>
      </c>
      <c r="C272" t="s">
        <v>988</v>
      </c>
      <c r="D272" t="s">
        <v>143</v>
      </c>
      <c r="E272" s="26">
        <v>44654</v>
      </c>
      <c r="F272" t="str">
        <f t="shared" si="4"/>
        <v>+998</v>
      </c>
      <c r="G272" t="str">
        <f>INDEX('коды стран'!$A$2:$A$7, MATCH(F272, 'коды стран'!$B$2:$B$7, 0))</f>
        <v>Узбекистан</v>
      </c>
      <c r="H272" t="s">
        <v>132</v>
      </c>
      <c r="I272" t="str">
        <f>LEFT(Таблица8[[#This Row],[ФИО]],(M272-1))</f>
        <v>Мефодий</v>
      </c>
      <c r="J272" t="str">
        <f>MID(Таблица8[[#This Row],[ФИО]],M272,(N272-M272))</f>
        <v xml:space="preserve"> Филиппович</v>
      </c>
      <c r="K272" t="str">
        <f>RIGHT(Таблица8[[#This Row],[ФИО]],(O272-N272))</f>
        <v>Воробьев</v>
      </c>
      <c r="M272" s="59">
        <f>FIND(" ",Таблица8[[#This Row],[ФИО]],2)</f>
        <v>8</v>
      </c>
      <c r="N272">
        <f>FIND(" ",Таблица8[[#This Row],[ФИО]],(M272+1))</f>
        <v>19</v>
      </c>
      <c r="O272">
        <f>LEN(Таблица8[[#This Row],[ФИО]])</f>
        <v>27</v>
      </c>
      <c r="Q272" s="59" t="str">
        <f>LEFT(Таблица8[[#This Row],[ФИО]],(M272-1))</f>
        <v>Мефодий</v>
      </c>
      <c r="R272" t="s">
        <v>1225</v>
      </c>
      <c r="S272" t="s">
        <v>1590</v>
      </c>
    </row>
    <row r="273" spans="1:19" x14ac:dyDescent="0.25">
      <c r="A273" s="51">
        <v>117</v>
      </c>
      <c r="B273" t="s">
        <v>547</v>
      </c>
      <c r="C273" t="s">
        <v>546</v>
      </c>
      <c r="D273" t="s">
        <v>143</v>
      </c>
      <c r="E273" s="26">
        <v>44706</v>
      </c>
      <c r="F273" t="str">
        <f t="shared" si="4"/>
        <v>+380</v>
      </c>
      <c r="G273" t="str">
        <f>INDEX('коды стран'!$A$2:$A$7, MATCH(F273, 'коды стран'!$B$2:$B$7, 0))</f>
        <v>Украина</v>
      </c>
      <c r="H273" t="s">
        <v>128</v>
      </c>
      <c r="I273" t="str">
        <f>LEFT(Таблица8[[#This Row],[ФИО]],(M273-1))</f>
        <v>Мирон</v>
      </c>
      <c r="J273" t="str">
        <f>MID(Таблица8[[#This Row],[ФИО]],M273,(N273-M273))</f>
        <v xml:space="preserve"> Давидович</v>
      </c>
      <c r="K273" t="str">
        <f>RIGHT(Таблица8[[#This Row],[ФИО]],(O273-N273))</f>
        <v>Горбачев</v>
      </c>
      <c r="M273" s="60">
        <f>FIND(" ",Таблица8[[#This Row],[ФИО]],2)</f>
        <v>6</v>
      </c>
      <c r="N273">
        <f>FIND(" ",Таблица8[[#This Row],[ФИО]],(M273+1))</f>
        <v>16</v>
      </c>
      <c r="O273">
        <f>LEN(Таблица8[[#This Row],[ФИО]])</f>
        <v>24</v>
      </c>
      <c r="Q273" s="60" t="str">
        <f>LEFT(Таблица8[[#This Row],[ФИО]],(M273-1))</f>
        <v>Мирон</v>
      </c>
      <c r="R273" t="s">
        <v>1299</v>
      </c>
      <c r="S273" t="s">
        <v>1591</v>
      </c>
    </row>
    <row r="274" spans="1:19" x14ac:dyDescent="0.25">
      <c r="A274" s="51">
        <v>436</v>
      </c>
      <c r="B274" t="s">
        <v>687</v>
      </c>
      <c r="C274" t="s">
        <v>686</v>
      </c>
      <c r="D274" t="s">
        <v>140</v>
      </c>
      <c r="E274" s="26">
        <v>44683</v>
      </c>
      <c r="F274" t="str">
        <f t="shared" si="4"/>
        <v>+7</v>
      </c>
      <c r="G274" t="str">
        <f>INDEX('коды стран'!$A$2:$A$7, MATCH(F274, 'коды стран'!$B$2:$B$7, 0))</f>
        <v>Россия</v>
      </c>
      <c r="H274" t="s">
        <v>137</v>
      </c>
      <c r="I274" t="str">
        <f>LEFT(Таблица8[[#This Row],[ФИО]],(M274-1))</f>
        <v>Миронов</v>
      </c>
      <c r="J274" t="str">
        <f>MID(Таблица8[[#This Row],[ФИО]],M274,(N274-M274))</f>
        <v xml:space="preserve"> Аверкий</v>
      </c>
      <c r="K274" t="str">
        <f>RIGHT(Таблица8[[#This Row],[ФИО]],(O274-N274))</f>
        <v>Зиновьевич</v>
      </c>
      <c r="M274" s="59">
        <f>FIND(" ",Таблица8[[#This Row],[ФИО]],2)</f>
        <v>8</v>
      </c>
      <c r="N274">
        <f>FIND(" ",Таблица8[[#This Row],[ФИО]],(M274+1))</f>
        <v>16</v>
      </c>
      <c r="O274">
        <f>LEN(Таблица8[[#This Row],[ФИО]])</f>
        <v>26</v>
      </c>
      <c r="Q274" s="59" t="str">
        <f>MID(Таблица8[[#This Row],[ФИО]],M274,(N274-M274))</f>
        <v xml:space="preserve"> Аверкий</v>
      </c>
      <c r="R274" t="s">
        <v>1300</v>
      </c>
      <c r="S274" t="s">
        <v>1592</v>
      </c>
    </row>
    <row r="275" spans="1:19" x14ac:dyDescent="0.25">
      <c r="A275" s="51">
        <v>360</v>
      </c>
      <c r="B275" t="s">
        <v>239</v>
      </c>
      <c r="C275" t="s">
        <v>238</v>
      </c>
      <c r="D275" t="s">
        <v>140</v>
      </c>
      <c r="E275" s="26">
        <v>44728</v>
      </c>
      <c r="F275" t="str">
        <f t="shared" si="4"/>
        <v>+375</v>
      </c>
      <c r="G275" t="str">
        <f>INDEX('коды стран'!$A$2:$A$7, MATCH(F275, 'коды стран'!$B$2:$B$7, 0))</f>
        <v>Беларусь</v>
      </c>
      <c r="H275" t="s">
        <v>134</v>
      </c>
      <c r="I275" t="str">
        <f>LEFT(Таблица8[[#This Row],[ФИО]],(M275-1))</f>
        <v>Миронов</v>
      </c>
      <c r="J275" t="str">
        <f>MID(Таблица8[[#This Row],[ФИО]],M275,(N275-M275))</f>
        <v xml:space="preserve"> Фома</v>
      </c>
      <c r="K275" t="str">
        <f>RIGHT(Таблица8[[#This Row],[ФИО]],(O275-N275))</f>
        <v>Вилорович</v>
      </c>
      <c r="M275" s="60">
        <f>FIND(" ",Таблица8[[#This Row],[ФИО]],2)</f>
        <v>8</v>
      </c>
      <c r="N275">
        <f>FIND(" ",Таблица8[[#This Row],[ФИО]],(M275+1))</f>
        <v>13</v>
      </c>
      <c r="O275">
        <f>LEN(Таблица8[[#This Row],[ФИО]])</f>
        <v>22</v>
      </c>
      <c r="Q275" s="60" t="str">
        <f>MID(Таблица8[[#This Row],[ФИО]],M275,(N275-M275))</f>
        <v xml:space="preserve"> Фома</v>
      </c>
      <c r="R275" t="s">
        <v>1300</v>
      </c>
      <c r="S275" t="s">
        <v>1593</v>
      </c>
    </row>
    <row r="276" spans="1:19" x14ac:dyDescent="0.25">
      <c r="A276" s="51">
        <v>491</v>
      </c>
      <c r="B276" t="s">
        <v>179</v>
      </c>
      <c r="C276" t="s">
        <v>178</v>
      </c>
      <c r="D276" t="s">
        <v>143</v>
      </c>
      <c r="E276" s="26">
        <v>44752</v>
      </c>
      <c r="F276" t="str">
        <f t="shared" si="4"/>
        <v>+7</v>
      </c>
      <c r="G276" t="str">
        <f>INDEX('коды стран'!$A$2:$A$7, MATCH(F276, 'коды стран'!$B$2:$B$7, 0))</f>
        <v>Россия</v>
      </c>
      <c r="H276" t="s">
        <v>137</v>
      </c>
      <c r="I276" t="str">
        <f>LEFT(Таблица8[[#This Row],[ФИО]],(M276-1))</f>
        <v>Михайлова</v>
      </c>
      <c r="J276" t="str">
        <f>MID(Таблица8[[#This Row],[ФИО]],M276,(N276-M276))</f>
        <v xml:space="preserve"> Лора</v>
      </c>
      <c r="K276" t="str">
        <f>RIGHT(Таблица8[[#This Row],[ФИО]],(O276-N276))</f>
        <v>Наумовна</v>
      </c>
      <c r="M276" s="59">
        <f>FIND(" ",Таблица8[[#This Row],[ФИО]],2)</f>
        <v>10</v>
      </c>
      <c r="N276">
        <f>FIND(" ",Таблица8[[#This Row],[ФИО]],(M276+1))</f>
        <v>15</v>
      </c>
      <c r="O276">
        <f>LEN(Таблица8[[#This Row],[ФИО]])</f>
        <v>23</v>
      </c>
      <c r="Q276" s="59" t="str">
        <f>MID(Таблица8[[#This Row],[ФИО]],M276,(N276-M276))</f>
        <v xml:space="preserve"> Лора</v>
      </c>
      <c r="R276" t="s">
        <v>1301</v>
      </c>
      <c r="S276" t="s">
        <v>1458</v>
      </c>
    </row>
    <row r="277" spans="1:19" x14ac:dyDescent="0.25">
      <c r="A277" s="51">
        <v>214</v>
      </c>
      <c r="B277" t="s">
        <v>329</v>
      </c>
      <c r="C277" t="s">
        <v>328</v>
      </c>
      <c r="D277" t="s">
        <v>143</v>
      </c>
      <c r="E277" s="26">
        <v>44601</v>
      </c>
      <c r="F277" t="str">
        <f t="shared" si="4"/>
        <v>+7</v>
      </c>
      <c r="G277" t="str">
        <f>INDEX('коды стран'!$A$2:$A$7, MATCH(F277, 'коды стран'!$B$2:$B$7, 0))</f>
        <v>Россия</v>
      </c>
      <c r="H277" t="s">
        <v>137</v>
      </c>
      <c r="I277" t="str">
        <f>LEFT(Таблица8[[#This Row],[ФИО]],(M277-1))</f>
        <v>Михеев</v>
      </c>
      <c r="J277" t="str">
        <f>MID(Таблица8[[#This Row],[ФИО]],M277,(N277-M277))</f>
        <v xml:space="preserve"> Андроник</v>
      </c>
      <c r="K277" t="str">
        <f>RIGHT(Таблица8[[#This Row],[ФИО]],(O277-N277))</f>
        <v>Ефимьевич</v>
      </c>
      <c r="M277" s="60">
        <f>FIND(" ",Таблица8[[#This Row],[ФИО]],2)</f>
        <v>7</v>
      </c>
      <c r="N277">
        <f>FIND(" ",Таблица8[[#This Row],[ФИО]],(M277+1))</f>
        <v>16</v>
      </c>
      <c r="O277">
        <f>LEN(Таблица8[[#This Row],[ФИО]])</f>
        <v>25</v>
      </c>
      <c r="Q277" s="60" t="str">
        <f>MID(Таблица8[[#This Row],[ФИО]],M277,(N277-M277))</f>
        <v xml:space="preserve"> Андроник</v>
      </c>
      <c r="R277" t="s">
        <v>1302</v>
      </c>
      <c r="S277" t="s">
        <v>1594</v>
      </c>
    </row>
    <row r="278" spans="1:19" x14ac:dyDescent="0.25">
      <c r="A278" s="51">
        <v>101</v>
      </c>
      <c r="B278" t="s">
        <v>437</v>
      </c>
      <c r="C278" t="s">
        <v>436</v>
      </c>
      <c r="D278" t="s">
        <v>140</v>
      </c>
      <c r="E278" s="26">
        <v>44727</v>
      </c>
      <c r="F278" t="str">
        <f t="shared" si="4"/>
        <v>+7</v>
      </c>
      <c r="G278" t="str">
        <f>INDEX('коды стран'!$A$2:$A$7, MATCH(F278, 'коды стран'!$B$2:$B$7, 0))</f>
        <v>Россия</v>
      </c>
      <c r="H278" t="s">
        <v>137</v>
      </c>
      <c r="I278" t="str">
        <f>LEFT(Таблица8[[#This Row],[ФИО]],(M278-1))</f>
        <v>Михей</v>
      </c>
      <c r="J278" t="str">
        <f>MID(Таблица8[[#This Row],[ФИО]],M278,(N278-M278))</f>
        <v xml:space="preserve"> Феликсович</v>
      </c>
      <c r="K278" t="str">
        <f>RIGHT(Таблица8[[#This Row],[ФИО]],(O278-N278))</f>
        <v>Лихачев</v>
      </c>
      <c r="M278" s="59">
        <f>FIND(" ",Таблица8[[#This Row],[ФИО]],2)</f>
        <v>6</v>
      </c>
      <c r="N278">
        <f>FIND(" ",Таблица8[[#This Row],[ФИО]],(M278+1))</f>
        <v>17</v>
      </c>
      <c r="O278">
        <f>LEN(Таблица8[[#This Row],[ФИО]])</f>
        <v>24</v>
      </c>
      <c r="Q278" s="59" t="str">
        <f>LEFT(Таблица8[[#This Row],[ФИО]],(M278-1))</f>
        <v>Михей</v>
      </c>
      <c r="R278" t="s">
        <v>1303</v>
      </c>
      <c r="S278" t="s">
        <v>1535</v>
      </c>
    </row>
    <row r="279" spans="1:19" x14ac:dyDescent="0.25">
      <c r="A279" s="51">
        <v>498</v>
      </c>
      <c r="B279" t="s">
        <v>295</v>
      </c>
      <c r="C279" t="s">
        <v>294</v>
      </c>
      <c r="D279" t="s">
        <v>143</v>
      </c>
      <c r="E279" s="26">
        <v>44721</v>
      </c>
      <c r="F279" t="str">
        <f t="shared" si="4"/>
        <v>+380</v>
      </c>
      <c r="G279" t="str">
        <f>INDEX('коды стран'!$A$2:$A$7, MATCH(F279, 'коды стран'!$B$2:$B$7, 0))</f>
        <v>Украина</v>
      </c>
      <c r="H279" t="s">
        <v>128</v>
      </c>
      <c r="I279" t="str">
        <f>LEFT(Таблица8[[#This Row],[ФИО]],(M279-1))</f>
        <v>Моисеев</v>
      </c>
      <c r="J279" t="str">
        <f>MID(Таблица8[[#This Row],[ФИО]],M279,(N279-M279))</f>
        <v xml:space="preserve"> Евстафий</v>
      </c>
      <c r="K279" t="str">
        <f>RIGHT(Таблица8[[#This Row],[ФИО]],(O279-N279))</f>
        <v>Чеславович</v>
      </c>
      <c r="M279" s="60">
        <f>FIND(" ",Таблица8[[#This Row],[ФИО]],2)</f>
        <v>8</v>
      </c>
      <c r="N279">
        <f>FIND(" ",Таблица8[[#This Row],[ФИО]],(M279+1))</f>
        <v>17</v>
      </c>
      <c r="O279">
        <f>LEN(Таблица8[[#This Row],[ФИО]])</f>
        <v>27</v>
      </c>
      <c r="Q279" s="60" t="str">
        <f>MID(Таблица8[[#This Row],[ФИО]],M279,(N279-M279))</f>
        <v xml:space="preserve"> Евстафий</v>
      </c>
      <c r="R279" t="s">
        <v>1304</v>
      </c>
      <c r="S279" t="s">
        <v>1474</v>
      </c>
    </row>
    <row r="280" spans="1:19" x14ac:dyDescent="0.25">
      <c r="A280" s="51">
        <v>2</v>
      </c>
      <c r="B280" t="s">
        <v>917</v>
      </c>
      <c r="C280" t="s">
        <v>916</v>
      </c>
      <c r="D280" t="s">
        <v>140</v>
      </c>
      <c r="E280" s="26">
        <v>44775</v>
      </c>
      <c r="F280" t="str">
        <f t="shared" si="4"/>
        <v>+998</v>
      </c>
      <c r="G280" t="str">
        <f>INDEX('коды стран'!$A$2:$A$7, MATCH(F280, 'коды стран'!$B$2:$B$7, 0))</f>
        <v>Узбекистан</v>
      </c>
      <c r="H280" t="s">
        <v>132</v>
      </c>
      <c r="I280" t="str">
        <f>LEFT(Таблица8[[#This Row],[ФИО]],(M280-1))</f>
        <v>Морозова</v>
      </c>
      <c r="J280" t="str">
        <f>MID(Таблица8[[#This Row],[ФИО]],M280,(N280-M280))</f>
        <v xml:space="preserve"> Майя</v>
      </c>
      <c r="K280" t="str">
        <f>RIGHT(Таблица8[[#This Row],[ФИО]],(O280-N280))</f>
        <v>Борисовна</v>
      </c>
      <c r="M280" s="59">
        <f>FIND(" ",Таблица8[[#This Row],[ФИО]],2)</f>
        <v>9</v>
      </c>
      <c r="N280">
        <f>FIND(" ",Таблица8[[#This Row],[ФИО]],(M280+1))</f>
        <v>14</v>
      </c>
      <c r="O280">
        <f>LEN(Таблица8[[#This Row],[ФИО]])</f>
        <v>23</v>
      </c>
      <c r="Q280" s="59" t="str">
        <f>MID(Таблица8[[#This Row],[ФИО]],M280,(N280-M280))</f>
        <v xml:space="preserve"> Майя</v>
      </c>
      <c r="R280" t="s">
        <v>1305</v>
      </c>
      <c r="S280" t="s">
        <v>1487</v>
      </c>
    </row>
    <row r="281" spans="1:19" x14ac:dyDescent="0.25">
      <c r="A281" s="51">
        <v>23</v>
      </c>
      <c r="B281" t="s">
        <v>403</v>
      </c>
      <c r="C281" t="s">
        <v>402</v>
      </c>
      <c r="D281" t="s">
        <v>140</v>
      </c>
      <c r="E281" s="26">
        <v>44706</v>
      </c>
      <c r="F281" t="str">
        <f t="shared" si="4"/>
        <v>+7</v>
      </c>
      <c r="G281" t="str">
        <f>INDEX('коды стран'!$A$2:$A$7, MATCH(F281, 'коды стран'!$B$2:$B$7, 0))</f>
        <v>Россия</v>
      </c>
      <c r="H281" t="s">
        <v>137</v>
      </c>
      <c r="I281" t="str">
        <f>LEFT(Таблица8[[#This Row],[ФИО]],(M281-1))</f>
        <v>Морозова</v>
      </c>
      <c r="J281" t="str">
        <f>MID(Таблица8[[#This Row],[ФИО]],M281,(N281-M281))</f>
        <v xml:space="preserve"> Феврония</v>
      </c>
      <c r="K281" t="str">
        <f>RIGHT(Таблица8[[#This Row],[ФИО]],(O281-N281))</f>
        <v>Николаевна</v>
      </c>
      <c r="M281" s="60">
        <f>FIND(" ",Таблица8[[#This Row],[ФИО]],2)</f>
        <v>9</v>
      </c>
      <c r="N281">
        <f>FIND(" ",Таблица8[[#This Row],[ФИО]],(M281+1))</f>
        <v>18</v>
      </c>
      <c r="O281">
        <f>LEN(Таблица8[[#This Row],[ФИО]])</f>
        <v>28</v>
      </c>
      <c r="Q281" s="60" t="str">
        <f>MID(Таблица8[[#This Row],[ФИО]],M281,(N281-M281))</f>
        <v xml:space="preserve"> Феврония</v>
      </c>
      <c r="R281" t="s">
        <v>1305</v>
      </c>
      <c r="S281" t="s">
        <v>1476</v>
      </c>
    </row>
    <row r="282" spans="1:19" x14ac:dyDescent="0.25">
      <c r="A282" s="51">
        <v>456</v>
      </c>
      <c r="B282" t="s">
        <v>609</v>
      </c>
      <c r="C282" t="s">
        <v>608</v>
      </c>
      <c r="D282" t="s">
        <v>143</v>
      </c>
      <c r="E282" s="26">
        <v>44618</v>
      </c>
      <c r="F282" t="str">
        <f t="shared" si="4"/>
        <v>+7</v>
      </c>
      <c r="G282" t="str">
        <f>INDEX('коды стран'!$A$2:$A$7, MATCH(F282, 'коды стран'!$B$2:$B$7, 0))</f>
        <v>Россия</v>
      </c>
      <c r="H282" t="s">
        <v>137</v>
      </c>
      <c r="I282" t="str">
        <f>LEFT(Таблица8[[#This Row],[ФИО]],(M282-1))</f>
        <v>Муравьева</v>
      </c>
      <c r="J282" t="str">
        <f>MID(Таблица8[[#This Row],[ФИО]],M282,(N282-M282))</f>
        <v xml:space="preserve"> Алла</v>
      </c>
      <c r="K282" t="str">
        <f>RIGHT(Таблица8[[#This Row],[ФИО]],(O282-N282))</f>
        <v>Петровна</v>
      </c>
      <c r="M282" s="59">
        <f>FIND(" ",Таблица8[[#This Row],[ФИО]],2)</f>
        <v>10</v>
      </c>
      <c r="N282">
        <f>FIND(" ",Таблица8[[#This Row],[ФИО]],(M282+1))</f>
        <v>15</v>
      </c>
      <c r="O282">
        <f>LEN(Таблица8[[#This Row],[ФИО]])</f>
        <v>23</v>
      </c>
      <c r="Q282" s="59" t="str">
        <f>MID(Таблица8[[#This Row],[ФИО]],M282,(N282-M282))</f>
        <v xml:space="preserve"> Алла</v>
      </c>
      <c r="R282" t="s">
        <v>1306</v>
      </c>
      <c r="S282" t="s">
        <v>1595</v>
      </c>
    </row>
    <row r="283" spans="1:19" x14ac:dyDescent="0.25">
      <c r="A283" s="51">
        <v>431</v>
      </c>
      <c r="B283" t="s">
        <v>639</v>
      </c>
      <c r="C283" t="s">
        <v>638</v>
      </c>
      <c r="D283" t="s">
        <v>140</v>
      </c>
      <c r="E283" s="26">
        <v>44623</v>
      </c>
      <c r="F283" t="str">
        <f t="shared" si="4"/>
        <v>+7</v>
      </c>
      <c r="G283" t="str">
        <f>INDEX('коды стран'!$A$2:$A$7, MATCH(F283, 'коды стран'!$B$2:$B$7, 0))</f>
        <v>Россия</v>
      </c>
      <c r="H283" t="s">
        <v>137</v>
      </c>
      <c r="I283" t="str">
        <f>LEFT(Таблица8[[#This Row],[ФИО]],(M283-1))</f>
        <v>Мясников</v>
      </c>
      <c r="J283" t="str">
        <f>MID(Таблица8[[#This Row],[ФИО]],M283,(N283-M283))</f>
        <v xml:space="preserve"> Зосима</v>
      </c>
      <c r="K283" t="str">
        <f>RIGHT(Таблица8[[#This Row],[ФИО]],(O283-N283))</f>
        <v>Якубович</v>
      </c>
      <c r="M283" s="60">
        <f>FIND(" ",Таблица8[[#This Row],[ФИО]],2)</f>
        <v>9</v>
      </c>
      <c r="N283">
        <f>FIND(" ",Таблица8[[#This Row],[ФИО]],(M283+1))</f>
        <v>16</v>
      </c>
      <c r="O283">
        <f>LEN(Таблица8[[#This Row],[ФИО]])</f>
        <v>24</v>
      </c>
      <c r="Q283" s="60" t="str">
        <f>MID(Таблица8[[#This Row],[ФИО]],M283,(N283-M283))</f>
        <v xml:space="preserve"> Зосима</v>
      </c>
      <c r="R283" t="s">
        <v>1201</v>
      </c>
      <c r="S283" t="s">
        <v>1564</v>
      </c>
    </row>
    <row r="284" spans="1:19" x14ac:dyDescent="0.25">
      <c r="A284" s="51">
        <v>459</v>
      </c>
      <c r="B284" t="s">
        <v>813</v>
      </c>
      <c r="C284" t="s">
        <v>812</v>
      </c>
      <c r="D284" t="s">
        <v>143</v>
      </c>
      <c r="E284" s="26">
        <v>44743</v>
      </c>
      <c r="F284" t="str">
        <f t="shared" si="4"/>
        <v>+7</v>
      </c>
      <c r="G284" t="str">
        <f>INDEX('коды стран'!$A$2:$A$7, MATCH(F284, 'коды стран'!$B$2:$B$7, 0))</f>
        <v>Россия</v>
      </c>
      <c r="H284" t="s">
        <v>137</v>
      </c>
      <c r="I284" t="str">
        <f>LEFT(Таблица8[[#This Row],[ФИО]],(M284-1))</f>
        <v>Назар</v>
      </c>
      <c r="J284" t="str">
        <f>MID(Таблица8[[#This Row],[ФИО]],M284,(N284-M284))</f>
        <v xml:space="preserve"> Августович</v>
      </c>
      <c r="K284" t="str">
        <f>RIGHT(Таблица8[[#This Row],[ФИО]],(O284-N284))</f>
        <v>Назаров</v>
      </c>
      <c r="M284" s="59">
        <f>FIND(" ",Таблица8[[#This Row],[ФИО]],2)</f>
        <v>6</v>
      </c>
      <c r="N284">
        <f>FIND(" ",Таблица8[[#This Row],[ФИО]],(M284+1))</f>
        <v>17</v>
      </c>
      <c r="O284">
        <f>LEN(Таблица8[[#This Row],[ФИО]])</f>
        <v>24</v>
      </c>
      <c r="Q284" s="59" t="str">
        <f>LEFT(Таблица8[[#This Row],[ФИО]],(M284-1))</f>
        <v>Назар</v>
      </c>
      <c r="R284" t="s">
        <v>1141</v>
      </c>
      <c r="S284" t="s">
        <v>1582</v>
      </c>
    </row>
    <row r="285" spans="1:19" x14ac:dyDescent="0.25">
      <c r="A285" s="51">
        <v>205</v>
      </c>
      <c r="B285" t="s">
        <v>475</v>
      </c>
      <c r="C285" t="s">
        <v>474</v>
      </c>
      <c r="D285" t="s">
        <v>143</v>
      </c>
      <c r="E285" s="26">
        <v>44918</v>
      </c>
      <c r="F285" t="str">
        <f t="shared" si="4"/>
        <v>+7</v>
      </c>
      <c r="G285" t="str">
        <f>INDEX('коды стран'!$A$2:$A$7, MATCH(F285, 'коды стран'!$B$2:$B$7, 0))</f>
        <v>Россия</v>
      </c>
      <c r="H285" t="s">
        <v>137</v>
      </c>
      <c r="I285" t="str">
        <f>LEFT(Таблица8[[#This Row],[ФИО]],(M285-1))</f>
        <v>Назаров</v>
      </c>
      <c r="J285" t="str">
        <f>MID(Таблица8[[#This Row],[ФИО]],M285,(N285-M285))</f>
        <v xml:space="preserve"> Пантелеймон</v>
      </c>
      <c r="K285" t="str">
        <f>RIGHT(Таблица8[[#This Row],[ФИО]],(O285-N285))</f>
        <v>Трофимович</v>
      </c>
      <c r="M285" s="60">
        <f>FIND(" ",Таблица8[[#This Row],[ФИО]],2)</f>
        <v>8</v>
      </c>
      <c r="N285">
        <f>FIND(" ",Таблица8[[#This Row],[ФИО]],(M285+1))</f>
        <v>20</v>
      </c>
      <c r="O285">
        <f>LEN(Таблица8[[#This Row],[ФИО]])</f>
        <v>30</v>
      </c>
      <c r="Q285" s="60" t="str">
        <f>MID(Таблица8[[#This Row],[ФИО]],M285,(N285-M285))</f>
        <v xml:space="preserve"> Пантелеймон</v>
      </c>
      <c r="R285" t="s">
        <v>1307</v>
      </c>
      <c r="S285" t="s">
        <v>1596</v>
      </c>
    </row>
    <row r="286" spans="1:19" x14ac:dyDescent="0.25">
      <c r="A286" s="51">
        <v>355</v>
      </c>
      <c r="B286" t="s">
        <v>537</v>
      </c>
      <c r="C286" t="s">
        <v>536</v>
      </c>
      <c r="D286" t="s">
        <v>140</v>
      </c>
      <c r="E286" s="26">
        <v>44631</v>
      </c>
      <c r="F286" t="str">
        <f t="shared" si="4"/>
        <v>+7</v>
      </c>
      <c r="G286" t="str">
        <f>INDEX('коды стран'!$A$2:$A$7, MATCH(F286, 'коды стран'!$B$2:$B$7, 0))</f>
        <v>Россия</v>
      </c>
      <c r="H286" t="s">
        <v>137</v>
      </c>
      <c r="I286" t="str">
        <f>LEFT(Таблица8[[#This Row],[ФИО]],(M286-1))</f>
        <v>Назарова</v>
      </c>
      <c r="J286" t="str">
        <f>MID(Таблица8[[#This Row],[ФИО]],M286,(N286-M286))</f>
        <v xml:space="preserve"> Ия</v>
      </c>
      <c r="K286" t="str">
        <f>RIGHT(Таблица8[[#This Row],[ФИО]],(O286-N286))</f>
        <v>Ивановна</v>
      </c>
      <c r="M286" s="59">
        <f>FIND(" ",Таблица8[[#This Row],[ФИО]],2)</f>
        <v>9</v>
      </c>
      <c r="N286">
        <f>FIND(" ",Таблица8[[#This Row],[ФИО]],(M286+1))</f>
        <v>12</v>
      </c>
      <c r="O286">
        <f>LEN(Таблица8[[#This Row],[ФИО]])</f>
        <v>20</v>
      </c>
      <c r="Q286" s="59" t="str">
        <f>MID(Таблица8[[#This Row],[ФИО]],M286,(N286-M286))</f>
        <v xml:space="preserve"> Ия</v>
      </c>
      <c r="R286" t="s">
        <v>1137</v>
      </c>
      <c r="S286" t="s">
        <v>1597</v>
      </c>
    </row>
    <row r="287" spans="1:19" x14ac:dyDescent="0.25">
      <c r="A287" s="51">
        <v>279</v>
      </c>
      <c r="B287" t="s">
        <v>347</v>
      </c>
      <c r="C287" t="s">
        <v>346</v>
      </c>
      <c r="D287" t="s">
        <v>143</v>
      </c>
      <c r="E287" s="26">
        <v>44786</v>
      </c>
      <c r="F287" t="str">
        <f t="shared" si="4"/>
        <v>+998</v>
      </c>
      <c r="G287" t="str">
        <f>INDEX('коды стран'!$A$2:$A$7, MATCH(F287, 'коды стран'!$B$2:$B$7, 0))</f>
        <v>Узбекистан</v>
      </c>
      <c r="H287" t="s">
        <v>132</v>
      </c>
      <c r="I287" t="str">
        <f>LEFT(Таблица8[[#This Row],[ФИО]],(M287-1))</f>
        <v>Наталья</v>
      </c>
      <c r="J287" t="str">
        <f>MID(Таблица8[[#This Row],[ФИО]],M287,(N287-M287))</f>
        <v xml:space="preserve"> Геннадьевна</v>
      </c>
      <c r="K287" t="str">
        <f>RIGHT(Таблица8[[#This Row],[ФИО]],(O287-N287))</f>
        <v>Колесникова</v>
      </c>
      <c r="M287" s="60">
        <f>FIND(" ",Таблица8[[#This Row],[ФИО]],2)</f>
        <v>8</v>
      </c>
      <c r="N287">
        <f>FIND(" ",Таблица8[[#This Row],[ФИО]],(M287+1))</f>
        <v>20</v>
      </c>
      <c r="O287">
        <f>LEN(Таблица8[[#This Row],[ФИО]])</f>
        <v>31</v>
      </c>
      <c r="Q287" s="60" t="str">
        <f>LEFT(Таблица8[[#This Row],[ФИО]],(M287-1))</f>
        <v>Наталья</v>
      </c>
      <c r="R287" t="s">
        <v>1097</v>
      </c>
      <c r="S287" t="s">
        <v>1406</v>
      </c>
    </row>
    <row r="288" spans="1:19" x14ac:dyDescent="0.25">
      <c r="A288" s="51">
        <v>297</v>
      </c>
      <c r="B288" t="s">
        <v>557</v>
      </c>
      <c r="C288" t="s">
        <v>556</v>
      </c>
      <c r="D288" t="s">
        <v>140</v>
      </c>
      <c r="E288" s="26">
        <v>44666</v>
      </c>
      <c r="F288" t="str">
        <f t="shared" si="4"/>
        <v>+380</v>
      </c>
      <c r="G288" t="str">
        <f>INDEX('коды стран'!$A$2:$A$7, MATCH(F288, 'коды стран'!$B$2:$B$7, 0))</f>
        <v>Украина</v>
      </c>
      <c r="H288" t="s">
        <v>128</v>
      </c>
      <c r="I288" t="str">
        <f>LEFT(Таблица8[[#This Row],[ФИО]],(M288-1))</f>
        <v>Нестеров</v>
      </c>
      <c r="J288" t="str">
        <f>MID(Таблица8[[#This Row],[ФИО]],M288,(N288-M288))</f>
        <v xml:space="preserve"> Чеслав</v>
      </c>
      <c r="K288" t="str">
        <f>RIGHT(Таблица8[[#This Row],[ФИО]],(O288-N288))</f>
        <v>Аверьянович</v>
      </c>
      <c r="M288" s="59">
        <f>FIND(" ",Таблица8[[#This Row],[ФИО]],2)</f>
        <v>9</v>
      </c>
      <c r="N288">
        <f>FIND(" ",Таблица8[[#This Row],[ФИО]],(M288+1))</f>
        <v>16</v>
      </c>
      <c r="O288">
        <f>LEN(Таблица8[[#This Row],[ФИО]])</f>
        <v>27</v>
      </c>
      <c r="Q288" s="59" t="str">
        <f>MID(Таблица8[[#This Row],[ФИО]],M288,(N288-M288))</f>
        <v xml:space="preserve"> Чеслав</v>
      </c>
      <c r="R288" t="s">
        <v>1308</v>
      </c>
      <c r="S288" t="s">
        <v>1598</v>
      </c>
    </row>
    <row r="289" spans="1:19" x14ac:dyDescent="0.25">
      <c r="A289" s="51">
        <v>352</v>
      </c>
      <c r="B289" t="s">
        <v>263</v>
      </c>
      <c r="C289" t="s">
        <v>262</v>
      </c>
      <c r="D289" t="s">
        <v>140</v>
      </c>
      <c r="E289" s="26">
        <v>44573</v>
      </c>
      <c r="F289" t="str">
        <f t="shared" si="4"/>
        <v>+7</v>
      </c>
      <c r="G289" t="str">
        <f>INDEX('коды стран'!$A$2:$A$7, MATCH(F289, 'коды стран'!$B$2:$B$7, 0))</f>
        <v>Россия</v>
      </c>
      <c r="H289" t="s">
        <v>137</v>
      </c>
      <c r="I289" t="str">
        <f>LEFT(Таблица8[[#This Row],[ФИО]],(M289-1))</f>
        <v>Нестерова</v>
      </c>
      <c r="J289" t="str">
        <f>MID(Таблица8[[#This Row],[ФИО]],M289,(N289-M289))</f>
        <v xml:space="preserve"> Таисия</v>
      </c>
      <c r="K289" t="str">
        <f>RIGHT(Таблица8[[#This Row],[ФИО]],(O289-N289))</f>
        <v>Яковлевна</v>
      </c>
      <c r="M289" s="60">
        <f>FIND(" ",Таблица8[[#This Row],[ФИО]],2)</f>
        <v>10</v>
      </c>
      <c r="N289">
        <f>FIND(" ",Таблица8[[#This Row],[ФИО]],(M289+1))</f>
        <v>17</v>
      </c>
      <c r="O289">
        <f>LEN(Таблица8[[#This Row],[ФИО]])</f>
        <v>26</v>
      </c>
      <c r="Q289" s="60" t="str">
        <f>MID(Таблица8[[#This Row],[ФИО]],M289,(N289-M289))</f>
        <v xml:space="preserve"> Таисия</v>
      </c>
      <c r="R289" t="s">
        <v>1309</v>
      </c>
      <c r="S289" t="s">
        <v>1599</v>
      </c>
    </row>
    <row r="290" spans="1:19" x14ac:dyDescent="0.25">
      <c r="A290" s="51">
        <v>489</v>
      </c>
      <c r="B290" t="s">
        <v>619</v>
      </c>
      <c r="C290" t="s">
        <v>618</v>
      </c>
      <c r="D290" t="s">
        <v>143</v>
      </c>
      <c r="E290" s="26">
        <v>44587</v>
      </c>
      <c r="F290" t="str">
        <f t="shared" si="4"/>
        <v>+7</v>
      </c>
      <c r="G290" t="str">
        <f>INDEX('коды стран'!$A$2:$A$7, MATCH(F290, 'коды стран'!$B$2:$B$7, 0))</f>
        <v>Россия</v>
      </c>
      <c r="H290" t="s">
        <v>137</v>
      </c>
      <c r="I290" t="str">
        <f>LEFT(Таблица8[[#This Row],[ФИО]],(M290-1))</f>
        <v>Никанор</v>
      </c>
      <c r="J290" t="str">
        <f>MID(Таблица8[[#This Row],[ФИО]],M290,(N290-M290))</f>
        <v xml:space="preserve"> Феодосьевич</v>
      </c>
      <c r="K290" t="str">
        <f>RIGHT(Таблица8[[#This Row],[ФИО]],(O290-N290))</f>
        <v>Воронов</v>
      </c>
      <c r="M290" s="59">
        <f>FIND(" ",Таблица8[[#This Row],[ФИО]],2)</f>
        <v>8</v>
      </c>
      <c r="N290">
        <f>FIND(" ",Таблица8[[#This Row],[ФИО]],(M290+1))</f>
        <v>20</v>
      </c>
      <c r="O290">
        <f>LEN(Таблица8[[#This Row],[ФИО]])</f>
        <v>27</v>
      </c>
      <c r="Q290" s="59" t="str">
        <f>LEFT(Таблица8[[#This Row],[ФИО]],(M290-1))</f>
        <v>Никанор</v>
      </c>
      <c r="R290" t="s">
        <v>1216</v>
      </c>
      <c r="S290" t="s">
        <v>1600</v>
      </c>
    </row>
    <row r="291" spans="1:19" x14ac:dyDescent="0.25">
      <c r="A291" s="51">
        <v>21</v>
      </c>
      <c r="B291" t="s">
        <v>591</v>
      </c>
      <c r="C291" t="s">
        <v>590</v>
      </c>
      <c r="D291" t="s">
        <v>143</v>
      </c>
      <c r="E291" s="26">
        <v>44881</v>
      </c>
      <c r="F291" t="str">
        <f t="shared" si="4"/>
        <v>+375</v>
      </c>
      <c r="G291" t="str">
        <f>INDEX('коды стран'!$A$2:$A$7, MATCH(F291, 'коды стран'!$B$2:$B$7, 0))</f>
        <v>Беларусь</v>
      </c>
      <c r="H291" t="s">
        <v>134</v>
      </c>
      <c r="I291" t="str">
        <f>LEFT(Таблица8[[#This Row],[ФИО]],(M291-1))</f>
        <v>Никита</v>
      </c>
      <c r="J291" t="str">
        <f>MID(Таблица8[[#This Row],[ФИО]],M291,(N291-M291))</f>
        <v xml:space="preserve"> Венедиктович</v>
      </c>
      <c r="K291" t="str">
        <f>RIGHT(Таблица8[[#This Row],[ФИО]],(O291-N291))</f>
        <v>Третьяков</v>
      </c>
      <c r="M291" s="60">
        <f>FIND(" ",Таблица8[[#This Row],[ФИО]],2)</f>
        <v>7</v>
      </c>
      <c r="N291">
        <f>FIND(" ",Таблица8[[#This Row],[ФИО]],(M291+1))</f>
        <v>20</v>
      </c>
      <c r="O291">
        <f>LEN(Таблица8[[#This Row],[ФИО]])</f>
        <v>29</v>
      </c>
      <c r="Q291" s="60" t="str">
        <f>LEFT(Таблица8[[#This Row],[ФИО]],(M291-1))</f>
        <v>Никита</v>
      </c>
      <c r="R291" t="s">
        <v>1172</v>
      </c>
      <c r="S291" t="s">
        <v>1601</v>
      </c>
    </row>
    <row r="292" spans="1:19" x14ac:dyDescent="0.25">
      <c r="A292" s="51">
        <v>98</v>
      </c>
      <c r="B292" t="s">
        <v>565</v>
      </c>
      <c r="C292" t="s">
        <v>564</v>
      </c>
      <c r="D292" t="s">
        <v>143</v>
      </c>
      <c r="E292" s="26">
        <v>44637</v>
      </c>
      <c r="F292" t="str">
        <f t="shared" si="4"/>
        <v>+7</v>
      </c>
      <c r="G292" t="str">
        <f>INDEX('коды стран'!$A$2:$A$7, MATCH(F292, 'коды стран'!$B$2:$B$7, 0))</f>
        <v>Россия</v>
      </c>
      <c r="H292" t="s">
        <v>137</v>
      </c>
      <c r="I292" t="str">
        <f>LEFT(Таблица8[[#This Row],[ФИО]],(M292-1))</f>
        <v>Никита</v>
      </c>
      <c r="J292" t="str">
        <f>MID(Таблица8[[#This Row],[ФИО]],M292,(N292-M292))</f>
        <v xml:space="preserve"> Виленович</v>
      </c>
      <c r="K292" t="str">
        <f>RIGHT(Таблица8[[#This Row],[ФИО]],(O292-N292))</f>
        <v>Степанов</v>
      </c>
      <c r="M292" s="59">
        <f>FIND(" ",Таблица8[[#This Row],[ФИО]],2)</f>
        <v>7</v>
      </c>
      <c r="N292">
        <f>FIND(" ",Таблица8[[#This Row],[ФИО]],(M292+1))</f>
        <v>17</v>
      </c>
      <c r="O292">
        <f>LEN(Таблица8[[#This Row],[ФИО]])</f>
        <v>25</v>
      </c>
      <c r="Q292" s="59" t="str">
        <f>LEFT(Таблица8[[#This Row],[ФИО]],(M292-1))</f>
        <v>Никита</v>
      </c>
      <c r="R292" t="s">
        <v>1310</v>
      </c>
      <c r="S292" t="s">
        <v>1602</v>
      </c>
    </row>
    <row r="293" spans="1:19" x14ac:dyDescent="0.25">
      <c r="A293" s="51">
        <v>119</v>
      </c>
      <c r="B293" t="s">
        <v>799</v>
      </c>
      <c r="C293" t="s">
        <v>798</v>
      </c>
      <c r="D293" t="s">
        <v>140</v>
      </c>
      <c r="E293" s="26">
        <v>44690</v>
      </c>
      <c r="F293" t="str">
        <f t="shared" si="4"/>
        <v>+7</v>
      </c>
      <c r="G293" t="str">
        <f>INDEX('коды стран'!$A$2:$A$7, MATCH(F293, 'коды стран'!$B$2:$B$7, 0))</f>
        <v>Россия</v>
      </c>
      <c r="H293" t="s">
        <v>137</v>
      </c>
      <c r="I293" t="str">
        <f>LEFT(Таблица8[[#This Row],[ФИО]],(M293-1))</f>
        <v>Никитин</v>
      </c>
      <c r="J293" t="str">
        <f>MID(Таблица8[[#This Row],[ФИО]],M293,(N293-M293))</f>
        <v xml:space="preserve"> Светозар</v>
      </c>
      <c r="K293" t="str">
        <f>RIGHT(Таблица8[[#This Row],[ФИО]],(O293-N293))</f>
        <v>Харлампьевич</v>
      </c>
      <c r="M293" s="60">
        <f>FIND(" ",Таблица8[[#This Row],[ФИО]],2)</f>
        <v>8</v>
      </c>
      <c r="N293">
        <f>FIND(" ",Таблица8[[#This Row],[ФИО]],(M293+1))</f>
        <v>17</v>
      </c>
      <c r="O293">
        <f>LEN(Таблица8[[#This Row],[ФИО]])</f>
        <v>29</v>
      </c>
      <c r="Q293" s="60" t="str">
        <f>MID(Таблица8[[#This Row],[ФИО]],M293,(N293-M293))</f>
        <v xml:space="preserve"> Светозар</v>
      </c>
      <c r="R293" t="s">
        <v>1311</v>
      </c>
      <c r="S293" t="s">
        <v>1438</v>
      </c>
    </row>
    <row r="294" spans="1:19" x14ac:dyDescent="0.25">
      <c r="A294" s="51">
        <v>466</v>
      </c>
      <c r="B294" t="s">
        <v>317</v>
      </c>
      <c r="C294" t="s">
        <v>316</v>
      </c>
      <c r="D294" t="s">
        <v>143</v>
      </c>
      <c r="E294" s="26">
        <v>44772</v>
      </c>
      <c r="F294" t="str">
        <f t="shared" si="4"/>
        <v>+375</v>
      </c>
      <c r="G294" t="str">
        <f>INDEX('коды стран'!$A$2:$A$7, MATCH(F294, 'коды стран'!$B$2:$B$7, 0))</f>
        <v>Беларусь</v>
      </c>
      <c r="H294" t="s">
        <v>134</v>
      </c>
      <c r="I294" t="str">
        <f>LEFT(Таблица8[[#This Row],[ФИО]],(M294-1))</f>
        <v>Никитина</v>
      </c>
      <c r="J294" t="str">
        <f>MID(Таблица8[[#This Row],[ФИО]],M294,(N294-M294))</f>
        <v xml:space="preserve"> Лора</v>
      </c>
      <c r="K294" t="str">
        <f>RIGHT(Таблица8[[#This Row],[ФИО]],(O294-N294))</f>
        <v>Георгиевна</v>
      </c>
      <c r="M294" s="59">
        <f>FIND(" ",Таблица8[[#This Row],[ФИО]],2)</f>
        <v>9</v>
      </c>
      <c r="N294">
        <f>FIND(" ",Таблица8[[#This Row],[ФИО]],(M294+1))</f>
        <v>14</v>
      </c>
      <c r="O294">
        <f>LEN(Таблица8[[#This Row],[ФИО]])</f>
        <v>24</v>
      </c>
      <c r="Q294" s="59" t="str">
        <f>MID(Таблица8[[#This Row],[ФИО]],M294,(N294-M294))</f>
        <v xml:space="preserve"> Лора</v>
      </c>
      <c r="R294" t="s">
        <v>1169</v>
      </c>
      <c r="S294" t="s">
        <v>1603</v>
      </c>
    </row>
    <row r="295" spans="1:19" x14ac:dyDescent="0.25">
      <c r="A295" s="51">
        <v>453</v>
      </c>
      <c r="B295" t="s">
        <v>573</v>
      </c>
      <c r="C295" t="s">
        <v>572</v>
      </c>
      <c r="D295" t="s">
        <v>143</v>
      </c>
      <c r="E295" s="26">
        <v>44635</v>
      </c>
      <c r="F295" t="str">
        <f t="shared" si="4"/>
        <v>+7</v>
      </c>
      <c r="G295" t="str">
        <f>INDEX('коды стран'!$A$2:$A$7, MATCH(F295, 'коды стран'!$B$2:$B$7, 0))</f>
        <v>Россия</v>
      </c>
      <c r="H295" t="s">
        <v>137</v>
      </c>
      <c r="I295" t="str">
        <f>LEFT(Таблица8[[#This Row],[ФИО]],(M295-1))</f>
        <v>Никифоров</v>
      </c>
      <c r="J295" t="str">
        <f>MID(Таблица8[[#This Row],[ФИО]],M295,(N295-M295))</f>
        <v xml:space="preserve"> Богдан</v>
      </c>
      <c r="K295" t="str">
        <f>RIGHT(Таблица8[[#This Row],[ФИО]],(O295-N295))</f>
        <v>Харитонович</v>
      </c>
      <c r="M295" s="60">
        <f>FIND(" ",Таблица8[[#This Row],[ФИО]],2)</f>
        <v>10</v>
      </c>
      <c r="N295">
        <f>FIND(" ",Таблица8[[#This Row],[ФИО]],(M295+1))</f>
        <v>17</v>
      </c>
      <c r="O295">
        <f>LEN(Таблица8[[#This Row],[ФИО]])</f>
        <v>28</v>
      </c>
      <c r="Q295" s="60" t="str">
        <f>MID(Таблица8[[#This Row],[ФИО]],M295,(N295-M295))</f>
        <v xml:space="preserve"> Богдан</v>
      </c>
      <c r="R295" t="s">
        <v>1166</v>
      </c>
      <c r="S295" t="s">
        <v>1480</v>
      </c>
    </row>
    <row r="296" spans="1:19" x14ac:dyDescent="0.25">
      <c r="A296" s="51">
        <v>368</v>
      </c>
      <c r="B296" t="s">
        <v>197</v>
      </c>
      <c r="C296" t="s">
        <v>196</v>
      </c>
      <c r="D296" t="s">
        <v>143</v>
      </c>
      <c r="E296" s="26">
        <v>44872</v>
      </c>
      <c r="F296" t="str">
        <f t="shared" si="4"/>
        <v>+998</v>
      </c>
      <c r="G296" t="str">
        <f>INDEX('коды стран'!$A$2:$A$7, MATCH(F296, 'коды стран'!$B$2:$B$7, 0))</f>
        <v>Узбекистан</v>
      </c>
      <c r="H296" t="s">
        <v>132</v>
      </c>
      <c r="I296" t="str">
        <f>LEFT(Таблица8[[#This Row],[ФИО]],(M296-1))</f>
        <v>Никодим</v>
      </c>
      <c r="J296" t="str">
        <f>MID(Таблица8[[#This Row],[ФИО]],M296,(N296-M296))</f>
        <v xml:space="preserve"> Арсенович</v>
      </c>
      <c r="K296" t="str">
        <f>RIGHT(Таблица8[[#This Row],[ФИО]],(O296-N296))</f>
        <v>Потапов</v>
      </c>
      <c r="M296" s="59">
        <f>FIND(" ",Таблица8[[#This Row],[ФИО]],2)</f>
        <v>8</v>
      </c>
      <c r="N296">
        <f>FIND(" ",Таблица8[[#This Row],[ФИО]],(M296+1))</f>
        <v>18</v>
      </c>
      <c r="O296">
        <f>LEN(Таблица8[[#This Row],[ФИО]])</f>
        <v>25</v>
      </c>
      <c r="Q296" s="59" t="str">
        <f>LEFT(Таблица8[[#This Row],[ФИО]],(M296-1))</f>
        <v>Никодим</v>
      </c>
      <c r="R296" t="s">
        <v>1312</v>
      </c>
      <c r="S296" t="s">
        <v>1568</v>
      </c>
    </row>
    <row r="297" spans="1:19" x14ac:dyDescent="0.25">
      <c r="A297" s="51">
        <v>12</v>
      </c>
      <c r="B297" t="s">
        <v>1005</v>
      </c>
      <c r="C297" t="s">
        <v>1004</v>
      </c>
      <c r="D297" t="s">
        <v>143</v>
      </c>
      <c r="E297" s="26">
        <v>44842</v>
      </c>
      <c r="F297" t="str">
        <f t="shared" si="4"/>
        <v>+375</v>
      </c>
      <c r="G297" t="str">
        <f>INDEX('коды стран'!$A$2:$A$7, MATCH(F297, 'коды стран'!$B$2:$B$7, 0))</f>
        <v>Беларусь</v>
      </c>
      <c r="H297" t="s">
        <v>134</v>
      </c>
      <c r="I297" t="str">
        <f>LEFT(Таблица8[[#This Row],[ФИО]],(M297-1))</f>
        <v>Никодим</v>
      </c>
      <c r="J297" t="str">
        <f>MID(Таблица8[[#This Row],[ФИО]],M297,(N297-M297))</f>
        <v xml:space="preserve"> Игоревич</v>
      </c>
      <c r="K297" t="str">
        <f>RIGHT(Таблица8[[#This Row],[ФИО]],(O297-N297))</f>
        <v>Бобров</v>
      </c>
      <c r="M297" s="60">
        <f>FIND(" ",Таблица8[[#This Row],[ФИО]],2)</f>
        <v>8</v>
      </c>
      <c r="N297">
        <f>FIND(" ",Таблица8[[#This Row],[ФИО]],(M297+1))</f>
        <v>17</v>
      </c>
      <c r="O297">
        <f>LEN(Таблица8[[#This Row],[ФИО]])</f>
        <v>23</v>
      </c>
      <c r="Q297" s="60" t="str">
        <f>LEFT(Таблица8[[#This Row],[ФИО]],(M297-1))</f>
        <v>Никодим</v>
      </c>
      <c r="R297" t="s">
        <v>1313</v>
      </c>
      <c r="S297" t="s">
        <v>1459</v>
      </c>
    </row>
    <row r="298" spans="1:19" x14ac:dyDescent="0.25">
      <c r="A298" s="51">
        <v>301</v>
      </c>
      <c r="B298" t="s">
        <v>829</v>
      </c>
      <c r="C298" t="s">
        <v>828</v>
      </c>
      <c r="D298" t="s">
        <v>143</v>
      </c>
      <c r="E298" s="26">
        <v>44714</v>
      </c>
      <c r="F298" t="str">
        <f t="shared" si="4"/>
        <v>+7</v>
      </c>
      <c r="G298" t="str">
        <f>INDEX('коды стран'!$A$2:$A$7, MATCH(F298, 'коды стран'!$B$2:$B$7, 0))</f>
        <v>Россия</v>
      </c>
      <c r="H298" t="s">
        <v>137</v>
      </c>
      <c r="I298" t="str">
        <f>LEFT(Таблица8[[#This Row],[ФИО]],(M298-1))</f>
        <v>Николаева</v>
      </c>
      <c r="J298" t="str">
        <f>MID(Таблица8[[#This Row],[ФИО]],M298,(N298-M298))</f>
        <v xml:space="preserve"> Зинаида</v>
      </c>
      <c r="K298" t="str">
        <f>RIGHT(Таблица8[[#This Row],[ФИО]],(O298-N298))</f>
        <v>Ивановна</v>
      </c>
      <c r="M298" s="59">
        <f>FIND(" ",Таблица8[[#This Row],[ФИО]],2)</f>
        <v>10</v>
      </c>
      <c r="N298">
        <f>FIND(" ",Таблица8[[#This Row],[ФИО]],(M298+1))</f>
        <v>18</v>
      </c>
      <c r="O298">
        <f>LEN(Таблица8[[#This Row],[ФИО]])</f>
        <v>26</v>
      </c>
      <c r="Q298" s="59" t="str">
        <f>MID(Таблица8[[#This Row],[ФИО]],M298,(N298-M298))</f>
        <v xml:space="preserve"> Зинаида</v>
      </c>
      <c r="R298" t="s">
        <v>1314</v>
      </c>
      <c r="S298" t="s">
        <v>1597</v>
      </c>
    </row>
    <row r="299" spans="1:19" x14ac:dyDescent="0.25">
      <c r="A299" s="51">
        <v>290</v>
      </c>
      <c r="B299" t="s">
        <v>577</v>
      </c>
      <c r="C299" t="s">
        <v>576</v>
      </c>
      <c r="D299" t="s">
        <v>143</v>
      </c>
      <c r="E299" s="26">
        <v>44777</v>
      </c>
      <c r="F299" t="str">
        <f t="shared" si="4"/>
        <v>+7</v>
      </c>
      <c r="G299" t="str">
        <f>INDEX('коды стран'!$A$2:$A$7, MATCH(F299, 'коды стран'!$B$2:$B$7, 0))</f>
        <v>Россия</v>
      </c>
      <c r="H299" t="s">
        <v>137</v>
      </c>
      <c r="I299" t="str">
        <f>LEFT(Таблица8[[#This Row],[ФИО]],(M299-1))</f>
        <v>Николай</v>
      </c>
      <c r="J299" t="str">
        <f>MID(Таблица8[[#This Row],[ФИО]],M299,(N299-M299))</f>
        <v xml:space="preserve"> Гавриилович</v>
      </c>
      <c r="K299" t="str">
        <f>RIGHT(Таблица8[[#This Row],[ФИО]],(O299-N299))</f>
        <v>Савин</v>
      </c>
      <c r="M299" s="60">
        <f>FIND(" ",Таблица8[[#This Row],[ФИО]],2)</f>
        <v>8</v>
      </c>
      <c r="N299">
        <f>FIND(" ",Таблица8[[#This Row],[ФИО]],(M299+1))</f>
        <v>20</v>
      </c>
      <c r="O299">
        <f>LEN(Таблица8[[#This Row],[ФИО]])</f>
        <v>25</v>
      </c>
      <c r="Q299" s="60" t="str">
        <f>LEFT(Таблица8[[#This Row],[ФИО]],(M299-1))</f>
        <v>Николай</v>
      </c>
      <c r="R299" t="s">
        <v>1315</v>
      </c>
      <c r="S299" t="s">
        <v>1604</v>
      </c>
    </row>
    <row r="300" spans="1:19" x14ac:dyDescent="0.25">
      <c r="A300" s="51">
        <v>220</v>
      </c>
      <c r="B300" t="s">
        <v>371</v>
      </c>
      <c r="C300" t="s">
        <v>370</v>
      </c>
      <c r="D300" t="s">
        <v>140</v>
      </c>
      <c r="E300" s="26">
        <v>44570</v>
      </c>
      <c r="F300" t="str">
        <f t="shared" si="4"/>
        <v>+380</v>
      </c>
      <c r="G300" t="str">
        <f>INDEX('коды стран'!$A$2:$A$7, MATCH(F300, 'коды стран'!$B$2:$B$7, 0))</f>
        <v>Украина</v>
      </c>
      <c r="H300" t="s">
        <v>128</v>
      </c>
      <c r="I300" t="str">
        <f>LEFT(Таблица8[[#This Row],[ФИО]],(M300-1))</f>
        <v>Николай</v>
      </c>
      <c r="J300" t="str">
        <f>MID(Таблица8[[#This Row],[ФИО]],M300,(N300-M300))</f>
        <v xml:space="preserve"> Феоктистович</v>
      </c>
      <c r="K300" t="str">
        <f>RIGHT(Таблица8[[#This Row],[ФИО]],(O300-N300))</f>
        <v>Дроздов</v>
      </c>
      <c r="M300" s="59">
        <f>FIND(" ",Таблица8[[#This Row],[ФИО]],2)</f>
        <v>8</v>
      </c>
      <c r="N300">
        <f>FIND(" ",Таблица8[[#This Row],[ФИО]],(M300+1))</f>
        <v>21</v>
      </c>
      <c r="O300">
        <f>LEN(Таблица8[[#This Row],[ФИО]])</f>
        <v>28</v>
      </c>
      <c r="Q300" s="59" t="str">
        <f>LEFT(Таблица8[[#This Row],[ФИО]],(M300-1))</f>
        <v>Николай</v>
      </c>
      <c r="R300" t="s">
        <v>1316</v>
      </c>
      <c r="S300" t="s">
        <v>1605</v>
      </c>
    </row>
    <row r="301" spans="1:19" x14ac:dyDescent="0.25">
      <c r="A301" s="51">
        <v>216</v>
      </c>
      <c r="B301" t="s">
        <v>605</v>
      </c>
      <c r="C301" t="s">
        <v>604</v>
      </c>
      <c r="D301" t="s">
        <v>140</v>
      </c>
      <c r="E301" s="26">
        <v>44655</v>
      </c>
      <c r="F301" t="str">
        <f t="shared" si="4"/>
        <v>+992</v>
      </c>
      <c r="G301" t="str">
        <f>INDEX('коды стран'!$A$2:$A$7, MATCH(F301, 'коды стран'!$B$2:$B$7, 0))</f>
        <v>Таджикистан</v>
      </c>
      <c r="H301" t="s">
        <v>130</v>
      </c>
      <c r="I301" t="str">
        <f>LEFT(Таблица8[[#This Row],[ФИО]],(M301-1))</f>
        <v>Никонов</v>
      </c>
      <c r="J301" t="str">
        <f>MID(Таблица8[[#This Row],[ФИО]],M301,(N301-M301))</f>
        <v xml:space="preserve"> Софон</v>
      </c>
      <c r="K301" t="str">
        <f>RIGHT(Таблица8[[#This Row],[ФИО]],(O301-N301))</f>
        <v>Авдеевич</v>
      </c>
      <c r="M301" s="60">
        <f>FIND(" ",Таблица8[[#This Row],[ФИО]],2)</f>
        <v>8</v>
      </c>
      <c r="N301">
        <f>FIND(" ",Таблица8[[#This Row],[ФИО]],(M301+1))</f>
        <v>14</v>
      </c>
      <c r="O301">
        <f>LEN(Таблица8[[#This Row],[ФИО]])</f>
        <v>22</v>
      </c>
      <c r="Q301" s="60" t="str">
        <f>MID(Таблица8[[#This Row],[ФИО]],M301,(N301-M301))</f>
        <v xml:space="preserve"> Софон</v>
      </c>
      <c r="R301" t="s">
        <v>1274</v>
      </c>
      <c r="S301" t="s">
        <v>1606</v>
      </c>
    </row>
    <row r="302" spans="1:19" x14ac:dyDescent="0.25">
      <c r="A302" s="51">
        <v>138</v>
      </c>
      <c r="B302" t="s">
        <v>419</v>
      </c>
      <c r="C302" t="s">
        <v>418</v>
      </c>
      <c r="D302" t="s">
        <v>143</v>
      </c>
      <c r="E302" s="26">
        <v>44723</v>
      </c>
      <c r="F302" t="str">
        <f t="shared" si="4"/>
        <v>+380</v>
      </c>
      <c r="G302" t="str">
        <f>INDEX('коды стран'!$A$2:$A$7, MATCH(F302, 'коды стран'!$B$2:$B$7, 0))</f>
        <v>Украина</v>
      </c>
      <c r="H302" t="s">
        <v>128</v>
      </c>
      <c r="I302" t="str">
        <f>LEFT(Таблица8[[#This Row],[ФИО]],(M302-1))</f>
        <v>Нинель</v>
      </c>
      <c r="J302" t="str">
        <f>MID(Таблица8[[#This Row],[ФИО]],M302,(N302-M302))</f>
        <v xml:space="preserve"> Кузьминична</v>
      </c>
      <c r="K302" t="str">
        <f>RIGHT(Таблица8[[#This Row],[ФИО]],(O302-N302))</f>
        <v>Журавлева</v>
      </c>
      <c r="M302" s="59">
        <f>FIND(" ",Таблица8[[#This Row],[ФИО]],2)</f>
        <v>7</v>
      </c>
      <c r="N302">
        <f>FIND(" ",Таблица8[[#This Row],[ФИО]],(M302+1))</f>
        <v>19</v>
      </c>
      <c r="O302">
        <f>LEN(Таблица8[[#This Row],[ФИО]])</f>
        <v>28</v>
      </c>
      <c r="Q302" s="59" t="str">
        <f>LEFT(Таблица8[[#This Row],[ФИО]],(M302-1))</f>
        <v>Нинель</v>
      </c>
      <c r="R302" t="s">
        <v>1223</v>
      </c>
      <c r="S302" t="s">
        <v>1555</v>
      </c>
    </row>
    <row r="303" spans="1:19" x14ac:dyDescent="0.25">
      <c r="A303" s="51">
        <v>397</v>
      </c>
      <c r="B303" t="s">
        <v>967</v>
      </c>
      <c r="C303" t="s">
        <v>966</v>
      </c>
      <c r="D303" t="s">
        <v>140</v>
      </c>
      <c r="E303" s="26">
        <v>44728</v>
      </c>
      <c r="F303" t="str">
        <f t="shared" si="4"/>
        <v>+375</v>
      </c>
      <c r="G303" t="str">
        <f>INDEX('коды стран'!$A$2:$A$7, MATCH(F303, 'коды стран'!$B$2:$B$7, 0))</f>
        <v>Беларусь</v>
      </c>
      <c r="H303" t="s">
        <v>134</v>
      </c>
      <c r="I303" t="str">
        <f>LEFT(Таблица8[[#This Row],[ФИО]],(M303-1))</f>
        <v>Нинель</v>
      </c>
      <c r="J303" t="str">
        <f>MID(Таблица8[[#This Row],[ФИО]],M303,(N303-M303))</f>
        <v xml:space="preserve"> Натановна</v>
      </c>
      <c r="K303" t="str">
        <f>RIGHT(Таблица8[[#This Row],[ФИО]],(O303-N303))</f>
        <v>Лазарева</v>
      </c>
      <c r="M303" s="60">
        <f>FIND(" ",Таблица8[[#This Row],[ФИО]],2)</f>
        <v>7</v>
      </c>
      <c r="N303">
        <f>FIND(" ",Таблица8[[#This Row],[ФИО]],(M303+1))</f>
        <v>17</v>
      </c>
      <c r="O303">
        <f>LEN(Таблица8[[#This Row],[ФИО]])</f>
        <v>25</v>
      </c>
      <c r="Q303" s="60" t="str">
        <f>LEFT(Таблица8[[#This Row],[ФИО]],(M303-1))</f>
        <v>Нинель</v>
      </c>
      <c r="R303" t="s">
        <v>1317</v>
      </c>
      <c r="S303" t="s">
        <v>1607</v>
      </c>
    </row>
    <row r="304" spans="1:19" x14ac:dyDescent="0.25">
      <c r="A304" s="51">
        <v>201</v>
      </c>
      <c r="B304" t="s">
        <v>297</v>
      </c>
      <c r="C304" t="s">
        <v>296</v>
      </c>
      <c r="D304" t="s">
        <v>143</v>
      </c>
      <c r="E304" s="26">
        <v>44843</v>
      </c>
      <c r="F304" t="str">
        <f t="shared" si="4"/>
        <v>+992</v>
      </c>
      <c r="G304" t="str">
        <f>INDEX('коды стран'!$A$2:$A$7, MATCH(F304, 'коды стран'!$B$2:$B$7, 0))</f>
        <v>Таджикистан</v>
      </c>
      <c r="H304" t="s">
        <v>130</v>
      </c>
      <c r="I304" t="str">
        <f>LEFT(Таблица8[[#This Row],[ФИО]],(M304-1))</f>
        <v>Новиков</v>
      </c>
      <c r="J304" t="str">
        <f>MID(Таблица8[[#This Row],[ФИО]],M304,(N304-M304))</f>
        <v xml:space="preserve"> Ростислав</v>
      </c>
      <c r="K304" t="str">
        <f>RIGHT(Таблица8[[#This Row],[ФИО]],(O304-N304))</f>
        <v>Августович</v>
      </c>
      <c r="M304" s="59">
        <f>FIND(" ",Таблица8[[#This Row],[ФИО]],2)</f>
        <v>8</v>
      </c>
      <c r="N304">
        <f>FIND(" ",Таблица8[[#This Row],[ФИО]],(M304+1))</f>
        <v>18</v>
      </c>
      <c r="O304">
        <f>LEN(Таблица8[[#This Row],[ФИО]])</f>
        <v>28</v>
      </c>
      <c r="Q304" s="59" t="str">
        <f>MID(Таблица8[[#This Row],[ФИО]],M304,(N304-M304))</f>
        <v xml:space="preserve"> Ростислав</v>
      </c>
      <c r="R304" t="s">
        <v>1177</v>
      </c>
      <c r="S304" t="s">
        <v>1548</v>
      </c>
    </row>
    <row r="305" spans="1:19" x14ac:dyDescent="0.25">
      <c r="A305" s="51">
        <v>320</v>
      </c>
      <c r="B305" t="s">
        <v>307</v>
      </c>
      <c r="C305" t="s">
        <v>306</v>
      </c>
      <c r="D305" t="s">
        <v>140</v>
      </c>
      <c r="E305" s="26">
        <v>44869</v>
      </c>
      <c r="F305" t="str">
        <f t="shared" si="4"/>
        <v>+375</v>
      </c>
      <c r="G305" t="str">
        <f>INDEX('коды стран'!$A$2:$A$7, MATCH(F305, 'коды стран'!$B$2:$B$7, 0))</f>
        <v>Беларусь</v>
      </c>
      <c r="H305" t="s">
        <v>134</v>
      </c>
      <c r="I305" t="str">
        <f>LEFT(Таблица8[[#This Row],[ФИО]],(M305-1))</f>
        <v>Новикова</v>
      </c>
      <c r="J305" t="str">
        <f>MID(Таблица8[[#This Row],[ФИО]],M305,(N305-M305))</f>
        <v xml:space="preserve"> Ия</v>
      </c>
      <c r="K305" t="str">
        <f>RIGHT(Таблица8[[#This Row],[ФИО]],(O305-N305))</f>
        <v>Рубеновна</v>
      </c>
      <c r="M305" s="60">
        <f>FIND(" ",Таблица8[[#This Row],[ФИО]],2)</f>
        <v>9</v>
      </c>
      <c r="N305">
        <f>FIND(" ",Таблица8[[#This Row],[ФИО]],(M305+1))</f>
        <v>12</v>
      </c>
      <c r="O305">
        <f>LEN(Таблица8[[#This Row],[ФИО]])</f>
        <v>21</v>
      </c>
      <c r="Q305" s="60" t="str">
        <f>MID(Таблица8[[#This Row],[ФИО]],M305,(N305-M305))</f>
        <v xml:space="preserve"> Ия</v>
      </c>
      <c r="R305" t="s">
        <v>1123</v>
      </c>
      <c r="S305" t="s">
        <v>1552</v>
      </c>
    </row>
    <row r="306" spans="1:19" x14ac:dyDescent="0.25">
      <c r="A306" s="51">
        <v>481</v>
      </c>
      <c r="B306" t="s">
        <v>971</v>
      </c>
      <c r="C306" t="s">
        <v>970</v>
      </c>
      <c r="D306" t="s">
        <v>143</v>
      </c>
      <c r="E306" s="26">
        <v>44756</v>
      </c>
      <c r="F306" t="str">
        <f t="shared" si="4"/>
        <v>+375</v>
      </c>
      <c r="G306" t="str">
        <f>INDEX('коды стран'!$A$2:$A$7, MATCH(F306, 'коды стран'!$B$2:$B$7, 0))</f>
        <v>Беларусь</v>
      </c>
      <c r="H306" t="s">
        <v>134</v>
      </c>
      <c r="I306" t="str">
        <f>LEFT(Таблица8[[#This Row],[ФИО]],(M306-1))</f>
        <v>Новикова</v>
      </c>
      <c r="J306" t="str">
        <f>MID(Таблица8[[#This Row],[ФИО]],M306,(N306-M306))</f>
        <v xml:space="preserve"> Лидия</v>
      </c>
      <c r="K306" t="str">
        <f>RIGHT(Таблица8[[#This Row],[ФИО]],(O306-N306))</f>
        <v>Павловна</v>
      </c>
      <c r="M306" s="59">
        <f>FIND(" ",Таблица8[[#This Row],[ФИО]],2)</f>
        <v>9</v>
      </c>
      <c r="N306">
        <f>FIND(" ",Таблица8[[#This Row],[ФИО]],(M306+1))</f>
        <v>15</v>
      </c>
      <c r="O306">
        <f>LEN(Таблица8[[#This Row],[ФИО]])</f>
        <v>23</v>
      </c>
      <c r="Q306" s="59" t="str">
        <f>MID(Таблица8[[#This Row],[ФИО]],M306,(N306-M306))</f>
        <v xml:space="preserve"> Лидия</v>
      </c>
      <c r="R306" t="s">
        <v>1123</v>
      </c>
      <c r="S306" t="s">
        <v>1544</v>
      </c>
    </row>
    <row r="307" spans="1:19" x14ac:dyDescent="0.25">
      <c r="A307" s="51">
        <v>116</v>
      </c>
      <c r="B307" t="s">
        <v>1003</v>
      </c>
      <c r="C307" t="s">
        <v>1002</v>
      </c>
      <c r="D307" t="s">
        <v>140</v>
      </c>
      <c r="E307" s="26">
        <v>44643</v>
      </c>
      <c r="F307" t="str">
        <f t="shared" si="4"/>
        <v>+7</v>
      </c>
      <c r="G307" t="str">
        <f>INDEX('коды стран'!$A$2:$A$7, MATCH(F307, 'коды стран'!$B$2:$B$7, 0))</f>
        <v>Россия</v>
      </c>
      <c r="H307" t="s">
        <v>137</v>
      </c>
      <c r="I307" t="str">
        <f>LEFT(Таблица8[[#This Row],[ФИО]],(M307-1))</f>
        <v>Носкова</v>
      </c>
      <c r="J307" t="str">
        <f>MID(Таблица8[[#This Row],[ФИО]],M307,(N307-M307))</f>
        <v xml:space="preserve"> Вера</v>
      </c>
      <c r="K307" t="str">
        <f>RIGHT(Таблица8[[#This Row],[ФИО]],(O307-N307))</f>
        <v>Федоровна</v>
      </c>
      <c r="M307" s="60">
        <f>FIND(" ",Таблица8[[#This Row],[ФИО]],2)</f>
        <v>8</v>
      </c>
      <c r="N307">
        <f>FIND(" ",Таблица8[[#This Row],[ФИО]],(M307+1))</f>
        <v>13</v>
      </c>
      <c r="O307">
        <f>LEN(Таблица8[[#This Row],[ФИО]])</f>
        <v>22</v>
      </c>
      <c r="Q307" s="60" t="str">
        <f>MID(Таблица8[[#This Row],[ФИО]],M307,(N307-M307))</f>
        <v xml:space="preserve"> Вера</v>
      </c>
      <c r="R307" t="s">
        <v>1318</v>
      </c>
      <c r="S307" t="s">
        <v>1608</v>
      </c>
    </row>
    <row r="308" spans="1:19" x14ac:dyDescent="0.25">
      <c r="A308" s="51">
        <v>464</v>
      </c>
      <c r="B308" t="s">
        <v>753</v>
      </c>
      <c r="C308" t="s">
        <v>752</v>
      </c>
      <c r="D308" t="s">
        <v>140</v>
      </c>
      <c r="E308" s="26">
        <v>44827</v>
      </c>
      <c r="F308" t="str">
        <f t="shared" si="4"/>
        <v>+7</v>
      </c>
      <c r="G308" t="str">
        <f>INDEX('коды стран'!$A$2:$A$7, MATCH(F308, 'коды стран'!$B$2:$B$7, 0))</f>
        <v>Россия</v>
      </c>
      <c r="H308" t="s">
        <v>137</v>
      </c>
      <c r="I308" t="str">
        <f>LEFT(Таблица8[[#This Row],[ФИО]],(M308-1))</f>
        <v>Носкова</v>
      </c>
      <c r="J308" t="str">
        <f>MID(Таблица8[[#This Row],[ФИО]],M308,(N308-M308))</f>
        <v xml:space="preserve"> Ольга</v>
      </c>
      <c r="K308" t="str">
        <f>RIGHT(Таблица8[[#This Row],[ФИО]],(O308-N308))</f>
        <v>Ждановна</v>
      </c>
      <c r="M308" s="59">
        <f>FIND(" ",Таблица8[[#This Row],[ФИО]],2)</f>
        <v>8</v>
      </c>
      <c r="N308">
        <f>FIND(" ",Таблица8[[#This Row],[ФИО]],(M308+1))</f>
        <v>14</v>
      </c>
      <c r="O308">
        <f>LEN(Таблица8[[#This Row],[ФИО]])</f>
        <v>22</v>
      </c>
      <c r="Q308" s="59" t="str">
        <f>MID(Таблица8[[#This Row],[ФИО]],M308,(N308-M308))</f>
        <v xml:space="preserve"> Ольга</v>
      </c>
      <c r="R308" t="s">
        <v>1318</v>
      </c>
      <c r="S308" t="s">
        <v>1574</v>
      </c>
    </row>
    <row r="309" spans="1:19" x14ac:dyDescent="0.25">
      <c r="A309" s="51">
        <v>105</v>
      </c>
      <c r="B309" t="s">
        <v>231</v>
      </c>
      <c r="C309" t="s">
        <v>230</v>
      </c>
      <c r="D309" t="s">
        <v>143</v>
      </c>
      <c r="E309" s="26">
        <v>44918</v>
      </c>
      <c r="F309" t="str">
        <f t="shared" si="4"/>
        <v>+998</v>
      </c>
      <c r="G309" t="str">
        <f>INDEX('коды стран'!$A$2:$A$7, MATCH(F309, 'коды стран'!$B$2:$B$7, 0))</f>
        <v>Узбекистан</v>
      </c>
      <c r="H309" t="s">
        <v>132</v>
      </c>
      <c r="I309" t="str">
        <f>LEFT(Таблица8[[#This Row],[ФИО]],(M309-1))</f>
        <v>Овчинникова</v>
      </c>
      <c r="J309" t="str">
        <f>MID(Таблица8[[#This Row],[ФИО]],M309,(N309-M309))</f>
        <v xml:space="preserve"> Зоя</v>
      </c>
      <c r="K309" t="str">
        <f>RIGHT(Таблица8[[#This Row],[ФИО]],(O309-N309))</f>
        <v>Вячеславовна</v>
      </c>
      <c r="M309" s="60">
        <f>FIND(" ",Таблица8[[#This Row],[ФИО]],2)</f>
        <v>12</v>
      </c>
      <c r="N309">
        <f>FIND(" ",Таблица8[[#This Row],[ФИО]],(M309+1))</f>
        <v>16</v>
      </c>
      <c r="O309">
        <f>LEN(Таблица8[[#This Row],[ФИО]])</f>
        <v>28</v>
      </c>
      <c r="Q309" s="60" t="str">
        <f>MID(Таблица8[[#This Row],[ФИО]],M309,(N309-M309))</f>
        <v xml:space="preserve"> Зоя</v>
      </c>
      <c r="R309" t="s">
        <v>1319</v>
      </c>
      <c r="S309" t="s">
        <v>1522</v>
      </c>
    </row>
    <row r="310" spans="1:19" x14ac:dyDescent="0.25">
      <c r="A310" s="51">
        <v>299</v>
      </c>
      <c r="B310" t="s">
        <v>199</v>
      </c>
      <c r="C310" t="s">
        <v>198</v>
      </c>
      <c r="D310" t="s">
        <v>140</v>
      </c>
      <c r="E310" s="26">
        <v>44666</v>
      </c>
      <c r="F310" t="str">
        <f t="shared" si="4"/>
        <v>+380</v>
      </c>
      <c r="G310" t="str">
        <f>INDEX('коды стран'!$A$2:$A$7, MATCH(F310, 'коды стран'!$B$2:$B$7, 0))</f>
        <v>Украина</v>
      </c>
      <c r="H310" t="s">
        <v>128</v>
      </c>
      <c r="I310" t="str">
        <f>LEFT(Таблица8[[#This Row],[ФИО]],(M310-1))</f>
        <v>Одинцов</v>
      </c>
      <c r="J310" t="str">
        <f>MID(Таблица8[[#This Row],[ФИО]],M310,(N310-M310))</f>
        <v xml:space="preserve"> Анисим</v>
      </c>
      <c r="K310" t="str">
        <f>RIGHT(Таблица8[[#This Row],[ФИО]],(O310-N310))</f>
        <v>Евсеевич</v>
      </c>
      <c r="M310" s="59">
        <f>FIND(" ",Таблица8[[#This Row],[ФИО]],2)</f>
        <v>8</v>
      </c>
      <c r="N310">
        <f>FIND(" ",Таблица8[[#This Row],[ФИО]],(M310+1))</f>
        <v>15</v>
      </c>
      <c r="O310">
        <f>LEN(Таблица8[[#This Row],[ФИО]])</f>
        <v>23</v>
      </c>
      <c r="Q310" s="59" t="str">
        <f>MID(Таблица8[[#This Row],[ФИО]],M310,(N310-M310))</f>
        <v xml:space="preserve"> Анисим</v>
      </c>
      <c r="R310" t="s">
        <v>1193</v>
      </c>
      <c r="S310" t="s">
        <v>1515</v>
      </c>
    </row>
    <row r="311" spans="1:19" x14ac:dyDescent="0.25">
      <c r="A311" s="51">
        <v>242</v>
      </c>
      <c r="B311" t="s">
        <v>279</v>
      </c>
      <c r="C311" t="s">
        <v>278</v>
      </c>
      <c r="D311" t="s">
        <v>140</v>
      </c>
      <c r="E311" s="26">
        <v>44747</v>
      </c>
      <c r="F311" t="str">
        <f t="shared" si="4"/>
        <v>+7</v>
      </c>
      <c r="G311" t="str">
        <f>INDEX('коды стран'!$A$2:$A$7, MATCH(F311, 'коды стран'!$B$2:$B$7, 0))</f>
        <v>Россия</v>
      </c>
      <c r="H311" t="s">
        <v>137</v>
      </c>
      <c r="I311" t="str">
        <f>LEFT(Таблица8[[#This Row],[ФИО]],(M311-1))</f>
        <v>Октябрина</v>
      </c>
      <c r="J311" t="str">
        <f>MID(Таблица8[[#This Row],[ФИО]],M311,(N311-M311))</f>
        <v xml:space="preserve"> Павловна</v>
      </c>
      <c r="K311" t="str">
        <f>RIGHT(Таблица8[[#This Row],[ФИО]],(O311-N311))</f>
        <v>Зимина</v>
      </c>
      <c r="M311" s="60">
        <f>FIND(" ",Таблица8[[#This Row],[ФИО]],2)</f>
        <v>10</v>
      </c>
      <c r="N311">
        <f>FIND(" ",Таблица8[[#This Row],[ФИО]],(M311+1))</f>
        <v>19</v>
      </c>
      <c r="O311">
        <f>LEN(Таблица8[[#This Row],[ФИО]])</f>
        <v>25</v>
      </c>
      <c r="Q311" s="60" t="str">
        <f>LEFT(Таблица8[[#This Row],[ФИО]],(M311-1))</f>
        <v>Октябрина</v>
      </c>
      <c r="R311" t="s">
        <v>1320</v>
      </c>
      <c r="S311" t="s">
        <v>1576</v>
      </c>
    </row>
    <row r="312" spans="1:19" x14ac:dyDescent="0.25">
      <c r="A312" s="51">
        <v>461</v>
      </c>
      <c r="B312" t="s">
        <v>481</v>
      </c>
      <c r="C312" t="s">
        <v>480</v>
      </c>
      <c r="D312" t="s">
        <v>143</v>
      </c>
      <c r="E312" s="26">
        <v>44667</v>
      </c>
      <c r="F312" t="str">
        <f t="shared" si="4"/>
        <v>+998</v>
      </c>
      <c r="G312" t="str">
        <f>INDEX('коды стран'!$A$2:$A$7, MATCH(F312, 'коды стран'!$B$2:$B$7, 0))</f>
        <v>Узбекистан</v>
      </c>
      <c r="H312" t="s">
        <v>132</v>
      </c>
      <c r="I312" t="str">
        <f>LEFT(Таблица8[[#This Row],[ФИО]],(M312-1))</f>
        <v>Олимпиада</v>
      </c>
      <c r="J312" t="str">
        <f>MID(Таблица8[[#This Row],[ФИО]],M312,(N312-M312))</f>
        <v xml:space="preserve"> Львовна</v>
      </c>
      <c r="K312" t="str">
        <f>RIGHT(Таблица8[[#This Row],[ФИО]],(O312-N312))</f>
        <v>Михайлова</v>
      </c>
      <c r="M312" s="59">
        <f>FIND(" ",Таблица8[[#This Row],[ФИО]],2)</f>
        <v>10</v>
      </c>
      <c r="N312">
        <f>FIND(" ",Таблица8[[#This Row],[ФИО]],(M312+1))</f>
        <v>18</v>
      </c>
      <c r="O312">
        <f>LEN(Таблица8[[#This Row],[ФИО]])</f>
        <v>27</v>
      </c>
      <c r="Q312" s="59" t="str">
        <f>LEFT(Таблица8[[#This Row],[ФИО]],(M312-1))</f>
        <v>Олимпиада</v>
      </c>
      <c r="R312" t="s">
        <v>1301</v>
      </c>
      <c r="S312" t="s">
        <v>1609</v>
      </c>
    </row>
    <row r="313" spans="1:19" x14ac:dyDescent="0.25">
      <c r="A313" s="51">
        <v>488</v>
      </c>
      <c r="B313" t="s">
        <v>171</v>
      </c>
      <c r="C313" t="s">
        <v>170</v>
      </c>
      <c r="D313" t="s">
        <v>143</v>
      </c>
      <c r="E313" s="26">
        <v>44738</v>
      </c>
      <c r="F313" t="str">
        <f t="shared" si="4"/>
        <v>+375</v>
      </c>
      <c r="G313" t="str">
        <f>INDEX('коды стран'!$A$2:$A$7, MATCH(F313, 'коды стран'!$B$2:$B$7, 0))</f>
        <v>Беларусь</v>
      </c>
      <c r="H313" t="s">
        <v>134</v>
      </c>
      <c r="I313" t="str">
        <f>LEFT(Таблица8[[#This Row],[ФИО]],(M313-1))</f>
        <v>Ольга</v>
      </c>
      <c r="J313" t="str">
        <f>MID(Таблица8[[#This Row],[ФИО]],M313,(N313-M313))</f>
        <v xml:space="preserve"> Аскольдовна</v>
      </c>
      <c r="K313" t="str">
        <f>RIGHT(Таблица8[[#This Row],[ФИО]],(O313-N313))</f>
        <v>Данилова</v>
      </c>
      <c r="M313" s="60">
        <f>FIND(" ",Таблица8[[#This Row],[ФИО]],2)</f>
        <v>6</v>
      </c>
      <c r="N313">
        <f>FIND(" ",Таблица8[[#This Row],[ФИО]],(M313+1))</f>
        <v>18</v>
      </c>
      <c r="O313">
        <f>LEN(Таблица8[[#This Row],[ФИО]])</f>
        <v>26</v>
      </c>
      <c r="Q313" s="60" t="str">
        <f>LEFT(Таблица8[[#This Row],[ФИО]],(M313-1))</f>
        <v>Ольга</v>
      </c>
      <c r="R313" t="s">
        <v>1212</v>
      </c>
      <c r="S313" t="s">
        <v>1610</v>
      </c>
    </row>
    <row r="314" spans="1:19" x14ac:dyDescent="0.25">
      <c r="A314" s="51">
        <v>370</v>
      </c>
      <c r="B314" t="s">
        <v>381</v>
      </c>
      <c r="C314" t="s">
        <v>380</v>
      </c>
      <c r="D314" t="s">
        <v>143</v>
      </c>
      <c r="E314" s="26">
        <v>44726</v>
      </c>
      <c r="F314" t="str">
        <f t="shared" si="4"/>
        <v>+992</v>
      </c>
      <c r="G314" t="str">
        <f>INDEX('коды стран'!$A$2:$A$7, MATCH(F314, 'коды стран'!$B$2:$B$7, 0))</f>
        <v>Таджикистан</v>
      </c>
      <c r="H314" t="s">
        <v>130</v>
      </c>
      <c r="I314" t="str">
        <f>LEFT(Таблица8[[#This Row],[ФИО]],(M314-1))</f>
        <v>Орехова</v>
      </c>
      <c r="J314" t="str">
        <f>MID(Таблица8[[#This Row],[ФИО]],M314,(N314-M314))</f>
        <v xml:space="preserve"> Кира</v>
      </c>
      <c r="K314" t="str">
        <f>RIGHT(Таблица8[[#This Row],[ФИО]],(O314-N314))</f>
        <v>Натановна</v>
      </c>
      <c r="M314" s="59">
        <f>FIND(" ",Таблица8[[#This Row],[ФИО]],2)</f>
        <v>8</v>
      </c>
      <c r="N314">
        <f>FIND(" ",Таблица8[[#This Row],[ФИО]],(M314+1))</f>
        <v>13</v>
      </c>
      <c r="O314">
        <f>LEN(Таблица8[[#This Row],[ФИО]])</f>
        <v>22</v>
      </c>
      <c r="Q314" s="59" t="str">
        <f>MID(Таблица8[[#This Row],[ФИО]],M314,(N314-M314))</f>
        <v xml:space="preserve"> Кира</v>
      </c>
      <c r="R314" t="s">
        <v>1321</v>
      </c>
      <c r="S314" t="s">
        <v>1611</v>
      </c>
    </row>
    <row r="315" spans="1:19" x14ac:dyDescent="0.25">
      <c r="A315" s="51">
        <v>335</v>
      </c>
      <c r="B315" t="s">
        <v>995</v>
      </c>
      <c r="C315" t="s">
        <v>994</v>
      </c>
      <c r="D315" t="s">
        <v>140</v>
      </c>
      <c r="E315" s="26">
        <v>44619</v>
      </c>
      <c r="F315" t="str">
        <f t="shared" si="4"/>
        <v>+998</v>
      </c>
      <c r="G315" t="str">
        <f>INDEX('коды стран'!$A$2:$A$7, MATCH(F315, 'коды стран'!$B$2:$B$7, 0))</f>
        <v>Узбекистан</v>
      </c>
      <c r="H315" t="s">
        <v>132</v>
      </c>
      <c r="I315" t="str">
        <f>LEFT(Таблица8[[#This Row],[ФИО]],(M315-1))</f>
        <v>Осипов</v>
      </c>
      <c r="J315" t="str">
        <f>MID(Таблица8[[#This Row],[ФИО]],M315,(N315-M315))</f>
        <v xml:space="preserve"> Светозар</v>
      </c>
      <c r="K315" t="str">
        <f>RIGHT(Таблица8[[#This Row],[ФИО]],(O315-N315))</f>
        <v>Ефремович</v>
      </c>
      <c r="M315" s="60">
        <f>FIND(" ",Таблица8[[#This Row],[ФИО]],2)</f>
        <v>7</v>
      </c>
      <c r="N315">
        <f>FIND(" ",Таблица8[[#This Row],[ФИО]],(M315+1))</f>
        <v>16</v>
      </c>
      <c r="O315">
        <f>LEN(Таблица8[[#This Row],[ФИО]])</f>
        <v>25</v>
      </c>
      <c r="Q315" s="60" t="str">
        <f>MID(Таблица8[[#This Row],[ФИО]],M315,(N315-M315))</f>
        <v xml:space="preserve"> Светозар</v>
      </c>
      <c r="R315" t="s">
        <v>1322</v>
      </c>
      <c r="S315" t="s">
        <v>1612</v>
      </c>
    </row>
    <row r="316" spans="1:19" x14ac:dyDescent="0.25">
      <c r="A316" s="51">
        <v>150</v>
      </c>
      <c r="B316" t="s">
        <v>895</v>
      </c>
      <c r="C316" t="s">
        <v>894</v>
      </c>
      <c r="D316" t="s">
        <v>140</v>
      </c>
      <c r="E316" s="26">
        <v>44622</v>
      </c>
      <c r="F316" t="str">
        <f t="shared" si="4"/>
        <v>+998</v>
      </c>
      <c r="G316" t="str">
        <f>INDEX('коды стран'!$A$2:$A$7, MATCH(F316, 'коды стран'!$B$2:$B$7, 0))</f>
        <v>Узбекистан</v>
      </c>
      <c r="H316" t="s">
        <v>132</v>
      </c>
      <c r="I316" t="str">
        <f>LEFT(Таблица8[[#This Row],[ФИО]],(M316-1))</f>
        <v>Панова</v>
      </c>
      <c r="J316" t="str">
        <f>MID(Таблица8[[#This Row],[ФИО]],M316,(N316-M316))</f>
        <v xml:space="preserve"> Евгения</v>
      </c>
      <c r="K316" t="str">
        <f>RIGHT(Таблица8[[#This Row],[ФИО]],(O316-N316))</f>
        <v>Викторовна</v>
      </c>
      <c r="M316" s="59">
        <f>FIND(" ",Таблица8[[#This Row],[ФИО]],2)</f>
        <v>7</v>
      </c>
      <c r="N316">
        <f>FIND(" ",Таблица8[[#This Row],[ФИО]],(M316+1))</f>
        <v>15</v>
      </c>
      <c r="O316">
        <f>LEN(Таблица8[[#This Row],[ФИО]])</f>
        <v>25</v>
      </c>
      <c r="Q316" s="59" t="str">
        <f>MID(Таблица8[[#This Row],[ФИО]],M316,(N316-M316))</f>
        <v xml:space="preserve"> Евгения</v>
      </c>
      <c r="R316" t="s">
        <v>1226</v>
      </c>
      <c r="S316" t="s">
        <v>1613</v>
      </c>
    </row>
    <row r="317" spans="1:19" x14ac:dyDescent="0.25">
      <c r="A317" s="51">
        <v>42</v>
      </c>
      <c r="B317" t="s">
        <v>877</v>
      </c>
      <c r="C317" t="s">
        <v>876</v>
      </c>
      <c r="D317" t="s">
        <v>143</v>
      </c>
      <c r="E317" s="26">
        <v>44783</v>
      </c>
      <c r="F317" t="str">
        <f t="shared" si="4"/>
        <v>+992</v>
      </c>
      <c r="G317" t="str">
        <f>INDEX('коды стран'!$A$2:$A$7, MATCH(F317, 'коды стран'!$B$2:$B$7, 0))</f>
        <v>Таджикистан</v>
      </c>
      <c r="H317" t="s">
        <v>130</v>
      </c>
      <c r="I317" t="str">
        <f>LEFT(Таблица8[[#This Row],[ФИО]],(M317-1))</f>
        <v>Панфил</v>
      </c>
      <c r="J317" t="str">
        <f>MID(Таблица8[[#This Row],[ФИО]],M317,(N317-M317))</f>
        <v xml:space="preserve"> Федотович</v>
      </c>
      <c r="K317" t="str">
        <f>RIGHT(Таблица8[[#This Row],[ФИО]],(O317-N317))</f>
        <v>Шаров</v>
      </c>
      <c r="M317" s="60">
        <f>FIND(" ",Таблица8[[#This Row],[ФИО]],2)</f>
        <v>7</v>
      </c>
      <c r="N317">
        <f>FIND(" ",Таблица8[[#This Row],[ФИО]],(M317+1))</f>
        <v>17</v>
      </c>
      <c r="O317">
        <f>LEN(Таблица8[[#This Row],[ФИО]])</f>
        <v>22</v>
      </c>
      <c r="Q317" s="60" t="str">
        <f>LEFT(Таблица8[[#This Row],[ФИО]],(M317-1))</f>
        <v>Панфил</v>
      </c>
      <c r="R317" t="s">
        <v>1323</v>
      </c>
      <c r="S317" t="s">
        <v>1614</v>
      </c>
    </row>
    <row r="318" spans="1:19" x14ac:dyDescent="0.25">
      <c r="A318" s="51">
        <v>402</v>
      </c>
      <c r="B318" t="s">
        <v>405</v>
      </c>
      <c r="C318" t="s">
        <v>404</v>
      </c>
      <c r="D318" t="s">
        <v>143</v>
      </c>
      <c r="E318" s="26">
        <v>44742</v>
      </c>
      <c r="F318" t="str">
        <f t="shared" si="4"/>
        <v>+998</v>
      </c>
      <c r="G318" t="str">
        <f>INDEX('коды стран'!$A$2:$A$7, MATCH(F318, 'коды стран'!$B$2:$B$7, 0))</f>
        <v>Узбекистан</v>
      </c>
      <c r="H318" t="s">
        <v>132</v>
      </c>
      <c r="I318" t="str">
        <f>LEFT(Таблица8[[#This Row],[ФИО]],(M318-1))</f>
        <v>Пахом</v>
      </c>
      <c r="J318" t="str">
        <f>MID(Таблица8[[#This Row],[ФИО]],M318,(N318-M318))</f>
        <v xml:space="preserve"> Даниилович</v>
      </c>
      <c r="K318" t="str">
        <f>RIGHT(Таблица8[[#This Row],[ФИО]],(O318-N318))</f>
        <v>Кузьмин</v>
      </c>
      <c r="M318" s="59">
        <f>FIND(" ",Таблица8[[#This Row],[ФИО]],2)</f>
        <v>6</v>
      </c>
      <c r="N318">
        <f>FIND(" ",Таблица8[[#This Row],[ФИО]],(M318+1))</f>
        <v>17</v>
      </c>
      <c r="O318">
        <f>LEN(Таблица8[[#This Row],[ФИО]])</f>
        <v>24</v>
      </c>
      <c r="Q318" s="59" t="str">
        <f>LEFT(Таблица8[[#This Row],[ФИО]],(M318-1))</f>
        <v>Пахом</v>
      </c>
      <c r="R318" t="s">
        <v>1324</v>
      </c>
      <c r="S318" t="s">
        <v>1615</v>
      </c>
    </row>
    <row r="319" spans="1:19" x14ac:dyDescent="0.25">
      <c r="A319" s="51">
        <v>56</v>
      </c>
      <c r="B319" t="s">
        <v>503</v>
      </c>
      <c r="C319" t="s">
        <v>502</v>
      </c>
      <c r="D319" t="s">
        <v>140</v>
      </c>
      <c r="E319" s="26">
        <v>44662</v>
      </c>
      <c r="F319" t="str">
        <f t="shared" si="4"/>
        <v>+992</v>
      </c>
      <c r="G319" t="str">
        <f>INDEX('коды стран'!$A$2:$A$7, MATCH(F319, 'коды стран'!$B$2:$B$7, 0))</f>
        <v>Таджикистан</v>
      </c>
      <c r="H319" t="s">
        <v>130</v>
      </c>
      <c r="I319" t="str">
        <f>LEFT(Таблица8[[#This Row],[ФИО]],(M319-1))</f>
        <v>Пелагея</v>
      </c>
      <c r="J319" t="str">
        <f>MID(Таблица8[[#This Row],[ФИО]],M319,(N319-M319))</f>
        <v xml:space="preserve"> Антоновна</v>
      </c>
      <c r="K319" t="str">
        <f>RIGHT(Таблица8[[#This Row],[ФИО]],(O319-N319))</f>
        <v>Цветкова</v>
      </c>
      <c r="M319" s="60">
        <f>FIND(" ",Таблица8[[#This Row],[ФИО]],2)</f>
        <v>8</v>
      </c>
      <c r="N319">
        <f>FIND(" ",Таблица8[[#This Row],[ФИО]],(M319+1))</f>
        <v>18</v>
      </c>
      <c r="O319">
        <f>LEN(Таблица8[[#This Row],[ФИО]])</f>
        <v>26</v>
      </c>
      <c r="Q319" s="60" t="str">
        <f>LEFT(Таблица8[[#This Row],[ФИО]],(M319-1))</f>
        <v>Пелагея</v>
      </c>
      <c r="R319" t="s">
        <v>1325</v>
      </c>
      <c r="S319" t="s">
        <v>1616</v>
      </c>
    </row>
    <row r="320" spans="1:19" x14ac:dyDescent="0.25">
      <c r="A320" s="51">
        <v>449</v>
      </c>
      <c r="B320" t="s">
        <v>873</v>
      </c>
      <c r="C320" t="s">
        <v>872</v>
      </c>
      <c r="D320" t="s">
        <v>140</v>
      </c>
      <c r="E320" s="26">
        <v>44645</v>
      </c>
      <c r="F320" t="str">
        <f t="shared" si="4"/>
        <v>+992</v>
      </c>
      <c r="G320" t="str">
        <f>INDEX('коды стран'!$A$2:$A$7, MATCH(F320, 'коды стран'!$B$2:$B$7, 0))</f>
        <v>Таджикистан</v>
      </c>
      <c r="H320" t="s">
        <v>130</v>
      </c>
      <c r="I320" t="str">
        <f>LEFT(Таблица8[[#This Row],[ФИО]],(M320-1))</f>
        <v>Пестов</v>
      </c>
      <c r="J320" t="str">
        <f>MID(Таблица8[[#This Row],[ФИО]],M320,(N320-M320))</f>
        <v xml:space="preserve"> Измаил</v>
      </c>
      <c r="K320" t="str">
        <f>RIGHT(Таблица8[[#This Row],[ФИО]],(O320-N320))</f>
        <v>Глебович</v>
      </c>
      <c r="M320" s="59">
        <f>FIND(" ",Таблица8[[#This Row],[ФИО]],2)</f>
        <v>7</v>
      </c>
      <c r="N320">
        <f>FIND(" ",Таблица8[[#This Row],[ФИО]],(M320+1))</f>
        <v>14</v>
      </c>
      <c r="O320">
        <f>LEN(Таблица8[[#This Row],[ФИО]])</f>
        <v>22</v>
      </c>
      <c r="Q320" s="59" t="str">
        <f>MID(Таблица8[[#This Row],[ФИО]],M320,(N320-M320))</f>
        <v xml:space="preserve"> Измаил</v>
      </c>
      <c r="R320" t="s">
        <v>1326</v>
      </c>
      <c r="S320" t="s">
        <v>1617</v>
      </c>
    </row>
    <row r="321" spans="1:19" x14ac:dyDescent="0.25">
      <c r="A321" s="51">
        <v>196</v>
      </c>
      <c r="B321" t="s">
        <v>245</v>
      </c>
      <c r="C321" t="s">
        <v>244</v>
      </c>
      <c r="D321" t="s">
        <v>143</v>
      </c>
      <c r="E321" s="26">
        <v>44835</v>
      </c>
      <c r="F321" t="str">
        <f t="shared" si="4"/>
        <v>+7</v>
      </c>
      <c r="G321" t="str">
        <f>INDEX('коды стран'!$A$2:$A$7, MATCH(F321, 'коды стран'!$B$2:$B$7, 0))</f>
        <v>Россия</v>
      </c>
      <c r="H321" t="s">
        <v>137</v>
      </c>
      <c r="I321" t="str">
        <f>LEFT(Таблица8[[#This Row],[ФИО]],(M321-1))</f>
        <v>Петрова</v>
      </c>
      <c r="J321" t="str">
        <f>MID(Таблица8[[#This Row],[ФИО]],M321,(N321-M321))</f>
        <v xml:space="preserve"> Майя</v>
      </c>
      <c r="K321" t="str">
        <f>RIGHT(Таблица8[[#This Row],[ФИО]],(O321-N321))</f>
        <v>Богдановна</v>
      </c>
      <c r="M321" s="60">
        <f>FIND(" ",Таблица8[[#This Row],[ФИО]],2)</f>
        <v>8</v>
      </c>
      <c r="N321">
        <f>FIND(" ",Таблица8[[#This Row],[ФИО]],(M321+1))</f>
        <v>13</v>
      </c>
      <c r="O321">
        <f>LEN(Таблица8[[#This Row],[ФИО]])</f>
        <v>23</v>
      </c>
      <c r="Q321" s="60" t="str">
        <f>MID(Таблица8[[#This Row],[ФИО]],M321,(N321-M321))</f>
        <v xml:space="preserve"> Майя</v>
      </c>
      <c r="R321" t="s">
        <v>1327</v>
      </c>
      <c r="S321" t="s">
        <v>1618</v>
      </c>
    </row>
    <row r="322" spans="1:19" x14ac:dyDescent="0.25">
      <c r="A322" s="51">
        <v>131</v>
      </c>
      <c r="B322" t="s">
        <v>951</v>
      </c>
      <c r="C322" t="s">
        <v>950</v>
      </c>
      <c r="D322" t="s">
        <v>143</v>
      </c>
      <c r="E322" s="26">
        <v>44693</v>
      </c>
      <c r="F322" t="str">
        <f t="shared" ref="F322:F385" si="5">LEFT(B322,LEN(B322)-13)</f>
        <v>+7</v>
      </c>
      <c r="G322" t="str">
        <f>INDEX('коды стран'!$A$2:$A$7, MATCH(F322, 'коды стран'!$B$2:$B$7, 0))</f>
        <v>Россия</v>
      </c>
      <c r="H322" t="s">
        <v>137</v>
      </c>
      <c r="I322" t="str">
        <f>LEFT(Таблица8[[#This Row],[ФИО]],(M322-1))</f>
        <v>Полина</v>
      </c>
      <c r="J322" t="str">
        <f>MID(Таблица8[[#This Row],[ФИО]],M322,(N322-M322))</f>
        <v xml:space="preserve"> Николаевна</v>
      </c>
      <c r="K322" t="str">
        <f>RIGHT(Таблица8[[#This Row],[ФИО]],(O322-N322))</f>
        <v>Евдокимова</v>
      </c>
      <c r="M322" s="59">
        <f>FIND(" ",Таблица8[[#This Row],[ФИО]],2)</f>
        <v>7</v>
      </c>
      <c r="N322">
        <f>FIND(" ",Таблица8[[#This Row],[ФИО]],(M322+1))</f>
        <v>18</v>
      </c>
      <c r="O322">
        <f>LEN(Таблица8[[#This Row],[ФИО]])</f>
        <v>28</v>
      </c>
      <c r="Q322" s="59" t="str">
        <f>LEFT(Таблица8[[#This Row],[ФИО]],(M322-1))</f>
        <v>Полина</v>
      </c>
      <c r="R322" t="s">
        <v>1328</v>
      </c>
      <c r="S322" t="s">
        <v>1482</v>
      </c>
    </row>
    <row r="323" spans="1:19" x14ac:dyDescent="0.25">
      <c r="A323" s="51">
        <v>318</v>
      </c>
      <c r="B323" t="s">
        <v>937</v>
      </c>
      <c r="C323" t="s">
        <v>936</v>
      </c>
      <c r="D323" t="s">
        <v>143</v>
      </c>
      <c r="E323" s="26">
        <v>44892</v>
      </c>
      <c r="F323" t="str">
        <f t="shared" si="5"/>
        <v>+998</v>
      </c>
      <c r="G323" t="str">
        <f>INDEX('коды стран'!$A$2:$A$7, MATCH(F323, 'коды стран'!$B$2:$B$7, 0))</f>
        <v>Узбекистан</v>
      </c>
      <c r="H323" t="s">
        <v>132</v>
      </c>
      <c r="I323" t="str">
        <f>LEFT(Таблица8[[#This Row],[ФИО]],(M323-1))</f>
        <v>Поляков</v>
      </c>
      <c r="J323" t="str">
        <f>MID(Таблица8[[#This Row],[ФИО]],M323,(N323-M323))</f>
        <v xml:space="preserve"> Боян</v>
      </c>
      <c r="K323" t="str">
        <f>RIGHT(Таблица8[[#This Row],[ФИО]],(O323-N323))</f>
        <v>Андреевич</v>
      </c>
      <c r="M323" s="60">
        <f>FIND(" ",Таблица8[[#This Row],[ФИО]],2)</f>
        <v>8</v>
      </c>
      <c r="N323">
        <f>FIND(" ",Таблица8[[#This Row],[ФИО]],(M323+1))</f>
        <v>13</v>
      </c>
      <c r="O323">
        <f>LEN(Таблица8[[#This Row],[ФИО]])</f>
        <v>22</v>
      </c>
      <c r="Q323" s="60" t="str">
        <f>MID(Таблица8[[#This Row],[ФИО]],M323,(N323-M323))</f>
        <v xml:space="preserve"> Боян</v>
      </c>
      <c r="R323" t="s">
        <v>1329</v>
      </c>
      <c r="S323" t="s">
        <v>1506</v>
      </c>
    </row>
    <row r="324" spans="1:19" x14ac:dyDescent="0.25">
      <c r="A324" s="51">
        <v>306</v>
      </c>
      <c r="B324" t="s">
        <v>425</v>
      </c>
      <c r="C324" t="s">
        <v>424</v>
      </c>
      <c r="D324" t="s">
        <v>143</v>
      </c>
      <c r="E324" s="26">
        <v>44872</v>
      </c>
      <c r="F324" t="str">
        <f t="shared" si="5"/>
        <v>+380</v>
      </c>
      <c r="G324" t="str">
        <f>INDEX('коды стран'!$A$2:$A$7, MATCH(F324, 'коды стран'!$B$2:$B$7, 0))</f>
        <v>Украина</v>
      </c>
      <c r="H324" t="s">
        <v>128</v>
      </c>
      <c r="I324" t="str">
        <f>LEFT(Таблица8[[#This Row],[ФИО]],(M324-1))</f>
        <v>Поляков</v>
      </c>
      <c r="J324" t="str">
        <f>MID(Таблица8[[#This Row],[ФИО]],M324,(N324-M324))</f>
        <v xml:space="preserve"> Силантий</v>
      </c>
      <c r="K324" t="str">
        <f>RIGHT(Таблица8[[#This Row],[ФИО]],(O324-N324))</f>
        <v>Адамович</v>
      </c>
      <c r="M324" s="59">
        <f>FIND(" ",Таблица8[[#This Row],[ФИО]],2)</f>
        <v>8</v>
      </c>
      <c r="N324">
        <f>FIND(" ",Таблица8[[#This Row],[ФИО]],(M324+1))</f>
        <v>17</v>
      </c>
      <c r="O324">
        <f>LEN(Таблица8[[#This Row],[ФИО]])</f>
        <v>25</v>
      </c>
      <c r="Q324" s="59" t="str">
        <f>MID(Таблица8[[#This Row],[ФИО]],M324,(N324-M324))</f>
        <v xml:space="preserve"> Силантий</v>
      </c>
      <c r="R324" t="s">
        <v>1329</v>
      </c>
      <c r="S324" t="s">
        <v>1619</v>
      </c>
    </row>
    <row r="325" spans="1:19" x14ac:dyDescent="0.25">
      <c r="A325" s="51">
        <v>287</v>
      </c>
      <c r="B325" t="s">
        <v>925</v>
      </c>
      <c r="C325" t="s">
        <v>924</v>
      </c>
      <c r="D325" t="s">
        <v>143</v>
      </c>
      <c r="E325" s="26">
        <v>44608</v>
      </c>
      <c r="F325" t="str">
        <f t="shared" si="5"/>
        <v>+7</v>
      </c>
      <c r="G325" t="str">
        <f>INDEX('коды стран'!$A$2:$A$7, MATCH(F325, 'коды стран'!$B$2:$B$7, 0))</f>
        <v>Россия</v>
      </c>
      <c r="H325" t="s">
        <v>137</v>
      </c>
      <c r="I325" t="str">
        <f>LEFT(Таблица8[[#This Row],[ФИО]],(M325-1))</f>
        <v>Полякова</v>
      </c>
      <c r="J325" t="str">
        <f>MID(Таблица8[[#This Row],[ФИО]],M325,(N325-M325))</f>
        <v xml:space="preserve"> Анжела</v>
      </c>
      <c r="K325" t="str">
        <f>RIGHT(Таблица8[[#This Row],[ФИО]],(O325-N325))</f>
        <v>Аскольдовна</v>
      </c>
      <c r="M325" s="60">
        <f>FIND(" ",Таблица8[[#This Row],[ФИО]],2)</f>
        <v>9</v>
      </c>
      <c r="N325">
        <f>FIND(" ",Таблица8[[#This Row],[ФИО]],(M325+1))</f>
        <v>16</v>
      </c>
      <c r="O325">
        <f>LEN(Таблица8[[#This Row],[ФИО]])</f>
        <v>27</v>
      </c>
      <c r="Q325" s="60" t="str">
        <f>MID(Таблица8[[#This Row],[ФИО]],M325,(N325-M325))</f>
        <v xml:space="preserve"> Анжела</v>
      </c>
      <c r="R325" t="s">
        <v>1330</v>
      </c>
      <c r="S325" t="s">
        <v>1477</v>
      </c>
    </row>
    <row r="326" spans="1:19" x14ac:dyDescent="0.25">
      <c r="A326" s="51">
        <v>485</v>
      </c>
      <c r="B326" t="s">
        <v>303</v>
      </c>
      <c r="C326" t="s">
        <v>302</v>
      </c>
      <c r="D326" t="s">
        <v>140</v>
      </c>
      <c r="E326" s="26">
        <v>44723</v>
      </c>
      <c r="F326" t="str">
        <f t="shared" si="5"/>
        <v>+7</v>
      </c>
      <c r="G326" t="str">
        <f>INDEX('коды стран'!$A$2:$A$7, MATCH(F326, 'коды стран'!$B$2:$B$7, 0))</f>
        <v>Россия</v>
      </c>
      <c r="H326" t="s">
        <v>137</v>
      </c>
      <c r="I326" t="str">
        <f>LEFT(Таблица8[[#This Row],[ФИО]],(M326-1))</f>
        <v>Пономарев</v>
      </c>
      <c r="J326" t="str">
        <f>MID(Таблица8[[#This Row],[ФИО]],M326,(N326-M326))</f>
        <v xml:space="preserve"> Творимир</v>
      </c>
      <c r="K326" t="str">
        <f>RIGHT(Таблица8[[#This Row],[ФИО]],(O326-N326))</f>
        <v>Демидович</v>
      </c>
      <c r="M326" s="59">
        <f>FIND(" ",Таблица8[[#This Row],[ФИО]],2)</f>
        <v>10</v>
      </c>
      <c r="N326">
        <f>FIND(" ",Таблица8[[#This Row],[ФИО]],(M326+1))</f>
        <v>19</v>
      </c>
      <c r="O326">
        <f>LEN(Таблица8[[#This Row],[ФИО]])</f>
        <v>28</v>
      </c>
      <c r="Q326" s="59" t="str">
        <f>MID(Таблица8[[#This Row],[ФИО]],M326,(N326-M326))</f>
        <v xml:space="preserve"> Творимир</v>
      </c>
      <c r="R326" t="s">
        <v>1281</v>
      </c>
      <c r="S326" t="s">
        <v>1479</v>
      </c>
    </row>
    <row r="327" spans="1:19" x14ac:dyDescent="0.25">
      <c r="A327" s="51">
        <v>1</v>
      </c>
      <c r="B327" t="s">
        <v>567</v>
      </c>
      <c r="C327" t="s">
        <v>566</v>
      </c>
      <c r="D327" t="s">
        <v>143</v>
      </c>
      <c r="E327" s="26">
        <v>44585</v>
      </c>
      <c r="F327" t="str">
        <f t="shared" si="5"/>
        <v>+7</v>
      </c>
      <c r="G327" t="str">
        <f>INDEX('коды стран'!$A$2:$A$7, MATCH(F327, 'коды стран'!$B$2:$B$7, 0))</f>
        <v>Россия</v>
      </c>
      <c r="H327" t="s">
        <v>137</v>
      </c>
      <c r="I327" t="str">
        <f>LEFT(Таблица8[[#This Row],[ФИО]],(M327-1))</f>
        <v>Потап</v>
      </c>
      <c r="J327" t="str">
        <f>MID(Таблица8[[#This Row],[ФИО]],M327,(N327-M327))</f>
        <v xml:space="preserve"> Егорович</v>
      </c>
      <c r="K327" t="str">
        <f>RIGHT(Таблица8[[#This Row],[ФИО]],(O327-N327))</f>
        <v>Лапин</v>
      </c>
      <c r="M327" s="60">
        <f>FIND(" ",Таблица8[[#This Row],[ФИО]],2)</f>
        <v>6</v>
      </c>
      <c r="N327">
        <f>FIND(" ",Таблица8[[#This Row],[ФИО]],(M327+1))</f>
        <v>15</v>
      </c>
      <c r="O327">
        <f>LEN(Таблица8[[#This Row],[ФИО]])</f>
        <v>20</v>
      </c>
      <c r="Q327" s="60" t="str">
        <f>LEFT(Таблица8[[#This Row],[ФИО]],(M327-1))</f>
        <v>Потап</v>
      </c>
      <c r="R327" t="s">
        <v>1271</v>
      </c>
      <c r="S327" t="s">
        <v>1620</v>
      </c>
    </row>
    <row r="328" spans="1:19" x14ac:dyDescent="0.25">
      <c r="A328" s="51">
        <v>438</v>
      </c>
      <c r="B328" t="s">
        <v>389</v>
      </c>
      <c r="C328" t="s">
        <v>388</v>
      </c>
      <c r="D328" t="s">
        <v>143</v>
      </c>
      <c r="E328" s="26">
        <v>44693</v>
      </c>
      <c r="F328" t="str">
        <f t="shared" si="5"/>
        <v>+998</v>
      </c>
      <c r="G328" t="str">
        <f>INDEX('коды стран'!$A$2:$A$7, MATCH(F328, 'коды стран'!$B$2:$B$7, 0))</f>
        <v>Узбекистан</v>
      </c>
      <c r="H328" t="s">
        <v>132</v>
      </c>
      <c r="I328" t="str">
        <f>LEFT(Таблица8[[#This Row],[ФИО]],(M328-1))</f>
        <v>Прасковья</v>
      </c>
      <c r="J328" t="str">
        <f>MID(Таблица8[[#This Row],[ФИО]],M328,(N328-M328))</f>
        <v xml:space="preserve"> Петровна</v>
      </c>
      <c r="K328" t="str">
        <f>RIGHT(Таблица8[[#This Row],[ФИО]],(O328-N328))</f>
        <v>Дементьева</v>
      </c>
      <c r="M328" s="59">
        <f>FIND(" ",Таблица8[[#This Row],[ФИО]],2)</f>
        <v>10</v>
      </c>
      <c r="N328">
        <f>FIND(" ",Таблица8[[#This Row],[ФИО]],(M328+1))</f>
        <v>19</v>
      </c>
      <c r="O328">
        <f>LEN(Таблица8[[#This Row],[ФИО]])</f>
        <v>29</v>
      </c>
      <c r="Q328" s="59" t="str">
        <f>LEFT(Таблица8[[#This Row],[ФИО]],(M328-1))</f>
        <v>Прасковья</v>
      </c>
      <c r="R328" t="s">
        <v>1331</v>
      </c>
      <c r="S328" t="s">
        <v>1501</v>
      </c>
    </row>
    <row r="329" spans="1:19" x14ac:dyDescent="0.25">
      <c r="A329" s="51">
        <v>323</v>
      </c>
      <c r="B329" t="s">
        <v>469</v>
      </c>
      <c r="C329" t="s">
        <v>468</v>
      </c>
      <c r="D329" t="s">
        <v>143</v>
      </c>
      <c r="E329" s="26">
        <v>44821</v>
      </c>
      <c r="F329" t="str">
        <f t="shared" si="5"/>
        <v>+992</v>
      </c>
      <c r="G329" t="str">
        <f>INDEX('коды стран'!$A$2:$A$7, MATCH(F329, 'коды стран'!$B$2:$B$7, 0))</f>
        <v>Таджикистан</v>
      </c>
      <c r="H329" t="s">
        <v>130</v>
      </c>
      <c r="I329" t="str">
        <f>LEFT(Таблица8[[#This Row],[ФИО]],(M329-1))</f>
        <v>Прасковья</v>
      </c>
      <c r="J329" t="str">
        <f>MID(Таблица8[[#This Row],[ФИО]],M329,(N329-M329))</f>
        <v xml:space="preserve"> Яковлевна</v>
      </c>
      <c r="K329" t="str">
        <f>RIGHT(Таблица8[[#This Row],[ФИО]],(O329-N329))</f>
        <v>Белоусова</v>
      </c>
      <c r="M329" s="60">
        <f>FIND(" ",Таблица8[[#This Row],[ФИО]],2)</f>
        <v>10</v>
      </c>
      <c r="N329">
        <f>FIND(" ",Таблица8[[#This Row],[ФИО]],(M329+1))</f>
        <v>20</v>
      </c>
      <c r="O329">
        <f>LEN(Таблица8[[#This Row],[ФИО]])</f>
        <v>29</v>
      </c>
      <c r="Q329" s="60" t="str">
        <f>LEFT(Таблица8[[#This Row],[ФИО]],(M329-1))</f>
        <v>Прасковья</v>
      </c>
      <c r="R329" t="s">
        <v>1150</v>
      </c>
      <c r="S329" t="s">
        <v>1504</v>
      </c>
    </row>
    <row r="330" spans="1:19" x14ac:dyDescent="0.25">
      <c r="A330" s="51">
        <v>114</v>
      </c>
      <c r="B330" t="s">
        <v>783</v>
      </c>
      <c r="C330" t="s">
        <v>782</v>
      </c>
      <c r="D330" t="s">
        <v>143</v>
      </c>
      <c r="E330" s="26">
        <v>44889</v>
      </c>
      <c r="F330" t="str">
        <f t="shared" si="5"/>
        <v>+7</v>
      </c>
      <c r="G330" t="str">
        <f>INDEX('коды стран'!$A$2:$A$7, MATCH(F330, 'коды стран'!$B$2:$B$7, 0))</f>
        <v>Россия</v>
      </c>
      <c r="H330" t="s">
        <v>137</v>
      </c>
      <c r="I330" t="str">
        <f>LEFT(Таблица8[[#This Row],[ФИО]],(M330-1))</f>
        <v>Прокл</v>
      </c>
      <c r="J330" t="str">
        <f>MID(Таблица8[[#This Row],[ФИО]],M330,(N330-M330))</f>
        <v xml:space="preserve"> Тимурович</v>
      </c>
      <c r="K330" t="str">
        <f>RIGHT(Таблица8[[#This Row],[ФИО]],(O330-N330))</f>
        <v>Александров</v>
      </c>
      <c r="M330" s="59">
        <f>FIND(" ",Таблица8[[#This Row],[ФИО]],2)</f>
        <v>6</v>
      </c>
      <c r="N330">
        <f>FIND(" ",Таблица8[[#This Row],[ФИО]],(M330+1))</f>
        <v>16</v>
      </c>
      <c r="O330">
        <f>LEN(Таблица8[[#This Row],[ФИО]])</f>
        <v>27</v>
      </c>
      <c r="Q330" s="59" t="str">
        <f>LEFT(Таблица8[[#This Row],[ФИО]],(M330-1))</f>
        <v>Прокл</v>
      </c>
      <c r="R330" t="s">
        <v>1332</v>
      </c>
      <c r="S330" t="s">
        <v>1621</v>
      </c>
    </row>
    <row r="331" spans="1:19" x14ac:dyDescent="0.25">
      <c r="A331" s="51">
        <v>206</v>
      </c>
      <c r="B331" t="s">
        <v>369</v>
      </c>
      <c r="C331" t="s">
        <v>368</v>
      </c>
      <c r="D331" t="s">
        <v>140</v>
      </c>
      <c r="E331" s="26">
        <v>44568</v>
      </c>
      <c r="F331" t="str">
        <f t="shared" si="5"/>
        <v>+7</v>
      </c>
      <c r="G331" t="str">
        <f>INDEX('коды стран'!$A$2:$A$7, MATCH(F331, 'коды стран'!$B$2:$B$7, 0))</f>
        <v>Россия</v>
      </c>
      <c r="H331" t="s">
        <v>137</v>
      </c>
      <c r="I331" t="str">
        <f>LEFT(Таблица8[[#This Row],[ФИО]],(M331-1))</f>
        <v>Радислав</v>
      </c>
      <c r="J331" t="str">
        <f>MID(Таблица8[[#This Row],[ФИО]],M331,(N331-M331))</f>
        <v xml:space="preserve"> Герасимович</v>
      </c>
      <c r="K331" t="str">
        <f>RIGHT(Таблица8[[#This Row],[ФИО]],(O331-N331))</f>
        <v>Колобов</v>
      </c>
      <c r="M331" s="60">
        <f>FIND(" ",Таблица8[[#This Row],[ФИО]],2)</f>
        <v>9</v>
      </c>
      <c r="N331">
        <f>FIND(" ",Таблица8[[#This Row],[ФИО]],(M331+1))</f>
        <v>21</v>
      </c>
      <c r="O331">
        <f>LEN(Таблица8[[#This Row],[ФИО]])</f>
        <v>28</v>
      </c>
      <c r="Q331" s="60" t="str">
        <f>LEFT(Таблица8[[#This Row],[ФИО]],(M331-1))</f>
        <v>Радислав</v>
      </c>
      <c r="R331" t="s">
        <v>1333</v>
      </c>
      <c r="S331" t="s">
        <v>1622</v>
      </c>
    </row>
    <row r="332" spans="1:19" x14ac:dyDescent="0.25">
      <c r="A332" s="51">
        <v>381</v>
      </c>
      <c r="B332" t="s">
        <v>781</v>
      </c>
      <c r="C332" t="s">
        <v>780</v>
      </c>
      <c r="D332" t="s">
        <v>140</v>
      </c>
      <c r="E332" s="26">
        <v>44714</v>
      </c>
      <c r="F332" t="str">
        <f t="shared" si="5"/>
        <v>+998</v>
      </c>
      <c r="G332" t="str">
        <f>INDEX('коды стран'!$A$2:$A$7, MATCH(F332, 'коды стран'!$B$2:$B$7, 0))</f>
        <v>Узбекистан</v>
      </c>
      <c r="H332" t="s">
        <v>132</v>
      </c>
      <c r="I332" t="str">
        <f>LEFT(Таблица8[[#This Row],[ФИО]],(M332-1))</f>
        <v>Раиса</v>
      </c>
      <c r="J332" t="str">
        <f>MID(Таблица8[[#This Row],[ФИО]],M332,(N332-M332))</f>
        <v xml:space="preserve"> Станиславовна</v>
      </c>
      <c r="K332" t="str">
        <f>RIGHT(Таблица8[[#This Row],[ФИО]],(O332-N332))</f>
        <v>Чернова</v>
      </c>
      <c r="M332" s="59">
        <f>FIND(" ",Таблица8[[#This Row],[ФИО]],2)</f>
        <v>6</v>
      </c>
      <c r="N332">
        <f>FIND(" ",Таблица8[[#This Row],[ФИО]],(M332+1))</f>
        <v>20</v>
      </c>
      <c r="O332">
        <f>LEN(Таблица8[[#This Row],[ФИО]])</f>
        <v>27</v>
      </c>
      <c r="Q332" s="59" t="str">
        <f>LEFT(Таблица8[[#This Row],[ФИО]],(M332-1))</f>
        <v>Раиса</v>
      </c>
      <c r="R332" t="s">
        <v>1208</v>
      </c>
      <c r="S332" t="s">
        <v>1512</v>
      </c>
    </row>
    <row r="333" spans="1:19" x14ac:dyDescent="0.25">
      <c r="A333" s="51">
        <v>330</v>
      </c>
      <c r="B333" t="s">
        <v>849</v>
      </c>
      <c r="C333" t="s">
        <v>848</v>
      </c>
      <c r="D333" t="s">
        <v>140</v>
      </c>
      <c r="E333" s="26">
        <v>44815</v>
      </c>
      <c r="F333" t="str">
        <f t="shared" si="5"/>
        <v>+998</v>
      </c>
      <c r="G333" t="str">
        <f>INDEX('коды стран'!$A$2:$A$7, MATCH(F333, 'коды стран'!$B$2:$B$7, 0))</f>
        <v>Узбекистан</v>
      </c>
      <c r="H333" t="s">
        <v>132</v>
      </c>
      <c r="I333" t="str">
        <f>LEFT(Таблица8[[#This Row],[ФИО]],(M333-1))</f>
        <v>Ратибор</v>
      </c>
      <c r="J333" t="str">
        <f>MID(Таблица8[[#This Row],[ФИО]],M333,(N333-M333))</f>
        <v xml:space="preserve"> Андреевич</v>
      </c>
      <c r="K333" t="str">
        <f>RIGHT(Таблица8[[#This Row],[ФИО]],(O333-N333))</f>
        <v>Маслов</v>
      </c>
      <c r="M333" s="60">
        <f>FIND(" ",Таблица8[[#This Row],[ФИО]],2)</f>
        <v>8</v>
      </c>
      <c r="N333">
        <f>FIND(" ",Таблица8[[#This Row],[ФИО]],(M333+1))</f>
        <v>18</v>
      </c>
      <c r="O333">
        <f>LEN(Таблица8[[#This Row],[ФИО]])</f>
        <v>24</v>
      </c>
      <c r="Q333" s="60" t="str">
        <f>LEFT(Таблица8[[#This Row],[ФИО]],(M333-1))</f>
        <v>Ратибор</v>
      </c>
      <c r="R333" t="s">
        <v>1295</v>
      </c>
      <c r="S333" t="s">
        <v>1623</v>
      </c>
    </row>
    <row r="334" spans="1:19" x14ac:dyDescent="0.25">
      <c r="A334" s="51">
        <v>64</v>
      </c>
      <c r="B334" t="s">
        <v>939</v>
      </c>
      <c r="C334" t="s">
        <v>938</v>
      </c>
      <c r="D334" t="s">
        <v>143</v>
      </c>
      <c r="E334" s="26">
        <v>44707</v>
      </c>
      <c r="F334" t="str">
        <f t="shared" si="5"/>
        <v>+998</v>
      </c>
      <c r="G334" t="str">
        <f>INDEX('коды стран'!$A$2:$A$7, MATCH(F334, 'коды стран'!$B$2:$B$7, 0))</f>
        <v>Узбекистан</v>
      </c>
      <c r="H334" t="s">
        <v>132</v>
      </c>
      <c r="I334" t="str">
        <f>LEFT(Таблица8[[#This Row],[ФИО]],(M334-1))</f>
        <v>Ратибор</v>
      </c>
      <c r="J334" t="str">
        <f>MID(Таблица8[[#This Row],[ФИО]],M334,(N334-M334))</f>
        <v xml:space="preserve"> Арсеньевич</v>
      </c>
      <c r="K334" t="str">
        <f>RIGHT(Таблица8[[#This Row],[ФИО]],(O334-N334))</f>
        <v>Петров</v>
      </c>
      <c r="M334" s="59">
        <f>FIND(" ",Таблица8[[#This Row],[ФИО]],2)</f>
        <v>8</v>
      </c>
      <c r="N334">
        <f>FIND(" ",Таблица8[[#This Row],[ФИО]],(M334+1))</f>
        <v>19</v>
      </c>
      <c r="O334">
        <f>LEN(Таблица8[[#This Row],[ФИО]])</f>
        <v>25</v>
      </c>
      <c r="Q334" s="59" t="str">
        <f>LEFT(Таблица8[[#This Row],[ФИО]],(M334-1))</f>
        <v>Ратибор</v>
      </c>
      <c r="R334" t="s">
        <v>1334</v>
      </c>
      <c r="S334" t="s">
        <v>1481</v>
      </c>
    </row>
    <row r="335" spans="1:19" x14ac:dyDescent="0.25">
      <c r="A335" s="51">
        <v>134</v>
      </c>
      <c r="B335" t="s">
        <v>857</v>
      </c>
      <c r="C335" t="s">
        <v>856</v>
      </c>
      <c r="D335" t="s">
        <v>143</v>
      </c>
      <c r="E335" s="26">
        <v>44753</v>
      </c>
      <c r="F335" t="str">
        <f t="shared" si="5"/>
        <v>+7</v>
      </c>
      <c r="G335" t="str">
        <f>INDEX('коды стран'!$A$2:$A$7, MATCH(F335, 'коды стран'!$B$2:$B$7, 0))</f>
        <v>Россия</v>
      </c>
      <c r="H335" t="s">
        <v>137</v>
      </c>
      <c r="I335" t="str">
        <f>LEFT(Таблица8[[#This Row],[ФИО]],(M335-1))</f>
        <v>Регина</v>
      </c>
      <c r="J335" t="str">
        <f>MID(Таблица8[[#This Row],[ФИО]],M335,(N335-M335))</f>
        <v xml:space="preserve"> Кирилловна</v>
      </c>
      <c r="K335" t="str">
        <f>RIGHT(Таблица8[[#This Row],[ФИО]],(O335-N335))</f>
        <v>Нестерова</v>
      </c>
      <c r="M335" s="60">
        <f>FIND(" ",Таблица8[[#This Row],[ФИО]],2)</f>
        <v>7</v>
      </c>
      <c r="N335">
        <f>FIND(" ",Таблица8[[#This Row],[ФИО]],(M335+1))</f>
        <v>18</v>
      </c>
      <c r="O335">
        <f>LEN(Таблица8[[#This Row],[ФИО]])</f>
        <v>27</v>
      </c>
      <c r="Q335" s="60" t="str">
        <f>LEFT(Таблица8[[#This Row],[ФИО]],(M335-1))</f>
        <v>Регина</v>
      </c>
      <c r="R335" t="s">
        <v>1309</v>
      </c>
      <c r="S335" t="s">
        <v>1452</v>
      </c>
    </row>
    <row r="336" spans="1:19" x14ac:dyDescent="0.25">
      <c r="A336" s="51">
        <v>371</v>
      </c>
      <c r="B336" t="s">
        <v>891</v>
      </c>
      <c r="C336" t="s">
        <v>890</v>
      </c>
      <c r="D336" t="s">
        <v>140</v>
      </c>
      <c r="E336" s="26">
        <v>44844</v>
      </c>
      <c r="F336" t="str">
        <f t="shared" si="5"/>
        <v>+380</v>
      </c>
      <c r="G336" t="str">
        <f>INDEX('коды стран'!$A$2:$A$7, MATCH(F336, 'коды стран'!$B$2:$B$7, 0))</f>
        <v>Украина</v>
      </c>
      <c r="H336" t="s">
        <v>128</v>
      </c>
      <c r="I336" t="str">
        <f>LEFT(Таблица8[[#This Row],[ФИО]],(M336-1))</f>
        <v>Регина</v>
      </c>
      <c r="J336" t="str">
        <f>MID(Таблица8[[#This Row],[ФИО]],M336,(N336-M336))</f>
        <v xml:space="preserve"> Сергеевна</v>
      </c>
      <c r="K336" t="str">
        <f>RIGHT(Таблица8[[#This Row],[ФИО]],(O336-N336))</f>
        <v>Ефимова</v>
      </c>
      <c r="M336" s="59">
        <f>FIND(" ",Таблица8[[#This Row],[ФИО]],2)</f>
        <v>7</v>
      </c>
      <c r="N336">
        <f>FIND(" ",Таблица8[[#This Row],[ФИО]],(M336+1))</f>
        <v>17</v>
      </c>
      <c r="O336">
        <f>LEN(Таблица8[[#This Row],[ФИО]])</f>
        <v>24</v>
      </c>
      <c r="Q336" s="59" t="str">
        <f>LEFT(Таблица8[[#This Row],[ФИО]],(M336-1))</f>
        <v>Регина</v>
      </c>
      <c r="R336" t="s">
        <v>1103</v>
      </c>
      <c r="S336" t="s">
        <v>1463</v>
      </c>
    </row>
    <row r="337" spans="1:19" x14ac:dyDescent="0.25">
      <c r="A337" s="51">
        <v>328</v>
      </c>
      <c r="B337" t="s">
        <v>889</v>
      </c>
      <c r="C337" t="s">
        <v>888</v>
      </c>
      <c r="D337" t="s">
        <v>143</v>
      </c>
      <c r="E337" s="26">
        <v>44568</v>
      </c>
      <c r="F337" t="str">
        <f t="shared" si="5"/>
        <v>+7</v>
      </c>
      <c r="G337" t="str">
        <f>INDEX('коды стран'!$A$2:$A$7, MATCH(F337, 'коды стран'!$B$2:$B$7, 0))</f>
        <v>Россия</v>
      </c>
      <c r="H337" t="s">
        <v>137</v>
      </c>
      <c r="I337" t="str">
        <f>LEFT(Таблица8[[#This Row],[ФИО]],(M337-1))</f>
        <v>Регина</v>
      </c>
      <c r="J337" t="str">
        <f>MID(Таблица8[[#This Row],[ФИО]],M337,(N337-M337))</f>
        <v xml:space="preserve"> Сергеевна</v>
      </c>
      <c r="K337" t="str">
        <f>RIGHT(Таблица8[[#This Row],[ФИО]],(O337-N337))</f>
        <v>Чернова</v>
      </c>
      <c r="M337" s="60">
        <f>FIND(" ",Таблица8[[#This Row],[ФИО]],2)</f>
        <v>7</v>
      </c>
      <c r="N337">
        <f>FIND(" ",Таблица8[[#This Row],[ФИО]],(M337+1))</f>
        <v>17</v>
      </c>
      <c r="O337">
        <f>LEN(Таблица8[[#This Row],[ФИО]])</f>
        <v>24</v>
      </c>
      <c r="Q337" s="60" t="str">
        <f>LEFT(Таблица8[[#This Row],[ФИО]],(M337-1))</f>
        <v>Регина</v>
      </c>
      <c r="R337" t="s">
        <v>1208</v>
      </c>
      <c r="S337" t="s">
        <v>1463</v>
      </c>
    </row>
    <row r="338" spans="1:19" x14ac:dyDescent="0.25">
      <c r="A338" s="51">
        <v>54</v>
      </c>
      <c r="B338" t="s">
        <v>337</v>
      </c>
      <c r="C338" t="s">
        <v>336</v>
      </c>
      <c r="D338" t="s">
        <v>140</v>
      </c>
      <c r="E338" s="26">
        <v>44847</v>
      </c>
      <c r="F338" t="str">
        <f t="shared" si="5"/>
        <v>+375</v>
      </c>
      <c r="G338" t="str">
        <f>INDEX('коды стран'!$A$2:$A$7, MATCH(F338, 'коды стран'!$B$2:$B$7, 0))</f>
        <v>Беларусь</v>
      </c>
      <c r="H338" t="s">
        <v>134</v>
      </c>
      <c r="I338" t="str">
        <f>LEFT(Таблица8[[#This Row],[ФИО]],(M338-1))</f>
        <v>Рогов</v>
      </c>
      <c r="J338" t="str">
        <f>MID(Таблица8[[#This Row],[ФИО]],M338,(N338-M338))</f>
        <v xml:space="preserve"> Сила</v>
      </c>
      <c r="K338" t="str">
        <f>RIGHT(Таблица8[[#This Row],[ФИО]],(O338-N338))</f>
        <v>Гордеевич</v>
      </c>
      <c r="M338" s="59">
        <f>FIND(" ",Таблица8[[#This Row],[ФИО]],2)</f>
        <v>6</v>
      </c>
      <c r="N338">
        <f>FIND(" ",Таблица8[[#This Row],[ФИО]],(M338+1))</f>
        <v>11</v>
      </c>
      <c r="O338">
        <f>LEN(Таблица8[[#This Row],[ФИО]])</f>
        <v>20</v>
      </c>
      <c r="Q338" s="59" t="str">
        <f>MID(Таблица8[[#This Row],[ФИО]],M338,(N338-M338))</f>
        <v xml:space="preserve"> Сила</v>
      </c>
      <c r="R338" t="s">
        <v>1335</v>
      </c>
      <c r="S338" t="s">
        <v>1583</v>
      </c>
    </row>
    <row r="339" spans="1:19" x14ac:dyDescent="0.25">
      <c r="A339" s="51">
        <v>185</v>
      </c>
      <c r="B339" t="s">
        <v>467</v>
      </c>
      <c r="C339" t="s">
        <v>466</v>
      </c>
      <c r="D339" t="s">
        <v>140</v>
      </c>
      <c r="E339" s="26">
        <v>44683</v>
      </c>
      <c r="F339" t="str">
        <f t="shared" si="5"/>
        <v>+998</v>
      </c>
      <c r="G339" t="str">
        <f>INDEX('коды стран'!$A$2:$A$7, MATCH(F339, 'коды стран'!$B$2:$B$7, 0))</f>
        <v>Узбекистан</v>
      </c>
      <c r="H339" t="s">
        <v>132</v>
      </c>
      <c r="I339" t="str">
        <f>LEFT(Таблица8[[#This Row],[ФИО]],(M339-1))</f>
        <v>Родион</v>
      </c>
      <c r="J339" t="str">
        <f>MID(Таблица8[[#This Row],[ФИО]],M339,(N339-M339))</f>
        <v xml:space="preserve"> Яковлевич</v>
      </c>
      <c r="K339" t="str">
        <f>RIGHT(Таблица8[[#This Row],[ФИО]],(O339-N339))</f>
        <v>Коновалов</v>
      </c>
      <c r="M339" s="60">
        <f>FIND(" ",Таблица8[[#This Row],[ФИО]],2)</f>
        <v>7</v>
      </c>
      <c r="N339">
        <f>FIND(" ",Таблица8[[#This Row],[ФИО]],(M339+1))</f>
        <v>17</v>
      </c>
      <c r="O339">
        <f>LEN(Таблица8[[#This Row],[ФИО]])</f>
        <v>26</v>
      </c>
      <c r="Q339" s="60" t="str">
        <f>LEFT(Таблица8[[#This Row],[ФИО]],(M339-1))</f>
        <v>Родион</v>
      </c>
      <c r="R339" t="s">
        <v>1336</v>
      </c>
      <c r="S339" t="s">
        <v>1581</v>
      </c>
    </row>
    <row r="340" spans="1:19" x14ac:dyDescent="0.25">
      <c r="A340" s="51">
        <v>364</v>
      </c>
      <c r="B340" t="s">
        <v>757</v>
      </c>
      <c r="C340" t="s">
        <v>756</v>
      </c>
      <c r="D340" t="s">
        <v>143</v>
      </c>
      <c r="E340" s="26">
        <v>44883</v>
      </c>
      <c r="F340" t="str">
        <f t="shared" si="5"/>
        <v>+7</v>
      </c>
      <c r="G340" t="str">
        <f>INDEX('коды стран'!$A$2:$A$7, MATCH(F340, 'коды стран'!$B$2:$B$7, 0))</f>
        <v>Россия</v>
      </c>
      <c r="H340" t="s">
        <v>137</v>
      </c>
      <c r="I340" t="str">
        <f>LEFT(Таблица8[[#This Row],[ФИО]],(M340-1))</f>
        <v>Родионова</v>
      </c>
      <c r="J340" t="str">
        <f>MID(Таблица8[[#This Row],[ФИО]],M340,(N340-M340))</f>
        <v xml:space="preserve"> Евпраксия</v>
      </c>
      <c r="K340" t="str">
        <f>RIGHT(Таблица8[[#This Row],[ФИО]],(O340-N340))</f>
        <v>Олеговна</v>
      </c>
      <c r="M340" s="59">
        <f>FIND(" ",Таблица8[[#This Row],[ФИО]],2)</f>
        <v>10</v>
      </c>
      <c r="N340">
        <f>FIND(" ",Таблица8[[#This Row],[ФИО]],(M340+1))</f>
        <v>20</v>
      </c>
      <c r="O340">
        <f>LEN(Таблица8[[#This Row],[ФИО]])</f>
        <v>28</v>
      </c>
      <c r="Q340" s="59" t="str">
        <f>MID(Таблица8[[#This Row],[ФИО]],M340,(N340-M340))</f>
        <v xml:space="preserve"> Евпраксия</v>
      </c>
      <c r="R340" t="s">
        <v>1237</v>
      </c>
      <c r="S340" t="s">
        <v>1530</v>
      </c>
    </row>
    <row r="341" spans="1:19" x14ac:dyDescent="0.25">
      <c r="A341" s="51">
        <v>327</v>
      </c>
      <c r="B341" t="s">
        <v>651</v>
      </c>
      <c r="C341" t="s">
        <v>650</v>
      </c>
      <c r="D341" t="s">
        <v>140</v>
      </c>
      <c r="E341" s="26">
        <v>44565</v>
      </c>
      <c r="F341" t="str">
        <f t="shared" si="5"/>
        <v>+992</v>
      </c>
      <c r="G341" t="str">
        <f>INDEX('коды стран'!$A$2:$A$7, MATCH(F341, 'коды стран'!$B$2:$B$7, 0))</f>
        <v>Таджикистан</v>
      </c>
      <c r="H341" t="s">
        <v>130</v>
      </c>
      <c r="I341" t="str">
        <f>LEFT(Таблица8[[#This Row],[ФИО]],(M341-1))</f>
        <v>Рожкова</v>
      </c>
      <c r="J341" t="str">
        <f>MID(Таблица8[[#This Row],[ФИО]],M341,(N341-M341))</f>
        <v xml:space="preserve"> Маргарита</v>
      </c>
      <c r="K341" t="str">
        <f>RIGHT(Таблица8[[#This Row],[ФИО]],(O341-N341))</f>
        <v>Артемовна</v>
      </c>
      <c r="M341" s="60">
        <f>FIND(" ",Таблица8[[#This Row],[ФИО]],2)</f>
        <v>8</v>
      </c>
      <c r="N341">
        <f>FIND(" ",Таблица8[[#This Row],[ФИО]],(M341+1))</f>
        <v>18</v>
      </c>
      <c r="O341">
        <f>LEN(Таблица8[[#This Row],[ФИО]])</f>
        <v>27</v>
      </c>
      <c r="Q341" s="60" t="str">
        <f>MID(Таблица8[[#This Row],[ФИО]],M341,(N341-M341))</f>
        <v xml:space="preserve"> Маргарита</v>
      </c>
      <c r="R341" t="s">
        <v>1124</v>
      </c>
      <c r="S341" t="s">
        <v>1441</v>
      </c>
    </row>
    <row r="342" spans="1:19" x14ac:dyDescent="0.25">
      <c r="A342" s="51">
        <v>80</v>
      </c>
      <c r="B342" t="s">
        <v>379</v>
      </c>
      <c r="C342" t="s">
        <v>378</v>
      </c>
      <c r="D342" t="s">
        <v>140</v>
      </c>
      <c r="E342" s="26">
        <v>44623</v>
      </c>
      <c r="F342" t="str">
        <f t="shared" si="5"/>
        <v>+375</v>
      </c>
      <c r="G342" t="str">
        <f>INDEX('коды стран'!$A$2:$A$7, MATCH(F342, 'коды стран'!$B$2:$B$7, 0))</f>
        <v>Беларусь</v>
      </c>
      <c r="H342" t="s">
        <v>134</v>
      </c>
      <c r="I342" t="str">
        <f>LEFT(Таблица8[[#This Row],[ФИО]],(M342-1))</f>
        <v>Рубен</v>
      </c>
      <c r="J342" t="str">
        <f>MID(Таблица8[[#This Row],[ФИО]],M342,(N342-M342))</f>
        <v xml:space="preserve"> Димитриевич</v>
      </c>
      <c r="K342" t="str">
        <f>RIGHT(Таблица8[[#This Row],[ФИО]],(O342-N342))</f>
        <v>Веселов</v>
      </c>
      <c r="M342" s="59">
        <f>FIND(" ",Таблица8[[#This Row],[ФИО]],2)</f>
        <v>6</v>
      </c>
      <c r="N342">
        <f>FIND(" ",Таблица8[[#This Row],[ФИО]],(M342+1))</f>
        <v>18</v>
      </c>
      <c r="O342">
        <f>LEN(Таблица8[[#This Row],[ФИО]])</f>
        <v>25</v>
      </c>
      <c r="Q342" s="59" t="str">
        <f>LEFT(Таблица8[[#This Row],[ФИО]],(M342-1))</f>
        <v>Рубен</v>
      </c>
      <c r="R342" t="s">
        <v>1284</v>
      </c>
      <c r="S342" t="s">
        <v>1624</v>
      </c>
    </row>
    <row r="343" spans="1:19" x14ac:dyDescent="0.25">
      <c r="A343" s="51">
        <v>172</v>
      </c>
      <c r="B343" t="s">
        <v>717</v>
      </c>
      <c r="C343" t="s">
        <v>716</v>
      </c>
      <c r="D343" t="s">
        <v>140</v>
      </c>
      <c r="E343" s="26">
        <v>44737</v>
      </c>
      <c r="F343" t="str">
        <f t="shared" si="5"/>
        <v>+7</v>
      </c>
      <c r="G343" t="str">
        <f>INDEX('коды стран'!$A$2:$A$7, MATCH(F343, 'коды стран'!$B$2:$B$7, 0))</f>
        <v>Россия</v>
      </c>
      <c r="H343" t="s">
        <v>137</v>
      </c>
      <c r="I343" t="str">
        <f>LEFT(Таблица8[[#This Row],[ФИО]],(M343-1))</f>
        <v>Русаков</v>
      </c>
      <c r="J343" t="str">
        <f>MID(Таблица8[[#This Row],[ФИО]],M343,(N343-M343))</f>
        <v xml:space="preserve"> Лев</v>
      </c>
      <c r="K343" t="str">
        <f>RIGHT(Таблица8[[#This Row],[ФИО]],(O343-N343))</f>
        <v>Тимурович</v>
      </c>
      <c r="M343" s="60">
        <f>FIND(" ",Таблица8[[#This Row],[ФИО]],2)</f>
        <v>8</v>
      </c>
      <c r="N343">
        <f>FIND(" ",Таблица8[[#This Row],[ФИО]],(M343+1))</f>
        <v>12</v>
      </c>
      <c r="O343">
        <f>LEN(Таблица8[[#This Row],[ФИО]])</f>
        <v>21</v>
      </c>
      <c r="Q343" s="60" t="str">
        <f>MID(Таблица8[[#This Row],[ФИО]],M343,(N343-M343))</f>
        <v xml:space="preserve"> Лев</v>
      </c>
      <c r="R343" t="s">
        <v>1337</v>
      </c>
      <c r="S343" t="s">
        <v>1625</v>
      </c>
    </row>
    <row r="344" spans="1:19" x14ac:dyDescent="0.25">
      <c r="A344" s="51">
        <v>181</v>
      </c>
      <c r="B344" t="s">
        <v>645</v>
      </c>
      <c r="C344" t="s">
        <v>644</v>
      </c>
      <c r="D344" t="s">
        <v>143</v>
      </c>
      <c r="E344" s="26">
        <v>44568</v>
      </c>
      <c r="F344" t="str">
        <f t="shared" si="5"/>
        <v>+380</v>
      </c>
      <c r="G344" t="str">
        <f>INDEX('коды стран'!$A$2:$A$7, MATCH(F344, 'коды стран'!$B$2:$B$7, 0))</f>
        <v>Украина</v>
      </c>
      <c r="H344" t="s">
        <v>128</v>
      </c>
      <c r="I344" t="str">
        <f>LEFT(Таблица8[[#This Row],[ФИО]],(M344-1))</f>
        <v>Русаков</v>
      </c>
      <c r="J344" t="str">
        <f>MID(Таблица8[[#This Row],[ФИО]],M344,(N344-M344))</f>
        <v xml:space="preserve"> Модест</v>
      </c>
      <c r="K344" t="str">
        <f>RIGHT(Таблица8[[#This Row],[ФИО]],(O344-N344))</f>
        <v>Захарьевич</v>
      </c>
      <c r="M344" s="59">
        <f>FIND(" ",Таблица8[[#This Row],[ФИО]],2)</f>
        <v>8</v>
      </c>
      <c r="N344">
        <f>FIND(" ",Таблица8[[#This Row],[ФИО]],(M344+1))</f>
        <v>15</v>
      </c>
      <c r="O344">
        <f>LEN(Таблица8[[#This Row],[ФИО]])</f>
        <v>25</v>
      </c>
      <c r="Q344" s="59" t="str">
        <f>MID(Таблица8[[#This Row],[ФИО]],M344,(N344-M344))</f>
        <v xml:space="preserve"> Модест</v>
      </c>
      <c r="R344" t="s">
        <v>1337</v>
      </c>
      <c r="S344" t="s">
        <v>1626</v>
      </c>
    </row>
    <row r="345" spans="1:19" x14ac:dyDescent="0.25">
      <c r="A345" s="51">
        <v>470</v>
      </c>
      <c r="B345" t="s">
        <v>255</v>
      </c>
      <c r="C345" t="s">
        <v>254</v>
      </c>
      <c r="D345" t="s">
        <v>143</v>
      </c>
      <c r="E345" s="26">
        <v>44690</v>
      </c>
      <c r="F345" t="str">
        <f t="shared" si="5"/>
        <v>+992</v>
      </c>
      <c r="G345" t="str">
        <f>INDEX('коды стран'!$A$2:$A$7, MATCH(F345, 'коды стран'!$B$2:$B$7, 0))</f>
        <v>Таджикистан</v>
      </c>
      <c r="H345" t="s">
        <v>130</v>
      </c>
      <c r="I345" t="str">
        <f>LEFT(Таблица8[[#This Row],[ФИО]],(M345-1))</f>
        <v>Русакова</v>
      </c>
      <c r="J345" t="str">
        <f>MID(Таблица8[[#This Row],[ФИО]],M345,(N345-M345))</f>
        <v xml:space="preserve"> Полина</v>
      </c>
      <c r="K345" t="str">
        <f>RIGHT(Таблица8[[#This Row],[ФИО]],(O345-N345))</f>
        <v>Михайловна</v>
      </c>
      <c r="M345" s="60">
        <f>FIND(" ",Таблица8[[#This Row],[ФИО]],2)</f>
        <v>9</v>
      </c>
      <c r="N345">
        <f>FIND(" ",Таблица8[[#This Row],[ФИО]],(M345+1))</f>
        <v>16</v>
      </c>
      <c r="O345">
        <f>LEN(Таблица8[[#This Row],[ФИО]])</f>
        <v>26</v>
      </c>
      <c r="Q345" s="60" t="str">
        <f>MID(Таблица8[[#This Row],[ФИО]],M345,(N345-M345))</f>
        <v xml:space="preserve"> Полина</v>
      </c>
      <c r="R345" t="s">
        <v>1338</v>
      </c>
      <c r="S345" t="s">
        <v>1627</v>
      </c>
    </row>
    <row r="346" spans="1:19" x14ac:dyDescent="0.25">
      <c r="A346" s="51">
        <v>278</v>
      </c>
      <c r="B346" t="s">
        <v>479</v>
      </c>
      <c r="C346" t="s">
        <v>478</v>
      </c>
      <c r="D346" t="s">
        <v>140</v>
      </c>
      <c r="E346" s="26">
        <v>44920</v>
      </c>
      <c r="F346" t="str">
        <f t="shared" si="5"/>
        <v>+998</v>
      </c>
      <c r="G346" t="str">
        <f>INDEX('коды стран'!$A$2:$A$7, MATCH(F346, 'коды стран'!$B$2:$B$7, 0))</f>
        <v>Узбекистан</v>
      </c>
      <c r="H346" t="s">
        <v>132</v>
      </c>
      <c r="I346" t="str">
        <f>LEFT(Таблица8[[#This Row],[ФИО]],(M346-1))</f>
        <v>Савватий</v>
      </c>
      <c r="J346" t="str">
        <f>MID(Таблица8[[#This Row],[ФИО]],M346,(N346-M346))</f>
        <v xml:space="preserve"> Богданович</v>
      </c>
      <c r="K346" t="str">
        <f>RIGHT(Таблица8[[#This Row],[ФИО]],(O346-N346))</f>
        <v>Фролов</v>
      </c>
      <c r="M346" s="59">
        <f>FIND(" ",Таблица8[[#This Row],[ФИО]],2)</f>
        <v>9</v>
      </c>
      <c r="N346">
        <f>FIND(" ",Таблица8[[#This Row],[ФИО]],(M346+1))</f>
        <v>20</v>
      </c>
      <c r="O346">
        <f>LEN(Таблица8[[#This Row],[ФИО]])</f>
        <v>26</v>
      </c>
      <c r="Q346" s="59" t="str">
        <f>LEFT(Таблица8[[#This Row],[ФИО]],(M346-1))</f>
        <v>Савватий</v>
      </c>
      <c r="R346" t="s">
        <v>1339</v>
      </c>
      <c r="S346" t="s">
        <v>1628</v>
      </c>
    </row>
    <row r="347" spans="1:19" x14ac:dyDescent="0.25">
      <c r="A347" s="51">
        <v>312</v>
      </c>
      <c r="B347" t="s">
        <v>635</v>
      </c>
      <c r="C347" t="s">
        <v>634</v>
      </c>
      <c r="D347" t="s">
        <v>143</v>
      </c>
      <c r="E347" s="26">
        <v>44886</v>
      </c>
      <c r="F347" t="str">
        <f t="shared" si="5"/>
        <v>+7</v>
      </c>
      <c r="G347" t="str">
        <f>INDEX('коды стран'!$A$2:$A$7, MATCH(F347, 'коды стран'!$B$2:$B$7, 0))</f>
        <v>Россия</v>
      </c>
      <c r="H347" t="s">
        <v>137</v>
      </c>
      <c r="I347" t="str">
        <f>LEFT(Таблица8[[#This Row],[ФИО]],(M347-1))</f>
        <v>Савельев</v>
      </c>
      <c r="J347" t="str">
        <f>MID(Таблица8[[#This Row],[ФИО]],M347,(N347-M347))</f>
        <v xml:space="preserve"> Климент</v>
      </c>
      <c r="K347" t="str">
        <f>RIGHT(Таблица8[[#This Row],[ФИО]],(O347-N347))</f>
        <v>Гурьевич</v>
      </c>
      <c r="M347" s="60">
        <f>FIND(" ",Таблица8[[#This Row],[ФИО]],2)</f>
        <v>9</v>
      </c>
      <c r="N347">
        <f>FIND(" ",Таблица8[[#This Row],[ФИО]],(M347+1))</f>
        <v>17</v>
      </c>
      <c r="O347">
        <f>LEN(Таблица8[[#This Row],[ФИО]])</f>
        <v>25</v>
      </c>
      <c r="Q347" s="60" t="str">
        <f>MID(Таблица8[[#This Row],[ФИО]],M347,(N347-M347))</f>
        <v xml:space="preserve"> Климент</v>
      </c>
      <c r="R347" t="s">
        <v>1340</v>
      </c>
      <c r="S347" t="s">
        <v>1629</v>
      </c>
    </row>
    <row r="348" spans="1:19" x14ac:dyDescent="0.25">
      <c r="A348" s="51">
        <v>202</v>
      </c>
      <c r="B348" t="s">
        <v>725</v>
      </c>
      <c r="C348" t="s">
        <v>724</v>
      </c>
      <c r="D348" t="s">
        <v>140</v>
      </c>
      <c r="E348" s="26">
        <v>44766</v>
      </c>
      <c r="F348" t="str">
        <f t="shared" si="5"/>
        <v>+375</v>
      </c>
      <c r="G348" t="str">
        <f>INDEX('коды стран'!$A$2:$A$7, MATCH(F348, 'коды стран'!$B$2:$B$7, 0))</f>
        <v>Беларусь</v>
      </c>
      <c r="H348" t="s">
        <v>134</v>
      </c>
      <c r="I348" t="str">
        <f>LEFT(Таблица8[[#This Row],[ФИО]],(M348-1))</f>
        <v>Сазонова</v>
      </c>
      <c r="J348" t="str">
        <f>MID(Таблица8[[#This Row],[ФИО]],M348,(N348-M348))</f>
        <v xml:space="preserve"> Оксана</v>
      </c>
      <c r="K348" t="str">
        <f>RIGHT(Таблица8[[#This Row],[ФИО]],(O348-N348))</f>
        <v>Александровна</v>
      </c>
      <c r="M348" s="59">
        <f>FIND(" ",Таблица8[[#This Row],[ФИО]],2)</f>
        <v>9</v>
      </c>
      <c r="N348">
        <f>FIND(" ",Таблица8[[#This Row],[ФИО]],(M348+1))</f>
        <v>16</v>
      </c>
      <c r="O348">
        <f>LEN(Таблица8[[#This Row],[ФИО]])</f>
        <v>29</v>
      </c>
      <c r="Q348" s="59" t="str">
        <f>MID(Таблица8[[#This Row],[ФИО]],M348,(N348-M348))</f>
        <v xml:space="preserve"> Оксана</v>
      </c>
      <c r="R348" t="s">
        <v>1341</v>
      </c>
      <c r="S348" t="s">
        <v>1392</v>
      </c>
    </row>
    <row r="349" spans="1:19" x14ac:dyDescent="0.25">
      <c r="A349" s="51">
        <v>65</v>
      </c>
      <c r="B349" t="s">
        <v>693</v>
      </c>
      <c r="C349" t="s">
        <v>692</v>
      </c>
      <c r="D349" t="s">
        <v>140</v>
      </c>
      <c r="E349" s="26">
        <v>44623</v>
      </c>
      <c r="F349" t="str">
        <f t="shared" si="5"/>
        <v>+380</v>
      </c>
      <c r="G349" t="str">
        <f>INDEX('коды стран'!$A$2:$A$7, MATCH(F349, 'коды стран'!$B$2:$B$7, 0))</f>
        <v>Украина</v>
      </c>
      <c r="H349" t="s">
        <v>128</v>
      </c>
      <c r="I349" t="str">
        <f>LEFT(Таблица8[[#This Row],[ФИО]],(M349-1))</f>
        <v>Самойлова</v>
      </c>
      <c r="J349" t="str">
        <f>MID(Таблица8[[#This Row],[ФИО]],M349,(N349-M349))</f>
        <v xml:space="preserve"> Жанна</v>
      </c>
      <c r="K349" t="str">
        <f>RIGHT(Таблица8[[#This Row],[ФИО]],(O349-N349))</f>
        <v>Семеновна</v>
      </c>
      <c r="M349" s="60">
        <f>FIND(" ",Таблица8[[#This Row],[ФИО]],2)</f>
        <v>10</v>
      </c>
      <c r="N349">
        <f>FIND(" ",Таблица8[[#This Row],[ФИО]],(M349+1))</f>
        <v>16</v>
      </c>
      <c r="O349">
        <f>LEN(Таблица8[[#This Row],[ФИО]])</f>
        <v>25</v>
      </c>
      <c r="Q349" s="60" t="str">
        <f>MID(Таблица8[[#This Row],[ФИО]],M349,(N349-M349))</f>
        <v xml:space="preserve"> Жанна</v>
      </c>
      <c r="R349" t="s">
        <v>1342</v>
      </c>
      <c r="S349" t="s">
        <v>1558</v>
      </c>
    </row>
    <row r="350" spans="1:19" x14ac:dyDescent="0.25">
      <c r="A350" s="51">
        <v>229</v>
      </c>
      <c r="B350" t="s">
        <v>915</v>
      </c>
      <c r="C350" t="s">
        <v>914</v>
      </c>
      <c r="D350" t="s">
        <v>140</v>
      </c>
      <c r="E350" s="26">
        <v>44766</v>
      </c>
      <c r="F350" t="str">
        <f t="shared" si="5"/>
        <v>+375</v>
      </c>
      <c r="G350" t="str">
        <f>INDEX('коды стран'!$A$2:$A$7, MATCH(F350, 'коды стран'!$B$2:$B$7, 0))</f>
        <v>Беларусь</v>
      </c>
      <c r="H350" t="s">
        <v>134</v>
      </c>
      <c r="I350" t="str">
        <f>LEFT(Таблица8[[#This Row],[ФИО]],(M350-1))</f>
        <v>Самойлова</v>
      </c>
      <c r="J350" t="str">
        <f>MID(Таблица8[[#This Row],[ФИО]],M350,(N350-M350))</f>
        <v xml:space="preserve"> Татьяна</v>
      </c>
      <c r="K350" t="str">
        <f>RIGHT(Таблица8[[#This Row],[ФИО]],(O350-N350))</f>
        <v>Эльдаровна</v>
      </c>
      <c r="M350" s="59">
        <f>FIND(" ",Таблица8[[#This Row],[ФИО]],2)</f>
        <v>10</v>
      </c>
      <c r="N350">
        <f>FIND(" ",Таблица8[[#This Row],[ФИО]],(M350+1))</f>
        <v>18</v>
      </c>
      <c r="O350">
        <f>LEN(Таблица8[[#This Row],[ФИО]])</f>
        <v>28</v>
      </c>
      <c r="Q350" s="59" t="str">
        <f>MID(Таблица8[[#This Row],[ФИО]],M350,(N350-M350))</f>
        <v xml:space="preserve"> Татьяна</v>
      </c>
      <c r="R350" t="s">
        <v>1342</v>
      </c>
      <c r="S350" t="s">
        <v>1436</v>
      </c>
    </row>
    <row r="351" spans="1:19" x14ac:dyDescent="0.25">
      <c r="A351" s="51">
        <v>168</v>
      </c>
      <c r="B351" t="s">
        <v>627</v>
      </c>
      <c r="C351" t="s">
        <v>626</v>
      </c>
      <c r="D351" t="s">
        <v>143</v>
      </c>
      <c r="E351" s="26">
        <v>44706</v>
      </c>
      <c r="F351" t="str">
        <f t="shared" si="5"/>
        <v>+998</v>
      </c>
      <c r="G351" t="str">
        <f>INDEX('коды стран'!$A$2:$A$7, MATCH(F351, 'коды стран'!$B$2:$B$7, 0))</f>
        <v>Узбекистан</v>
      </c>
      <c r="H351" t="s">
        <v>132</v>
      </c>
      <c r="I351" t="str">
        <f>LEFT(Таблица8[[#This Row],[ФИО]],(M351-1))</f>
        <v>Самсонов</v>
      </c>
      <c r="J351" t="str">
        <f>MID(Таблица8[[#This Row],[ФИО]],M351,(N351-M351))</f>
        <v xml:space="preserve"> Борислав</v>
      </c>
      <c r="K351" t="str">
        <f>RIGHT(Таблица8[[#This Row],[ФИО]],(O351-N351))</f>
        <v>Фролович</v>
      </c>
      <c r="M351" s="60">
        <f>FIND(" ",Таблица8[[#This Row],[ФИО]],2)</f>
        <v>9</v>
      </c>
      <c r="N351">
        <f>FIND(" ",Таблица8[[#This Row],[ФИО]],(M351+1))</f>
        <v>18</v>
      </c>
      <c r="O351">
        <f>LEN(Таблица8[[#This Row],[ФИО]])</f>
        <v>26</v>
      </c>
      <c r="Q351" s="60" t="str">
        <f>MID(Таблица8[[#This Row],[ФИО]],M351,(N351-M351))</f>
        <v xml:space="preserve"> Борислав</v>
      </c>
      <c r="R351" t="s">
        <v>1343</v>
      </c>
      <c r="S351" t="s">
        <v>1396</v>
      </c>
    </row>
    <row r="352" spans="1:19" x14ac:dyDescent="0.25">
      <c r="A352" s="51">
        <v>450</v>
      </c>
      <c r="B352" t="s">
        <v>763</v>
      </c>
      <c r="C352" t="s">
        <v>762</v>
      </c>
      <c r="D352" t="s">
        <v>143</v>
      </c>
      <c r="E352" s="26">
        <v>44619</v>
      </c>
      <c r="F352" t="str">
        <f t="shared" si="5"/>
        <v>+7</v>
      </c>
      <c r="G352" t="str">
        <f>INDEX('коды стран'!$A$2:$A$7, MATCH(F352, 'коды стран'!$B$2:$B$7, 0))</f>
        <v>Россия</v>
      </c>
      <c r="H352" t="s">
        <v>137</v>
      </c>
      <c r="I352" t="str">
        <f>LEFT(Таблица8[[#This Row],[ФИО]],(M352-1))</f>
        <v>Самуил</v>
      </c>
      <c r="J352" t="str">
        <f>MID(Таблица8[[#This Row],[ФИО]],M352,(N352-M352))</f>
        <v xml:space="preserve"> Зиновьевич</v>
      </c>
      <c r="K352" t="str">
        <f>RIGHT(Таблица8[[#This Row],[ФИО]],(O352-N352))</f>
        <v>Фокин</v>
      </c>
      <c r="M352" s="59">
        <f>FIND(" ",Таблица8[[#This Row],[ФИО]],2)</f>
        <v>7</v>
      </c>
      <c r="N352">
        <f>FIND(" ",Таблица8[[#This Row],[ФИО]],(M352+1))</f>
        <v>18</v>
      </c>
      <c r="O352">
        <f>LEN(Таблица8[[#This Row],[ФИО]])</f>
        <v>23</v>
      </c>
      <c r="Q352" s="59" t="str">
        <f>LEFT(Таблица8[[#This Row],[ФИО]],(M352-1))</f>
        <v>Самуил</v>
      </c>
      <c r="R352" t="s">
        <v>1344</v>
      </c>
      <c r="S352" t="s">
        <v>1575</v>
      </c>
    </row>
    <row r="353" spans="1:19" x14ac:dyDescent="0.25">
      <c r="A353" s="51">
        <v>282</v>
      </c>
      <c r="B353" t="s">
        <v>165</v>
      </c>
      <c r="C353" t="s">
        <v>164</v>
      </c>
      <c r="D353" t="s">
        <v>143</v>
      </c>
      <c r="E353" s="26">
        <v>44735</v>
      </c>
      <c r="F353" t="str">
        <f t="shared" si="5"/>
        <v>+998</v>
      </c>
      <c r="G353" t="str">
        <f>INDEX('коды стран'!$A$2:$A$7, MATCH(F353, 'коды стран'!$B$2:$B$7, 0))</f>
        <v>Узбекистан</v>
      </c>
      <c r="H353" t="s">
        <v>132</v>
      </c>
      <c r="I353" t="str">
        <f>LEFT(Таблица8[[#This Row],[ФИО]],(M353-1))</f>
        <v>Светлана</v>
      </c>
      <c r="J353" t="str">
        <f>MID(Таблица8[[#This Row],[ФИО]],M353,(N353-M353))</f>
        <v xml:space="preserve"> Семеновна</v>
      </c>
      <c r="K353" t="str">
        <f>RIGHT(Таблица8[[#This Row],[ФИО]],(O353-N353))</f>
        <v>Николаева</v>
      </c>
      <c r="M353" s="60">
        <f>FIND(" ",Таблица8[[#This Row],[ФИО]],2)</f>
        <v>9</v>
      </c>
      <c r="N353">
        <f>FIND(" ",Таблица8[[#This Row],[ФИО]],(M353+1))</f>
        <v>19</v>
      </c>
      <c r="O353">
        <f>LEN(Таблица8[[#This Row],[ФИО]])</f>
        <v>28</v>
      </c>
      <c r="Q353" s="60" t="str">
        <f>LEFT(Таблица8[[#This Row],[ФИО]],(M353-1))</f>
        <v>Светлана</v>
      </c>
      <c r="R353" t="s">
        <v>1314</v>
      </c>
      <c r="S353" t="s">
        <v>1454</v>
      </c>
    </row>
    <row r="354" spans="1:19" x14ac:dyDescent="0.25">
      <c r="A354" s="51">
        <v>103</v>
      </c>
      <c r="B354" t="s">
        <v>429</v>
      </c>
      <c r="C354" t="s">
        <v>428</v>
      </c>
      <c r="D354" t="s">
        <v>143</v>
      </c>
      <c r="E354" s="26">
        <v>44787</v>
      </c>
      <c r="F354" t="str">
        <f t="shared" si="5"/>
        <v>+998</v>
      </c>
      <c r="G354" t="str">
        <f>INDEX('коды стран'!$A$2:$A$7, MATCH(F354, 'коды стран'!$B$2:$B$7, 0))</f>
        <v>Узбекистан</v>
      </c>
      <c r="H354" t="s">
        <v>132</v>
      </c>
      <c r="I354" t="str">
        <f>LEFT(Таблица8[[#This Row],[ФИО]],(M354-1))</f>
        <v>Сергеев</v>
      </c>
      <c r="J354" t="str">
        <f>MID(Таблица8[[#This Row],[ФИО]],M354,(N354-M354))</f>
        <v xml:space="preserve"> Панкратий</v>
      </c>
      <c r="K354" t="str">
        <f>RIGHT(Таблица8[[#This Row],[ФИО]],(O354-N354))</f>
        <v>Теймуразович</v>
      </c>
      <c r="M354" s="59">
        <f>FIND(" ",Таблица8[[#This Row],[ФИО]],2)</f>
        <v>8</v>
      </c>
      <c r="N354">
        <f>FIND(" ",Таблица8[[#This Row],[ФИО]],(M354+1))</f>
        <v>18</v>
      </c>
      <c r="O354">
        <f>LEN(Таблица8[[#This Row],[ФИО]])</f>
        <v>30</v>
      </c>
      <c r="Q354" s="59" t="str">
        <f>MID(Таблица8[[#This Row],[ФИО]],M354,(N354-M354))</f>
        <v xml:space="preserve"> Панкратий</v>
      </c>
      <c r="R354" t="s">
        <v>1345</v>
      </c>
      <c r="S354" t="s">
        <v>1630</v>
      </c>
    </row>
    <row r="355" spans="1:19" x14ac:dyDescent="0.25">
      <c r="A355" s="51">
        <v>487</v>
      </c>
      <c r="B355" t="s">
        <v>859</v>
      </c>
      <c r="C355" t="s">
        <v>858</v>
      </c>
      <c r="D355" t="s">
        <v>143</v>
      </c>
      <c r="E355" s="26">
        <v>44815</v>
      </c>
      <c r="F355" t="str">
        <f t="shared" si="5"/>
        <v>+7</v>
      </c>
      <c r="G355" t="str">
        <f>INDEX('коды стран'!$A$2:$A$7, MATCH(F355, 'коды стран'!$B$2:$B$7, 0))</f>
        <v>Россия</v>
      </c>
      <c r="H355" t="s">
        <v>137</v>
      </c>
      <c r="I355" t="str">
        <f>LEFT(Таблица8[[#This Row],[ФИО]],(M355-1))</f>
        <v>Сидор</v>
      </c>
      <c r="J355" t="str">
        <f>MID(Таблица8[[#This Row],[ФИО]],M355,(N355-M355))</f>
        <v xml:space="preserve"> Вячеславович</v>
      </c>
      <c r="K355" t="str">
        <f>RIGHT(Таблица8[[#This Row],[ФИО]],(O355-N355))</f>
        <v>Зиновьев</v>
      </c>
      <c r="M355" s="60">
        <f>FIND(" ",Таблица8[[#This Row],[ФИО]],2)</f>
        <v>6</v>
      </c>
      <c r="N355">
        <f>FIND(" ",Таблица8[[#This Row],[ФИО]],(M355+1))</f>
        <v>19</v>
      </c>
      <c r="O355">
        <f>LEN(Таблица8[[#This Row],[ФИО]])</f>
        <v>27</v>
      </c>
      <c r="Q355" s="60" t="str">
        <f>LEFT(Таблица8[[#This Row],[ФИО]],(M355-1))</f>
        <v>Сидор</v>
      </c>
      <c r="R355" t="s">
        <v>1346</v>
      </c>
      <c r="S355" t="s">
        <v>1400</v>
      </c>
    </row>
    <row r="356" spans="1:19" x14ac:dyDescent="0.25">
      <c r="A356" s="51">
        <v>194</v>
      </c>
      <c r="B356" t="s">
        <v>933</v>
      </c>
      <c r="C356" t="s">
        <v>932</v>
      </c>
      <c r="D356" t="s">
        <v>143</v>
      </c>
      <c r="E356" s="26">
        <v>44924</v>
      </c>
      <c r="F356" t="str">
        <f t="shared" si="5"/>
        <v>+7</v>
      </c>
      <c r="G356" t="str">
        <f>INDEX('коды стран'!$A$2:$A$7, MATCH(F356, 'коды стран'!$B$2:$B$7, 0))</f>
        <v>Россия</v>
      </c>
      <c r="H356" t="s">
        <v>137</v>
      </c>
      <c r="I356" t="str">
        <f>LEFT(Таблица8[[#This Row],[ФИО]],(M356-1))</f>
        <v>Сила</v>
      </c>
      <c r="J356" t="str">
        <f>MID(Таблица8[[#This Row],[ФИО]],M356,(N356-M356))</f>
        <v xml:space="preserve"> Денисович</v>
      </c>
      <c r="K356" t="str">
        <f>RIGHT(Таблица8[[#This Row],[ФИО]],(O356-N356))</f>
        <v>Гурьев</v>
      </c>
      <c r="M356" s="59">
        <f>FIND(" ",Таблица8[[#This Row],[ФИО]],2)</f>
        <v>5</v>
      </c>
      <c r="N356">
        <f>FIND(" ",Таблица8[[#This Row],[ФИО]],(M356+1))</f>
        <v>15</v>
      </c>
      <c r="O356">
        <f>LEN(Таблица8[[#This Row],[ФИО]])</f>
        <v>21</v>
      </c>
      <c r="Q356" s="59" t="str">
        <f>LEFT(Таблица8[[#This Row],[ФИО]],(M356-1))</f>
        <v>Сила</v>
      </c>
      <c r="R356" t="s">
        <v>1196</v>
      </c>
      <c r="S356" t="s">
        <v>1631</v>
      </c>
    </row>
    <row r="357" spans="1:19" x14ac:dyDescent="0.25">
      <c r="A357" s="51">
        <v>11</v>
      </c>
      <c r="B357" t="s">
        <v>855</v>
      </c>
      <c r="C357" t="s">
        <v>854</v>
      </c>
      <c r="D357" t="s">
        <v>140</v>
      </c>
      <c r="E357" s="26">
        <v>44690</v>
      </c>
      <c r="F357" t="str">
        <f t="shared" si="5"/>
        <v>+992</v>
      </c>
      <c r="G357" t="str">
        <f>INDEX('коды стран'!$A$2:$A$7, MATCH(F357, 'коды стран'!$B$2:$B$7, 0))</f>
        <v>Таджикистан</v>
      </c>
      <c r="H357" t="s">
        <v>130</v>
      </c>
      <c r="I357" t="str">
        <f>LEFT(Таблица8[[#This Row],[ФИО]],(M357-1))</f>
        <v>Силин</v>
      </c>
      <c r="J357" t="str">
        <f>MID(Таблица8[[#This Row],[ФИО]],M357,(N357-M357))</f>
        <v xml:space="preserve"> Антип</v>
      </c>
      <c r="K357" t="str">
        <f>RIGHT(Таблица8[[#This Row],[ФИО]],(O357-N357))</f>
        <v>Ильясович</v>
      </c>
      <c r="M357" s="60">
        <f>FIND(" ",Таблица8[[#This Row],[ФИО]],2)</f>
        <v>6</v>
      </c>
      <c r="N357">
        <f>FIND(" ",Таблица8[[#This Row],[ФИО]],(M357+1))</f>
        <v>12</v>
      </c>
      <c r="O357">
        <f>LEN(Таблица8[[#This Row],[ФИО]])</f>
        <v>21</v>
      </c>
      <c r="Q357" s="60" t="str">
        <f>MID(Таблица8[[#This Row],[ФИО]],M357,(N357-M357))</f>
        <v xml:space="preserve"> Антип</v>
      </c>
      <c r="R357" t="s">
        <v>1347</v>
      </c>
      <c r="S357" t="s">
        <v>1521</v>
      </c>
    </row>
    <row r="358" spans="1:19" x14ac:dyDescent="0.25">
      <c r="A358" s="51">
        <v>441</v>
      </c>
      <c r="B358" t="s">
        <v>373</v>
      </c>
      <c r="C358" t="s">
        <v>372</v>
      </c>
      <c r="D358" t="s">
        <v>140</v>
      </c>
      <c r="E358" s="26">
        <v>44867</v>
      </c>
      <c r="F358" t="str">
        <f t="shared" si="5"/>
        <v>+998</v>
      </c>
      <c r="G358" t="str">
        <f>INDEX('коды стран'!$A$2:$A$7, MATCH(F358, 'коды стран'!$B$2:$B$7, 0))</f>
        <v>Узбекистан</v>
      </c>
      <c r="H358" t="s">
        <v>132</v>
      </c>
      <c r="I358" t="str">
        <f>LEFT(Таблица8[[#This Row],[ФИО]],(M358-1))</f>
        <v>Силина</v>
      </c>
      <c r="J358" t="str">
        <f>MID(Таблица8[[#This Row],[ФИО]],M358,(N358-M358))</f>
        <v xml:space="preserve"> Татьяна</v>
      </c>
      <c r="K358" t="str">
        <f>RIGHT(Таблица8[[#This Row],[ФИО]],(O358-N358))</f>
        <v>Аркадьевна</v>
      </c>
      <c r="M358" s="59">
        <f>FIND(" ",Таблица8[[#This Row],[ФИО]],2)</f>
        <v>7</v>
      </c>
      <c r="N358">
        <f>FIND(" ",Таблица8[[#This Row],[ФИО]],(M358+1))</f>
        <v>15</v>
      </c>
      <c r="O358">
        <f>LEN(Таблица8[[#This Row],[ФИО]])</f>
        <v>25</v>
      </c>
      <c r="Q358" s="59" t="str">
        <f>MID(Таблица8[[#This Row],[ФИО]],M358,(N358-M358))</f>
        <v xml:space="preserve"> Татьяна</v>
      </c>
      <c r="R358" t="s">
        <v>1348</v>
      </c>
      <c r="S358" t="s">
        <v>1632</v>
      </c>
    </row>
    <row r="359" spans="1:19" x14ac:dyDescent="0.25">
      <c r="A359" s="51">
        <v>233</v>
      </c>
      <c r="B359" t="s">
        <v>459</v>
      </c>
      <c r="C359" t="s">
        <v>458</v>
      </c>
      <c r="D359" t="s">
        <v>143</v>
      </c>
      <c r="E359" s="26">
        <v>44616</v>
      </c>
      <c r="F359" t="str">
        <f t="shared" si="5"/>
        <v>+992</v>
      </c>
      <c r="G359" t="str">
        <f>INDEX('коды стран'!$A$2:$A$7, MATCH(F359, 'коды стран'!$B$2:$B$7, 0))</f>
        <v>Таджикистан</v>
      </c>
      <c r="H359" t="s">
        <v>130</v>
      </c>
      <c r="I359" t="str">
        <f>LEFT(Таблица8[[#This Row],[ФИО]],(M359-1))</f>
        <v>Синклитикия</v>
      </c>
      <c r="J359" t="str">
        <f>MID(Таблица8[[#This Row],[ФИО]],M359,(N359-M359))</f>
        <v xml:space="preserve"> Никифоровна</v>
      </c>
      <c r="K359" t="str">
        <f>RIGHT(Таблица8[[#This Row],[ФИО]],(O359-N359))</f>
        <v>Овчинникова</v>
      </c>
      <c r="M359" s="60">
        <f>FIND(" ",Таблица8[[#This Row],[ФИО]],2)</f>
        <v>12</v>
      </c>
      <c r="N359">
        <f>FIND(" ",Таблица8[[#This Row],[ФИО]],(M359+1))</f>
        <v>24</v>
      </c>
      <c r="O359">
        <f>LEN(Таблица8[[#This Row],[ФИО]])</f>
        <v>35</v>
      </c>
      <c r="Q359" s="60" t="str">
        <f>LEFT(Таблица8[[#This Row],[ФИО]],(M359-1))</f>
        <v>Синклитикия</v>
      </c>
      <c r="R359" t="s">
        <v>1319</v>
      </c>
      <c r="S359" t="s">
        <v>1531</v>
      </c>
    </row>
    <row r="360" spans="1:19" x14ac:dyDescent="0.25">
      <c r="A360" s="51">
        <v>379</v>
      </c>
      <c r="B360" t="s">
        <v>299</v>
      </c>
      <c r="C360" t="s">
        <v>298</v>
      </c>
      <c r="D360" t="s">
        <v>140</v>
      </c>
      <c r="E360" s="26">
        <v>44581</v>
      </c>
      <c r="F360" t="str">
        <f t="shared" si="5"/>
        <v>+992</v>
      </c>
      <c r="G360" t="str">
        <f>INDEX('коды стран'!$A$2:$A$7, MATCH(F360, 'коды стран'!$B$2:$B$7, 0))</f>
        <v>Таджикистан</v>
      </c>
      <c r="H360" t="s">
        <v>130</v>
      </c>
      <c r="I360" t="str">
        <f>LEFT(Таблица8[[#This Row],[ФИО]],(M360-1))</f>
        <v>Соколова</v>
      </c>
      <c r="J360" t="str">
        <f>MID(Таблица8[[#This Row],[ФИО]],M360,(N360-M360))</f>
        <v xml:space="preserve"> Кира</v>
      </c>
      <c r="K360" t="str">
        <f>RIGHT(Таблица8[[#This Row],[ФИО]],(O360-N360))</f>
        <v>Дмитриевна</v>
      </c>
      <c r="M360" s="59">
        <f>FIND(" ",Таблица8[[#This Row],[ФИО]],2)</f>
        <v>9</v>
      </c>
      <c r="N360">
        <f>FIND(" ",Таблица8[[#This Row],[ФИО]],(M360+1))</f>
        <v>14</v>
      </c>
      <c r="O360">
        <f>LEN(Таблица8[[#This Row],[ФИО]])</f>
        <v>24</v>
      </c>
      <c r="Q360" s="59" t="str">
        <f>MID(Таблица8[[#This Row],[ФИО]],M360,(N360-M360))</f>
        <v xml:space="preserve"> Кира</v>
      </c>
      <c r="R360" t="s">
        <v>1168</v>
      </c>
      <c r="S360" t="s">
        <v>1633</v>
      </c>
    </row>
    <row r="361" spans="1:19" x14ac:dyDescent="0.25">
      <c r="A361" s="51">
        <v>378</v>
      </c>
      <c r="B361" t="s">
        <v>875</v>
      </c>
      <c r="C361" t="s">
        <v>874</v>
      </c>
      <c r="D361" t="s">
        <v>140</v>
      </c>
      <c r="E361" s="26">
        <v>44710</v>
      </c>
      <c r="F361" t="str">
        <f t="shared" si="5"/>
        <v>+7</v>
      </c>
      <c r="G361" t="str">
        <f>INDEX('коды стран'!$A$2:$A$7, MATCH(F361, 'коды стран'!$B$2:$B$7, 0))</f>
        <v>Россия</v>
      </c>
      <c r="H361" t="s">
        <v>137</v>
      </c>
      <c r="I361" t="str">
        <f>LEFT(Таблица8[[#This Row],[ФИО]],(M361-1))</f>
        <v>Сократ</v>
      </c>
      <c r="J361" t="str">
        <f>MID(Таблица8[[#This Row],[ФИО]],M361,(N361-M361))</f>
        <v xml:space="preserve"> Юльевич</v>
      </c>
      <c r="K361" t="str">
        <f>RIGHT(Таблица8[[#This Row],[ФИО]],(O361-N361))</f>
        <v>Афанасьев</v>
      </c>
      <c r="M361" s="60">
        <f>FIND(" ",Таблица8[[#This Row],[ФИО]],2)</f>
        <v>7</v>
      </c>
      <c r="N361">
        <f>FIND(" ",Таблица8[[#This Row],[ФИО]],(M361+1))</f>
        <v>15</v>
      </c>
      <c r="O361">
        <f>LEN(Таблица8[[#This Row],[ФИО]])</f>
        <v>24</v>
      </c>
      <c r="Q361" s="60" t="str">
        <f>LEFT(Таблица8[[#This Row],[ФИО]],(M361-1))</f>
        <v>Сократ</v>
      </c>
      <c r="R361" t="s">
        <v>1129</v>
      </c>
      <c r="S361" t="s">
        <v>1634</v>
      </c>
    </row>
    <row r="362" spans="1:19" x14ac:dyDescent="0.25">
      <c r="A362" s="51">
        <v>162</v>
      </c>
      <c r="B362" t="s">
        <v>815</v>
      </c>
      <c r="C362" t="s">
        <v>814</v>
      </c>
      <c r="D362" t="s">
        <v>140</v>
      </c>
      <c r="E362" s="26">
        <v>44639</v>
      </c>
      <c r="F362" t="str">
        <f t="shared" si="5"/>
        <v>+992</v>
      </c>
      <c r="G362" t="str">
        <f>INDEX('коды стран'!$A$2:$A$7, MATCH(F362, 'коды стран'!$B$2:$B$7, 0))</f>
        <v>Таджикистан</v>
      </c>
      <c r="H362" t="s">
        <v>130</v>
      </c>
      <c r="I362" t="str">
        <f>LEFT(Таблица8[[#This Row],[ФИО]],(M362-1))</f>
        <v>Соловьев</v>
      </c>
      <c r="J362" t="str">
        <f>MID(Таблица8[[#This Row],[ФИО]],M362,(N362-M362))</f>
        <v xml:space="preserve"> Родион</v>
      </c>
      <c r="K362" t="str">
        <f>RIGHT(Таблица8[[#This Row],[ФИО]],(O362-N362))</f>
        <v>Данилович</v>
      </c>
      <c r="M362" s="59">
        <f>FIND(" ",Таблица8[[#This Row],[ФИО]],2)</f>
        <v>9</v>
      </c>
      <c r="N362">
        <f>FIND(" ",Таблица8[[#This Row],[ФИО]],(M362+1))</f>
        <v>16</v>
      </c>
      <c r="O362">
        <f>LEN(Таблица8[[#This Row],[ФИО]])</f>
        <v>25</v>
      </c>
      <c r="Q362" s="59" t="str">
        <f>MID(Таблица8[[#This Row],[ФИО]],M362,(N362-M362))</f>
        <v xml:space="preserve"> Родион</v>
      </c>
      <c r="R362" t="s">
        <v>1349</v>
      </c>
      <c r="S362" t="s">
        <v>1635</v>
      </c>
    </row>
    <row r="363" spans="1:19" x14ac:dyDescent="0.25">
      <c r="A363" s="51">
        <v>304</v>
      </c>
      <c r="B363" t="s">
        <v>485</v>
      </c>
      <c r="C363" t="s">
        <v>484</v>
      </c>
      <c r="D363" t="s">
        <v>140</v>
      </c>
      <c r="E363" s="26">
        <v>44886</v>
      </c>
      <c r="F363" t="str">
        <f t="shared" si="5"/>
        <v>+7</v>
      </c>
      <c r="G363" t="str">
        <f>INDEX('коды стран'!$A$2:$A$7, MATCH(F363, 'коды стран'!$B$2:$B$7, 0))</f>
        <v>Россия</v>
      </c>
      <c r="H363" t="s">
        <v>137</v>
      </c>
      <c r="I363" t="str">
        <f>LEFT(Таблица8[[#This Row],[ФИО]],(M363-1))</f>
        <v>Сорокина</v>
      </c>
      <c r="J363" t="str">
        <f>MID(Таблица8[[#This Row],[ФИО]],M363,(N363-M363))</f>
        <v xml:space="preserve"> Марфа</v>
      </c>
      <c r="K363" t="str">
        <f>RIGHT(Таблица8[[#This Row],[ФИО]],(O363-N363))</f>
        <v>Викторовна</v>
      </c>
      <c r="M363" s="60">
        <f>FIND(" ",Таблица8[[#This Row],[ФИО]],2)</f>
        <v>9</v>
      </c>
      <c r="N363">
        <f>FIND(" ",Таблица8[[#This Row],[ФИО]],(M363+1))</f>
        <v>15</v>
      </c>
      <c r="O363">
        <f>LEN(Таблица8[[#This Row],[ФИО]])</f>
        <v>25</v>
      </c>
      <c r="Q363" s="60" t="str">
        <f>MID(Таблица8[[#This Row],[ФИО]],M363,(N363-M363))</f>
        <v xml:space="preserve"> Марфа</v>
      </c>
      <c r="R363" t="s">
        <v>1350</v>
      </c>
      <c r="S363" t="s">
        <v>1613</v>
      </c>
    </row>
    <row r="364" spans="1:19" x14ac:dyDescent="0.25">
      <c r="A364" s="51">
        <v>274</v>
      </c>
      <c r="B364" t="s">
        <v>683</v>
      </c>
      <c r="C364" t="s">
        <v>682</v>
      </c>
      <c r="D364" t="s">
        <v>143</v>
      </c>
      <c r="E364" s="26">
        <v>44607</v>
      </c>
      <c r="F364" t="str">
        <f t="shared" si="5"/>
        <v>+7</v>
      </c>
      <c r="G364" t="str">
        <f>INDEX('коды стран'!$A$2:$A$7, MATCH(F364, 'коды стран'!$B$2:$B$7, 0))</f>
        <v>Россия</v>
      </c>
      <c r="H364" t="s">
        <v>137</v>
      </c>
      <c r="I364" t="str">
        <f>LEFT(Таблица8[[#This Row],[ФИО]],(M364-1))</f>
        <v>Сорокина</v>
      </c>
      <c r="J364" t="str">
        <f>MID(Таблица8[[#This Row],[ФИО]],M364,(N364-M364))</f>
        <v xml:space="preserve"> Феврония</v>
      </c>
      <c r="K364" t="str">
        <f>RIGHT(Таблица8[[#This Row],[ФИО]],(O364-N364))</f>
        <v>Геннадьевна</v>
      </c>
      <c r="M364" s="59">
        <f>FIND(" ",Таблица8[[#This Row],[ФИО]],2)</f>
        <v>9</v>
      </c>
      <c r="N364">
        <f>FIND(" ",Таблица8[[#This Row],[ФИО]],(M364+1))</f>
        <v>18</v>
      </c>
      <c r="O364">
        <f>LEN(Таблица8[[#This Row],[ФИО]])</f>
        <v>29</v>
      </c>
      <c r="Q364" s="59" t="str">
        <f>MID(Таблица8[[#This Row],[ФИО]],M364,(N364-M364))</f>
        <v xml:space="preserve"> Феврония</v>
      </c>
      <c r="R364" t="s">
        <v>1350</v>
      </c>
      <c r="S364" t="s">
        <v>1636</v>
      </c>
    </row>
    <row r="365" spans="1:19" x14ac:dyDescent="0.25">
      <c r="A365" s="51">
        <v>363</v>
      </c>
      <c r="B365" t="s">
        <v>969</v>
      </c>
      <c r="C365" t="s">
        <v>968</v>
      </c>
      <c r="D365" t="s">
        <v>140</v>
      </c>
      <c r="E365" s="26">
        <v>44675</v>
      </c>
      <c r="F365" t="str">
        <f t="shared" si="5"/>
        <v>+998</v>
      </c>
      <c r="G365" t="str">
        <f>INDEX('коды стран'!$A$2:$A$7, MATCH(F365, 'коды стран'!$B$2:$B$7, 0))</f>
        <v>Узбекистан</v>
      </c>
      <c r="H365" t="s">
        <v>132</v>
      </c>
      <c r="I365" t="str">
        <f>LEFT(Таблица8[[#This Row],[ФИО]],(M365-1))</f>
        <v>Сорокина</v>
      </c>
      <c r="J365" t="str">
        <f>MID(Таблица8[[#This Row],[ФИО]],M365,(N365-M365))</f>
        <v xml:space="preserve"> Феврония</v>
      </c>
      <c r="K365" t="str">
        <f>RIGHT(Таблица8[[#This Row],[ФИО]],(O365-N365))</f>
        <v>Натановна</v>
      </c>
      <c r="M365" s="60">
        <f>FIND(" ",Таблица8[[#This Row],[ФИО]],2)</f>
        <v>9</v>
      </c>
      <c r="N365">
        <f>FIND(" ",Таблица8[[#This Row],[ФИО]],(M365+1))</f>
        <v>18</v>
      </c>
      <c r="O365">
        <f>LEN(Таблица8[[#This Row],[ФИО]])</f>
        <v>27</v>
      </c>
      <c r="Q365" s="60" t="str">
        <f>MID(Таблица8[[#This Row],[ФИО]],M365,(N365-M365))</f>
        <v xml:space="preserve"> Феврония</v>
      </c>
      <c r="R365" t="s">
        <v>1350</v>
      </c>
      <c r="S365" t="s">
        <v>1611</v>
      </c>
    </row>
    <row r="366" spans="1:19" x14ac:dyDescent="0.25">
      <c r="A366" s="51">
        <v>411</v>
      </c>
      <c r="B366" t="s">
        <v>679</v>
      </c>
      <c r="C366" t="s">
        <v>678</v>
      </c>
      <c r="D366" t="s">
        <v>140</v>
      </c>
      <c r="E366" s="26">
        <v>44673</v>
      </c>
      <c r="F366" t="str">
        <f t="shared" si="5"/>
        <v>+992</v>
      </c>
      <c r="G366" t="str">
        <f>INDEX('коды стран'!$A$2:$A$7, MATCH(F366, 'коды стран'!$B$2:$B$7, 0))</f>
        <v>Таджикистан</v>
      </c>
      <c r="H366" t="s">
        <v>130</v>
      </c>
      <c r="I366" t="str">
        <f>LEFT(Таблица8[[#This Row],[ФИО]],(M366-1))</f>
        <v>Спиридон</v>
      </c>
      <c r="J366" t="str">
        <f>MID(Таблица8[[#This Row],[ФИО]],M366,(N366-M366))</f>
        <v xml:space="preserve"> Владленович</v>
      </c>
      <c r="K366" t="str">
        <f>RIGHT(Таблица8[[#This Row],[ФИО]],(O366-N366))</f>
        <v>Воронцов</v>
      </c>
      <c r="M366" s="59">
        <f>FIND(" ",Таблица8[[#This Row],[ФИО]],2)</f>
        <v>9</v>
      </c>
      <c r="N366">
        <f>FIND(" ",Таблица8[[#This Row],[ФИО]],(M366+1))</f>
        <v>21</v>
      </c>
      <c r="O366">
        <f>LEN(Таблица8[[#This Row],[ФИО]])</f>
        <v>29</v>
      </c>
      <c r="Q366" s="59" t="str">
        <f>LEFT(Таблица8[[#This Row],[ФИО]],(M366-1))</f>
        <v>Спиридон</v>
      </c>
      <c r="R366" t="s">
        <v>1351</v>
      </c>
      <c r="S366" t="s">
        <v>1637</v>
      </c>
    </row>
    <row r="367" spans="1:19" x14ac:dyDescent="0.25">
      <c r="A367" s="51">
        <v>49</v>
      </c>
      <c r="B367" t="s">
        <v>729</v>
      </c>
      <c r="C367" t="s">
        <v>728</v>
      </c>
      <c r="D367" t="s">
        <v>143</v>
      </c>
      <c r="E367" s="26">
        <v>44672</v>
      </c>
      <c r="F367" t="str">
        <f t="shared" si="5"/>
        <v>+992</v>
      </c>
      <c r="G367" t="str">
        <f>INDEX('коды стран'!$A$2:$A$7, MATCH(F367, 'коды стран'!$B$2:$B$7, 0))</f>
        <v>Таджикистан</v>
      </c>
      <c r="H367" t="s">
        <v>130</v>
      </c>
      <c r="I367" t="str">
        <f>LEFT(Таблица8[[#This Row],[ФИО]],(M367-1))</f>
        <v>Спиридон</v>
      </c>
      <c r="J367" t="str">
        <f>MID(Таблица8[[#This Row],[ФИО]],M367,(N367-M367))</f>
        <v xml:space="preserve"> Чеславович</v>
      </c>
      <c r="K367" t="str">
        <f>RIGHT(Таблица8[[#This Row],[ФИО]],(O367-N367))</f>
        <v>Абрамов</v>
      </c>
      <c r="M367" s="60">
        <f>FIND(" ",Таблица8[[#This Row],[ФИО]],2)</f>
        <v>9</v>
      </c>
      <c r="N367">
        <f>FIND(" ",Таблица8[[#This Row],[ФИО]],(M367+1))</f>
        <v>20</v>
      </c>
      <c r="O367">
        <f>LEN(Таблица8[[#This Row],[ФИО]])</f>
        <v>27</v>
      </c>
      <c r="Q367" s="60" t="str">
        <f>LEFT(Таблица8[[#This Row],[ФИО]],(M367-1))</f>
        <v>Спиридон</v>
      </c>
      <c r="R367" t="s">
        <v>1144</v>
      </c>
      <c r="S367" t="s">
        <v>1638</v>
      </c>
    </row>
    <row r="368" spans="1:19" x14ac:dyDescent="0.25">
      <c r="A368" s="51">
        <v>135</v>
      </c>
      <c r="B368" t="s">
        <v>349</v>
      </c>
      <c r="C368" t="s">
        <v>348</v>
      </c>
      <c r="D368" t="s">
        <v>143</v>
      </c>
      <c r="E368" s="26">
        <v>44602</v>
      </c>
      <c r="F368" t="str">
        <f t="shared" si="5"/>
        <v>+7</v>
      </c>
      <c r="G368" t="str">
        <f>INDEX('коды стран'!$A$2:$A$7, MATCH(F368, 'коды стран'!$B$2:$B$7, 0))</f>
        <v>Россия</v>
      </c>
      <c r="H368" t="s">
        <v>137</v>
      </c>
      <c r="I368" t="str">
        <f>LEFT(Таблица8[[#This Row],[ФИО]],(M368-1))</f>
        <v>Станислав</v>
      </c>
      <c r="J368" t="str">
        <f>MID(Таблица8[[#This Row],[ФИО]],M368,(N368-M368))</f>
        <v xml:space="preserve"> Ильясович</v>
      </c>
      <c r="K368" t="str">
        <f>RIGHT(Таблица8[[#This Row],[ФИО]],(O368-N368))</f>
        <v>Ширяев</v>
      </c>
      <c r="M368" s="59">
        <f>FIND(" ",Таблица8[[#This Row],[ФИО]],2)</f>
        <v>10</v>
      </c>
      <c r="N368">
        <f>FIND(" ",Таблица8[[#This Row],[ФИО]],(M368+1))</f>
        <v>20</v>
      </c>
      <c r="O368">
        <f>LEN(Таблица8[[#This Row],[ФИО]])</f>
        <v>26</v>
      </c>
      <c r="Q368" s="59" t="str">
        <f>LEFT(Таблица8[[#This Row],[ФИО]],(M368-1))</f>
        <v>Станислав</v>
      </c>
      <c r="R368" t="s">
        <v>1352</v>
      </c>
      <c r="S368" t="s">
        <v>1639</v>
      </c>
    </row>
    <row r="369" spans="1:19" x14ac:dyDescent="0.25">
      <c r="A369" s="51">
        <v>385</v>
      </c>
      <c r="B369" t="s">
        <v>913</v>
      </c>
      <c r="C369" t="s">
        <v>912</v>
      </c>
      <c r="D369" t="s">
        <v>140</v>
      </c>
      <c r="E369" s="26">
        <v>44753</v>
      </c>
      <c r="F369" t="str">
        <f t="shared" si="5"/>
        <v>+380</v>
      </c>
      <c r="G369" t="str">
        <f>INDEX('коды стран'!$A$2:$A$7, MATCH(F369, 'коды стран'!$B$2:$B$7, 0))</f>
        <v>Украина</v>
      </c>
      <c r="H369" t="s">
        <v>128</v>
      </c>
      <c r="I369" t="str">
        <f>LEFT(Таблица8[[#This Row],[ФИО]],(M369-1))</f>
        <v>Стрелков</v>
      </c>
      <c r="J369" t="str">
        <f>MID(Таблица8[[#This Row],[ФИО]],M369,(N369-M369))</f>
        <v xml:space="preserve"> Геннадий</v>
      </c>
      <c r="K369" t="str">
        <f>RIGHT(Таблица8[[#This Row],[ФИО]],(O369-N369))</f>
        <v>Бориславович</v>
      </c>
      <c r="M369" s="60">
        <f>FIND(" ",Таблица8[[#This Row],[ФИО]],2)</f>
        <v>9</v>
      </c>
      <c r="N369">
        <f>FIND(" ",Таблица8[[#This Row],[ФИО]],(M369+1))</f>
        <v>18</v>
      </c>
      <c r="O369">
        <f>LEN(Таблица8[[#This Row],[ФИО]])</f>
        <v>30</v>
      </c>
      <c r="Q369" s="60" t="str">
        <f>MID(Таблица8[[#This Row],[ФИО]],M369,(N369-M369))</f>
        <v xml:space="preserve"> Геннадий</v>
      </c>
      <c r="R369" t="s">
        <v>1283</v>
      </c>
      <c r="S369" t="s">
        <v>1551</v>
      </c>
    </row>
    <row r="370" spans="1:19" x14ac:dyDescent="0.25">
      <c r="A370" s="51">
        <v>91</v>
      </c>
      <c r="B370" t="s">
        <v>191</v>
      </c>
      <c r="C370" t="s">
        <v>190</v>
      </c>
      <c r="D370" t="s">
        <v>140</v>
      </c>
      <c r="E370" s="26">
        <v>44687</v>
      </c>
      <c r="F370" t="str">
        <f t="shared" si="5"/>
        <v>+7</v>
      </c>
      <c r="G370" t="str">
        <f>INDEX('коды стран'!$A$2:$A$7, MATCH(F370, 'коды стран'!$B$2:$B$7, 0))</f>
        <v>Россия</v>
      </c>
      <c r="H370" t="s">
        <v>137</v>
      </c>
      <c r="I370" t="str">
        <f>LEFT(Таблица8[[#This Row],[ФИО]],(M370-1))</f>
        <v>Стрелкова</v>
      </c>
      <c r="J370" t="str">
        <f>MID(Таблица8[[#This Row],[ФИО]],M370,(N370-M370))</f>
        <v xml:space="preserve"> Наина</v>
      </c>
      <c r="K370" t="str">
        <f>RIGHT(Таблица8[[#This Row],[ФИО]],(O370-N370))</f>
        <v>Эдуардовна</v>
      </c>
      <c r="M370" s="59">
        <f>FIND(" ",Таблица8[[#This Row],[ФИО]],2)</f>
        <v>10</v>
      </c>
      <c r="N370">
        <f>FIND(" ",Таблица8[[#This Row],[ФИО]],(M370+1))</f>
        <v>16</v>
      </c>
      <c r="O370">
        <f>LEN(Таблица8[[#This Row],[ФИО]])</f>
        <v>26</v>
      </c>
      <c r="Q370" s="59" t="str">
        <f>MID(Таблица8[[#This Row],[ФИО]],M370,(N370-M370))</f>
        <v xml:space="preserve"> Наина</v>
      </c>
      <c r="R370" t="s">
        <v>1353</v>
      </c>
      <c r="S370" t="s">
        <v>1399</v>
      </c>
    </row>
    <row r="371" spans="1:19" x14ac:dyDescent="0.25">
      <c r="A371" s="51">
        <v>203</v>
      </c>
      <c r="B371" t="s">
        <v>593</v>
      </c>
      <c r="C371" t="s">
        <v>592</v>
      </c>
      <c r="D371" t="s">
        <v>140</v>
      </c>
      <c r="E371" s="26">
        <v>44685</v>
      </c>
      <c r="F371" t="str">
        <f t="shared" si="5"/>
        <v>+7</v>
      </c>
      <c r="G371" t="str">
        <f>INDEX('коды стран'!$A$2:$A$7, MATCH(F371, 'коды стран'!$B$2:$B$7, 0))</f>
        <v>Россия</v>
      </c>
      <c r="H371" t="s">
        <v>137</v>
      </c>
      <c r="I371" t="str">
        <f>LEFT(Таблица8[[#This Row],[ФИО]],(M371-1))</f>
        <v>Суханов</v>
      </c>
      <c r="J371" t="str">
        <f>MID(Таблица8[[#This Row],[ФИО]],M371,(N371-M371))</f>
        <v xml:space="preserve"> Станислав</v>
      </c>
      <c r="K371" t="str">
        <f>RIGHT(Таблица8[[#This Row],[ФИО]],(O371-N371))</f>
        <v>Архипович</v>
      </c>
      <c r="M371" s="60">
        <f>FIND(" ",Таблица8[[#This Row],[ФИО]],2)</f>
        <v>8</v>
      </c>
      <c r="N371">
        <f>FIND(" ",Таблица8[[#This Row],[ФИО]],(M371+1))</f>
        <v>18</v>
      </c>
      <c r="O371">
        <f>LEN(Таблица8[[#This Row],[ФИО]])</f>
        <v>27</v>
      </c>
      <c r="Q371" s="60" t="str">
        <f>MID(Таблица8[[#This Row],[ФИО]],M371,(N371-M371))</f>
        <v xml:space="preserve"> Станислав</v>
      </c>
      <c r="R371" t="s">
        <v>1354</v>
      </c>
      <c r="S371" t="s">
        <v>1640</v>
      </c>
    </row>
    <row r="372" spans="1:19" x14ac:dyDescent="0.25">
      <c r="A372" s="51">
        <v>322</v>
      </c>
      <c r="B372" t="s">
        <v>661</v>
      </c>
      <c r="C372" t="s">
        <v>660</v>
      </c>
      <c r="D372" t="s">
        <v>143</v>
      </c>
      <c r="E372" s="26">
        <v>44886</v>
      </c>
      <c r="F372" t="str">
        <f t="shared" si="5"/>
        <v>+380</v>
      </c>
      <c r="G372" t="str">
        <f>INDEX('коды стран'!$A$2:$A$7, MATCH(F372, 'коды стран'!$B$2:$B$7, 0))</f>
        <v>Украина</v>
      </c>
      <c r="H372" t="s">
        <v>128</v>
      </c>
      <c r="I372" t="str">
        <f>LEFT(Таблица8[[#This Row],[ФИО]],(M372-1))</f>
        <v>Суханова</v>
      </c>
      <c r="J372" t="str">
        <f>MID(Таблица8[[#This Row],[ФИО]],M372,(N372-M372))</f>
        <v xml:space="preserve"> Алла</v>
      </c>
      <c r="K372" t="str">
        <f>RIGHT(Таблица8[[#This Row],[ФИО]],(O372-N372))</f>
        <v>Эльдаровна</v>
      </c>
      <c r="M372" s="59">
        <f>FIND(" ",Таблица8[[#This Row],[ФИО]],2)</f>
        <v>9</v>
      </c>
      <c r="N372">
        <f>FIND(" ",Таблица8[[#This Row],[ФИО]],(M372+1))</f>
        <v>14</v>
      </c>
      <c r="O372">
        <f>LEN(Таблица8[[#This Row],[ФИО]])</f>
        <v>24</v>
      </c>
      <c r="Q372" s="59" t="str">
        <f>MID(Таблица8[[#This Row],[ФИО]],M372,(N372-M372))</f>
        <v xml:space="preserve"> Алла</v>
      </c>
      <c r="R372" t="s">
        <v>1355</v>
      </c>
      <c r="S372" t="s">
        <v>1436</v>
      </c>
    </row>
    <row r="373" spans="1:19" x14ac:dyDescent="0.25">
      <c r="A373" s="51">
        <v>121</v>
      </c>
      <c r="B373" t="s">
        <v>625</v>
      </c>
      <c r="C373" t="s">
        <v>624</v>
      </c>
      <c r="D373" t="s">
        <v>143</v>
      </c>
      <c r="E373" s="26">
        <v>44763</v>
      </c>
      <c r="F373" t="str">
        <f t="shared" si="5"/>
        <v>+7</v>
      </c>
      <c r="G373" t="str">
        <f>INDEX('коды стран'!$A$2:$A$7, MATCH(F373, 'коды стран'!$B$2:$B$7, 0))</f>
        <v>Россия</v>
      </c>
      <c r="H373" t="s">
        <v>137</v>
      </c>
      <c r="I373" t="str">
        <f>LEFT(Таблица8[[#This Row],[ФИО]],(M373-1))</f>
        <v>Сысоева</v>
      </c>
      <c r="J373" t="str">
        <f>MID(Таблица8[[#This Row],[ФИО]],M373,(N373-M373))</f>
        <v xml:space="preserve"> Светлана</v>
      </c>
      <c r="K373" t="str">
        <f>RIGHT(Таблица8[[#This Row],[ФИО]],(O373-N373))</f>
        <v>Захаровна</v>
      </c>
      <c r="M373" s="60">
        <f>FIND(" ",Таблица8[[#This Row],[ФИО]],2)</f>
        <v>8</v>
      </c>
      <c r="N373">
        <f>FIND(" ",Таблица8[[#This Row],[ФИО]],(M373+1))</f>
        <v>17</v>
      </c>
      <c r="O373">
        <f>LEN(Таблица8[[#This Row],[ФИО]])</f>
        <v>26</v>
      </c>
      <c r="Q373" s="60" t="str">
        <f>MID(Таблица8[[#This Row],[ФИО]],M373,(N373-M373))</f>
        <v xml:space="preserve"> Светлана</v>
      </c>
      <c r="R373" t="s">
        <v>1356</v>
      </c>
      <c r="S373" t="s">
        <v>1524</v>
      </c>
    </row>
    <row r="374" spans="1:19" x14ac:dyDescent="0.25">
      <c r="A374" s="51">
        <v>106</v>
      </c>
      <c r="B374" t="s">
        <v>695</v>
      </c>
      <c r="C374" t="s">
        <v>694</v>
      </c>
      <c r="D374" t="s">
        <v>143</v>
      </c>
      <c r="E374" s="26">
        <v>44858</v>
      </c>
      <c r="F374" t="str">
        <f t="shared" si="5"/>
        <v>+380</v>
      </c>
      <c r="G374" t="str">
        <f>INDEX('коды стран'!$A$2:$A$7, MATCH(F374, 'коды стран'!$B$2:$B$7, 0))</f>
        <v>Украина</v>
      </c>
      <c r="H374" t="s">
        <v>128</v>
      </c>
      <c r="I374" t="str">
        <f>LEFT(Таблица8[[#This Row],[ФИО]],(M374-1))</f>
        <v>Таисия</v>
      </c>
      <c r="J374" t="str">
        <f>MID(Таблица8[[#This Row],[ФИО]],M374,(N374-M374))</f>
        <v xml:space="preserve"> Богдановна</v>
      </c>
      <c r="K374" t="str">
        <f>RIGHT(Таблица8[[#This Row],[ФИО]],(O374-N374))</f>
        <v>Якушева</v>
      </c>
      <c r="M374" s="59">
        <f>FIND(" ",Таблица8[[#This Row],[ФИО]],2)</f>
        <v>7</v>
      </c>
      <c r="N374">
        <f>FIND(" ",Таблица8[[#This Row],[ФИО]],(M374+1))</f>
        <v>18</v>
      </c>
      <c r="O374">
        <f>LEN(Таблица8[[#This Row],[ФИО]])</f>
        <v>25</v>
      </c>
      <c r="Q374" s="59" t="str">
        <f>LEFT(Таблица8[[#This Row],[ФИО]],(M374-1))</f>
        <v>Таисия</v>
      </c>
      <c r="R374" t="s">
        <v>1357</v>
      </c>
      <c r="S374" t="s">
        <v>1541</v>
      </c>
    </row>
    <row r="375" spans="1:19" x14ac:dyDescent="0.25">
      <c r="A375" s="51">
        <v>140</v>
      </c>
      <c r="B375" t="s">
        <v>845</v>
      </c>
      <c r="C375" t="s">
        <v>844</v>
      </c>
      <c r="D375" t="s">
        <v>143</v>
      </c>
      <c r="E375" s="26">
        <v>44627</v>
      </c>
      <c r="F375" t="str">
        <f t="shared" si="5"/>
        <v>+7</v>
      </c>
      <c r="G375" t="str">
        <f>INDEX('коды стран'!$A$2:$A$7, MATCH(F375, 'коды стран'!$B$2:$B$7, 0))</f>
        <v>Россия</v>
      </c>
      <c r="H375" t="s">
        <v>137</v>
      </c>
      <c r="I375" t="str">
        <f>LEFT(Таблица8[[#This Row],[ФИО]],(M375-1))</f>
        <v>Татьяна</v>
      </c>
      <c r="J375" t="str">
        <f>MID(Таблица8[[#This Row],[ФИО]],M375,(N375-M375))</f>
        <v xml:space="preserve"> Михайловна</v>
      </c>
      <c r="K375" t="str">
        <f>RIGHT(Таблица8[[#This Row],[ФИО]],(O375-N375))</f>
        <v>Новикова</v>
      </c>
      <c r="M375" s="60">
        <f>FIND(" ",Таблица8[[#This Row],[ФИО]],2)</f>
        <v>8</v>
      </c>
      <c r="N375">
        <f>FIND(" ",Таблица8[[#This Row],[ФИО]],(M375+1))</f>
        <v>19</v>
      </c>
      <c r="O375">
        <f>LEN(Таблица8[[#This Row],[ФИО]])</f>
        <v>27</v>
      </c>
      <c r="Q375" s="60" t="str">
        <f>LEFT(Таблица8[[#This Row],[ФИО]],(M375-1))</f>
        <v>Татьяна</v>
      </c>
      <c r="R375" t="s">
        <v>1123</v>
      </c>
      <c r="S375" t="s">
        <v>1414</v>
      </c>
    </row>
    <row r="376" spans="1:19" x14ac:dyDescent="0.25">
      <c r="A376" s="51">
        <v>31</v>
      </c>
      <c r="B376" t="s">
        <v>427</v>
      </c>
      <c r="C376" t="s">
        <v>426</v>
      </c>
      <c r="D376" t="s">
        <v>140</v>
      </c>
      <c r="E376" s="26">
        <v>44580</v>
      </c>
      <c r="F376" t="str">
        <f t="shared" si="5"/>
        <v>+380</v>
      </c>
      <c r="G376" t="str">
        <f>INDEX('коды стран'!$A$2:$A$7, MATCH(F376, 'коды стран'!$B$2:$B$7, 0))</f>
        <v>Украина</v>
      </c>
      <c r="H376" t="s">
        <v>128</v>
      </c>
      <c r="I376" t="str">
        <f>LEFT(Таблица8[[#This Row],[ФИО]],(M376-1))</f>
        <v>Татьяна</v>
      </c>
      <c r="J376" t="str">
        <f>MID(Таблица8[[#This Row],[ФИО]],M376,(N376-M376))</f>
        <v xml:space="preserve"> Павловна</v>
      </c>
      <c r="K376" t="str">
        <f>RIGHT(Таблица8[[#This Row],[ФИО]],(O376-N376))</f>
        <v>Павлова</v>
      </c>
      <c r="M376" s="59">
        <f>FIND(" ",Таблица8[[#This Row],[ФИО]],2)</f>
        <v>8</v>
      </c>
      <c r="N376">
        <f>FIND(" ",Таблица8[[#This Row],[ФИО]],(M376+1))</f>
        <v>17</v>
      </c>
      <c r="O376">
        <f>LEN(Таблица8[[#This Row],[ФИО]])</f>
        <v>24</v>
      </c>
      <c r="Q376" s="59" t="str">
        <f>LEFT(Таблица8[[#This Row],[ФИО]],(M376-1))</f>
        <v>Татьяна</v>
      </c>
      <c r="R376" t="s">
        <v>1358</v>
      </c>
      <c r="S376" t="s">
        <v>1576</v>
      </c>
    </row>
    <row r="377" spans="1:19" x14ac:dyDescent="0.25">
      <c r="A377" s="51">
        <v>482</v>
      </c>
      <c r="B377" t="s">
        <v>187</v>
      </c>
      <c r="C377" t="s">
        <v>186</v>
      </c>
      <c r="D377" t="s">
        <v>140</v>
      </c>
      <c r="E377" s="26">
        <v>44679</v>
      </c>
      <c r="F377" t="str">
        <f t="shared" si="5"/>
        <v>+380</v>
      </c>
      <c r="G377" t="str">
        <f>INDEX('коды стран'!$A$2:$A$7, MATCH(F377, 'коды стран'!$B$2:$B$7, 0))</f>
        <v>Украина</v>
      </c>
      <c r="H377" t="s">
        <v>128</v>
      </c>
      <c r="I377" t="str">
        <f>LEFT(Таблица8[[#This Row],[ФИО]],(M377-1))</f>
        <v>Творимир</v>
      </c>
      <c r="J377" t="str">
        <f>MID(Таблица8[[#This Row],[ФИО]],M377,(N377-M377))</f>
        <v xml:space="preserve"> Артурович</v>
      </c>
      <c r="K377" t="str">
        <f>RIGHT(Таблица8[[#This Row],[ФИО]],(O377-N377))</f>
        <v>Гришин</v>
      </c>
      <c r="M377" s="60">
        <f>FIND(" ",Таблица8[[#This Row],[ФИО]],2)</f>
        <v>9</v>
      </c>
      <c r="N377">
        <f>FIND(" ",Таблица8[[#This Row],[ФИО]],(M377+1))</f>
        <v>19</v>
      </c>
      <c r="O377">
        <f>LEN(Таблица8[[#This Row],[ФИО]])</f>
        <v>25</v>
      </c>
      <c r="Q377" s="60" t="str">
        <f>LEFT(Таблица8[[#This Row],[ФИО]],(M377-1))</f>
        <v>Творимир</v>
      </c>
      <c r="R377" t="s">
        <v>1359</v>
      </c>
      <c r="S377" t="s">
        <v>1641</v>
      </c>
    </row>
    <row r="378" spans="1:19" x14ac:dyDescent="0.25">
      <c r="A378" s="51">
        <v>292</v>
      </c>
      <c r="B378" t="s">
        <v>569</v>
      </c>
      <c r="C378" t="s">
        <v>568</v>
      </c>
      <c r="D378" t="s">
        <v>140</v>
      </c>
      <c r="E378" s="26">
        <v>44608</v>
      </c>
      <c r="F378" t="str">
        <f t="shared" si="5"/>
        <v>+7</v>
      </c>
      <c r="G378" t="str">
        <f>INDEX('коды стран'!$A$2:$A$7, MATCH(F378, 'коды стран'!$B$2:$B$7, 0))</f>
        <v>Россия</v>
      </c>
      <c r="H378" t="s">
        <v>137</v>
      </c>
      <c r="I378" t="str">
        <f>LEFT(Таблица8[[#This Row],[ФИО]],(M378-1))</f>
        <v>Тимофеев</v>
      </c>
      <c r="J378" t="str">
        <f>MID(Таблица8[[#This Row],[ФИО]],M378,(N378-M378))</f>
        <v xml:space="preserve"> Аполлинарий</v>
      </c>
      <c r="K378" t="str">
        <f>RIGHT(Таблица8[[#This Row],[ФИО]],(O378-N378))</f>
        <v>Фомич</v>
      </c>
      <c r="M378" s="59">
        <f>FIND(" ",Таблица8[[#This Row],[ФИО]],2)</f>
        <v>9</v>
      </c>
      <c r="N378">
        <f>FIND(" ",Таблица8[[#This Row],[ФИО]],(M378+1))</f>
        <v>21</v>
      </c>
      <c r="O378">
        <f>LEN(Таблица8[[#This Row],[ФИО]])</f>
        <v>26</v>
      </c>
      <c r="Q378" s="59" t="str">
        <f>MID(Таблица8[[#This Row],[ФИО]],M378,(N378-M378))</f>
        <v xml:space="preserve"> Аполлинарий</v>
      </c>
      <c r="R378" t="s">
        <v>1360</v>
      </c>
      <c r="S378" t="s">
        <v>1514</v>
      </c>
    </row>
    <row r="379" spans="1:19" x14ac:dyDescent="0.25">
      <c r="A379" s="51">
        <v>388</v>
      </c>
      <c r="B379" t="s">
        <v>767</v>
      </c>
      <c r="C379" t="s">
        <v>766</v>
      </c>
      <c r="D379" t="s">
        <v>143</v>
      </c>
      <c r="E379" s="26">
        <v>44581</v>
      </c>
      <c r="F379" t="str">
        <f t="shared" si="5"/>
        <v>+7</v>
      </c>
      <c r="G379" t="str">
        <f>INDEX('коды стран'!$A$2:$A$7, MATCH(F379, 'коды стран'!$B$2:$B$7, 0))</f>
        <v>Россия</v>
      </c>
      <c r="H379" t="s">
        <v>137</v>
      </c>
      <c r="I379" t="str">
        <f>LEFT(Таблица8[[#This Row],[ФИО]],(M379-1))</f>
        <v>Тимофеева</v>
      </c>
      <c r="J379" t="str">
        <f>MID(Таблица8[[#This Row],[ФИО]],M379,(N379-M379))</f>
        <v xml:space="preserve"> Анастасия</v>
      </c>
      <c r="K379" t="str">
        <f>RIGHT(Таблица8[[#This Row],[ФИО]],(O379-N379))</f>
        <v>Натановна</v>
      </c>
      <c r="M379" s="60">
        <f>FIND(" ",Таблица8[[#This Row],[ФИО]],2)</f>
        <v>10</v>
      </c>
      <c r="N379">
        <f>FIND(" ",Таблица8[[#This Row],[ФИО]],(M379+1))</f>
        <v>20</v>
      </c>
      <c r="O379">
        <f>LEN(Таблица8[[#This Row],[ФИО]])</f>
        <v>29</v>
      </c>
      <c r="Q379" s="60" t="str">
        <f>MID(Таблица8[[#This Row],[ФИО]],M379,(N379-M379))</f>
        <v xml:space="preserve"> Анастасия</v>
      </c>
      <c r="R379" t="s">
        <v>1277</v>
      </c>
      <c r="S379" t="s">
        <v>1611</v>
      </c>
    </row>
    <row r="380" spans="1:19" x14ac:dyDescent="0.25">
      <c r="A380" s="51">
        <v>260</v>
      </c>
      <c r="B380" t="s">
        <v>229</v>
      </c>
      <c r="C380" t="s">
        <v>228</v>
      </c>
      <c r="D380" t="s">
        <v>143</v>
      </c>
      <c r="E380" s="26">
        <v>44729</v>
      </c>
      <c r="F380" t="str">
        <f t="shared" si="5"/>
        <v>+380</v>
      </c>
      <c r="G380" t="str">
        <f>INDEX('коды стран'!$A$2:$A$7, MATCH(F380, 'коды стран'!$B$2:$B$7, 0))</f>
        <v>Украина</v>
      </c>
      <c r="H380" t="s">
        <v>128</v>
      </c>
      <c r="I380" t="str">
        <f>LEFT(Таблица8[[#This Row],[ФИО]],(M380-1))</f>
        <v>Титова</v>
      </c>
      <c r="J380" t="str">
        <f>MID(Таблица8[[#This Row],[ФИО]],M380,(N380-M380))</f>
        <v xml:space="preserve"> Ксения</v>
      </c>
      <c r="K380" t="str">
        <f>RIGHT(Таблица8[[#This Row],[ФИО]],(O380-N380))</f>
        <v>Дмитриевна</v>
      </c>
      <c r="M380" s="59">
        <f>FIND(" ",Таблица8[[#This Row],[ФИО]],2)</f>
        <v>7</v>
      </c>
      <c r="N380">
        <f>FIND(" ",Таблица8[[#This Row],[ФИО]],(M380+1))</f>
        <v>14</v>
      </c>
      <c r="O380">
        <f>LEN(Таблица8[[#This Row],[ФИО]])</f>
        <v>24</v>
      </c>
      <c r="Q380" s="59" t="str">
        <f>MID(Таблица8[[#This Row],[ФИО]],M380,(N380-M380))</f>
        <v xml:space="preserve"> Ксения</v>
      </c>
      <c r="R380" t="s">
        <v>1293</v>
      </c>
      <c r="S380" t="s">
        <v>1633</v>
      </c>
    </row>
    <row r="381" spans="1:19" x14ac:dyDescent="0.25">
      <c r="A381" s="51">
        <v>420</v>
      </c>
      <c r="B381" t="s">
        <v>727</v>
      </c>
      <c r="C381" t="s">
        <v>726</v>
      </c>
      <c r="D381" t="s">
        <v>140</v>
      </c>
      <c r="E381" s="26">
        <v>44698</v>
      </c>
      <c r="F381" t="str">
        <f t="shared" si="5"/>
        <v>+380</v>
      </c>
      <c r="G381" t="str">
        <f>INDEX('коды стран'!$A$2:$A$7, MATCH(F381, 'коды стран'!$B$2:$B$7, 0))</f>
        <v>Украина</v>
      </c>
      <c r="H381" t="s">
        <v>128</v>
      </c>
      <c r="I381" t="str">
        <f>LEFT(Таблица8[[#This Row],[ФИО]],(M381-1))</f>
        <v>Тихонова</v>
      </c>
      <c r="J381" t="str">
        <f>MID(Таблица8[[#This Row],[ФИО]],M381,(N381-M381))</f>
        <v xml:space="preserve"> Евфросиния</v>
      </c>
      <c r="K381" t="str">
        <f>RIGHT(Таблица8[[#This Row],[ФИО]],(O381-N381))</f>
        <v>Феликсовна</v>
      </c>
      <c r="M381" s="60">
        <f>FIND(" ",Таблица8[[#This Row],[ФИО]],2)</f>
        <v>9</v>
      </c>
      <c r="N381">
        <f>FIND(" ",Таблица8[[#This Row],[ФИО]],(M381+1))</f>
        <v>20</v>
      </c>
      <c r="O381">
        <f>LEN(Таблица8[[#This Row],[ФИО]])</f>
        <v>30</v>
      </c>
      <c r="Q381" s="60" t="str">
        <f>MID(Таблица8[[#This Row],[ФИО]],M381,(N381-M381))</f>
        <v xml:space="preserve"> Евфросиния</v>
      </c>
      <c r="R381" t="s">
        <v>1361</v>
      </c>
      <c r="S381" t="s">
        <v>1473</v>
      </c>
    </row>
    <row r="382" spans="1:19" x14ac:dyDescent="0.25">
      <c r="A382" s="51">
        <v>435</v>
      </c>
      <c r="B382" t="s">
        <v>221</v>
      </c>
      <c r="C382" t="s">
        <v>220</v>
      </c>
      <c r="D382" t="s">
        <v>140</v>
      </c>
      <c r="E382" s="26">
        <v>44618</v>
      </c>
      <c r="F382" t="str">
        <f t="shared" si="5"/>
        <v>+998</v>
      </c>
      <c r="G382" t="str">
        <f>INDEX('коды стран'!$A$2:$A$7, MATCH(F382, 'коды стран'!$B$2:$B$7, 0))</f>
        <v>Узбекистан</v>
      </c>
      <c r="H382" t="s">
        <v>132</v>
      </c>
      <c r="I382" t="str">
        <f>LEFT(Таблица8[[#This Row],[ФИО]],(M382-1))</f>
        <v>Тихонова</v>
      </c>
      <c r="J382" t="str">
        <f>MID(Таблица8[[#This Row],[ФИО]],M382,(N382-M382))</f>
        <v xml:space="preserve"> Ираида</v>
      </c>
      <c r="K382" t="str">
        <f>RIGHT(Таблица8[[#This Row],[ФИО]],(O382-N382))</f>
        <v>Ефимовна</v>
      </c>
      <c r="M382" s="59">
        <f>FIND(" ",Таблица8[[#This Row],[ФИО]],2)</f>
        <v>9</v>
      </c>
      <c r="N382">
        <f>FIND(" ",Таблица8[[#This Row],[ФИО]],(M382+1))</f>
        <v>16</v>
      </c>
      <c r="O382">
        <f>LEN(Таблица8[[#This Row],[ФИО]])</f>
        <v>24</v>
      </c>
      <c r="Q382" s="59" t="str">
        <f>MID(Таблица8[[#This Row],[ФИО]],M382,(N382-M382))</f>
        <v xml:space="preserve"> Ираида</v>
      </c>
      <c r="R382" t="s">
        <v>1361</v>
      </c>
      <c r="S382" t="s">
        <v>1642</v>
      </c>
    </row>
    <row r="383" spans="1:19" x14ac:dyDescent="0.25">
      <c r="A383" s="51">
        <v>126</v>
      </c>
      <c r="B383" t="s">
        <v>821</v>
      </c>
      <c r="C383" t="s">
        <v>820</v>
      </c>
      <c r="D383" t="s">
        <v>143</v>
      </c>
      <c r="E383" s="26">
        <v>44822</v>
      </c>
      <c r="F383" t="str">
        <f t="shared" si="5"/>
        <v>+998</v>
      </c>
      <c r="G383" t="str">
        <f>INDEX('коды стран'!$A$2:$A$7, MATCH(F383, 'коды стран'!$B$2:$B$7, 0))</f>
        <v>Узбекистан</v>
      </c>
      <c r="H383" t="s">
        <v>132</v>
      </c>
      <c r="I383" t="str">
        <f>LEFT(Таблица8[[#This Row],[ФИО]],(M383-1))</f>
        <v>тов.</v>
      </c>
      <c r="J383" t="str">
        <f>MID(Таблица8[[#This Row],[ФИО]],M383,(N383-M383))</f>
        <v xml:space="preserve"> Копылова</v>
      </c>
      <c r="K383" t="str">
        <f>RIGHT(Таблица8[[#This Row],[ФИО]],(O383-N383))</f>
        <v>Жанна Архиповна</v>
      </c>
      <c r="M383" s="60">
        <f>FIND(" ",Таблица8[[#This Row],[ФИО]],2)</f>
        <v>5</v>
      </c>
      <c r="N383">
        <f>FIND(" ",Таблица8[[#This Row],[ФИО]],(M383+1))</f>
        <v>14</v>
      </c>
      <c r="O383">
        <f>LEN(Таблица8[[#This Row],[ФИО]])</f>
        <v>29</v>
      </c>
      <c r="Q383" s="62" t="s">
        <v>1666</v>
      </c>
      <c r="R383" t="s">
        <v>1362</v>
      </c>
      <c r="S383" t="s">
        <v>1391</v>
      </c>
    </row>
    <row r="384" spans="1:19" x14ac:dyDescent="0.25">
      <c r="A384" s="51">
        <v>46</v>
      </c>
      <c r="B384" t="s">
        <v>711</v>
      </c>
      <c r="C384" t="s">
        <v>710</v>
      </c>
      <c r="D384" t="s">
        <v>143</v>
      </c>
      <c r="E384" s="26">
        <v>44636</v>
      </c>
      <c r="F384" t="str">
        <f t="shared" si="5"/>
        <v>+992</v>
      </c>
      <c r="G384" t="str">
        <f>INDEX('коды стран'!$A$2:$A$7, MATCH(F384, 'коды стран'!$B$2:$B$7, 0))</f>
        <v>Таджикистан</v>
      </c>
      <c r="H384" t="s">
        <v>130</v>
      </c>
      <c r="I384" t="str">
        <f>LEFT(Таблица8[[#This Row],[ФИО]],(M384-1))</f>
        <v>тов.</v>
      </c>
      <c r="J384" t="str">
        <f>MID(Таблица8[[#This Row],[ФИО]],M384,(N384-M384))</f>
        <v xml:space="preserve"> Степанова</v>
      </c>
      <c r="K384" t="str">
        <f>RIGHT(Таблица8[[#This Row],[ФИО]],(O384-N384))</f>
        <v>Синклитикия Александровна</v>
      </c>
      <c r="M384" s="59">
        <f>FIND(" ",Таблица8[[#This Row],[ФИО]],2)</f>
        <v>5</v>
      </c>
      <c r="N384">
        <f>FIND(" ",Таблица8[[#This Row],[ФИО]],(M384+1))</f>
        <v>15</v>
      </c>
      <c r="O384">
        <f>LEN(Таблица8[[#This Row],[ФИО]])</f>
        <v>40</v>
      </c>
      <c r="Q384" t="s">
        <v>1667</v>
      </c>
      <c r="R384" t="s">
        <v>1363</v>
      </c>
      <c r="S384" t="s">
        <v>1392</v>
      </c>
    </row>
    <row r="385" spans="1:19" x14ac:dyDescent="0.25">
      <c r="A385" s="51">
        <v>298</v>
      </c>
      <c r="B385" t="s">
        <v>805</v>
      </c>
      <c r="C385" t="s">
        <v>804</v>
      </c>
      <c r="D385" t="s">
        <v>143</v>
      </c>
      <c r="E385" s="26">
        <v>44821</v>
      </c>
      <c r="F385" t="str">
        <f t="shared" si="5"/>
        <v>+380</v>
      </c>
      <c r="G385" t="str">
        <f>INDEX('коды стран'!$A$2:$A$7, MATCH(F385, 'коды стран'!$B$2:$B$7, 0))</f>
        <v>Украина</v>
      </c>
      <c r="H385" t="s">
        <v>128</v>
      </c>
      <c r="I385" t="str">
        <f>LEFT(Таблица8[[#This Row],[ФИО]],(M385-1))</f>
        <v>Трофимова</v>
      </c>
      <c r="J385" t="str">
        <f>MID(Таблица8[[#This Row],[ФИО]],M385,(N385-M385))</f>
        <v xml:space="preserve"> Василиса</v>
      </c>
      <c r="K385" t="str">
        <f>RIGHT(Таблица8[[#This Row],[ФИО]],(O385-N385))</f>
        <v>Матвеевна</v>
      </c>
      <c r="M385" s="60">
        <f>FIND(" ",Таблица8[[#This Row],[ФИО]],2)</f>
        <v>10</v>
      </c>
      <c r="N385">
        <f>FIND(" ",Таблица8[[#This Row],[ФИО]],(M385+1))</f>
        <v>19</v>
      </c>
      <c r="O385">
        <f>LEN(Таблица8[[#This Row],[ФИО]])</f>
        <v>28</v>
      </c>
      <c r="Q385" s="60" t="str">
        <f>MID(Таблица8[[#This Row],[ФИО]],M385,(N385-M385))</f>
        <v xml:space="preserve"> Василиса</v>
      </c>
      <c r="R385" t="s">
        <v>1364</v>
      </c>
      <c r="S385" t="s">
        <v>1643</v>
      </c>
    </row>
    <row r="386" spans="1:19" x14ac:dyDescent="0.25">
      <c r="A386" s="51">
        <v>192</v>
      </c>
      <c r="B386" t="s">
        <v>601</v>
      </c>
      <c r="C386" t="s">
        <v>600</v>
      </c>
      <c r="D386" t="s">
        <v>143</v>
      </c>
      <c r="E386" s="26">
        <v>44572</v>
      </c>
      <c r="F386" t="str">
        <f t="shared" ref="F386:F435" si="6">LEFT(B386,LEN(B386)-13)</f>
        <v>+7</v>
      </c>
      <c r="G386" t="str">
        <f>INDEX('коды стран'!$A$2:$A$7, MATCH(F386, 'коды стран'!$B$2:$B$7, 0))</f>
        <v>Россия</v>
      </c>
      <c r="H386" t="s">
        <v>137</v>
      </c>
      <c r="I386" t="str">
        <f>LEFT(Таблица8[[#This Row],[ФИО]],(M386-1))</f>
        <v>Устинов</v>
      </c>
      <c r="J386" t="str">
        <f>MID(Таблица8[[#This Row],[ФИО]],M386,(N386-M386))</f>
        <v xml:space="preserve"> Евграф</v>
      </c>
      <c r="K386" t="str">
        <f>RIGHT(Таблица8[[#This Row],[ФИО]],(O386-N386))</f>
        <v>Исидорович</v>
      </c>
      <c r="M386" s="59">
        <f>FIND(" ",Таблица8[[#This Row],[ФИО]],2)</f>
        <v>8</v>
      </c>
      <c r="N386">
        <f>FIND(" ",Таблица8[[#This Row],[ФИО]],(M386+1))</f>
        <v>15</v>
      </c>
      <c r="O386">
        <f>LEN(Таблица8[[#This Row],[ФИО]])</f>
        <v>25</v>
      </c>
      <c r="Q386" s="59" t="str">
        <f>MID(Таблица8[[#This Row],[ФИО]],M386,(N386-M386))</f>
        <v xml:space="preserve"> Евграф</v>
      </c>
      <c r="R386" t="s">
        <v>1365</v>
      </c>
      <c r="S386" t="s">
        <v>1433</v>
      </c>
    </row>
    <row r="387" spans="1:19" x14ac:dyDescent="0.25">
      <c r="A387" s="51">
        <v>9</v>
      </c>
      <c r="B387" t="s">
        <v>611</v>
      </c>
      <c r="C387" t="s">
        <v>610</v>
      </c>
      <c r="D387" t="s">
        <v>143</v>
      </c>
      <c r="E387" s="26">
        <v>44900</v>
      </c>
      <c r="F387" t="str">
        <f t="shared" si="6"/>
        <v>+992</v>
      </c>
      <c r="G387" t="str">
        <f>INDEX('коды стран'!$A$2:$A$7, MATCH(F387, 'коды стран'!$B$2:$B$7, 0))</f>
        <v>Таджикистан</v>
      </c>
      <c r="H387" t="s">
        <v>130</v>
      </c>
      <c r="I387" t="str">
        <f>LEFT(Таблица8[[#This Row],[ФИО]],(M387-1))</f>
        <v>Устинов</v>
      </c>
      <c r="J387" t="str">
        <f>MID(Таблица8[[#This Row],[ФИО]],M387,(N387-M387))</f>
        <v xml:space="preserve"> Милан</v>
      </c>
      <c r="K387" t="str">
        <f>RIGHT(Таблица8[[#This Row],[ФИО]],(O387-N387))</f>
        <v>Архипович</v>
      </c>
      <c r="M387" s="60">
        <f>FIND(" ",Таблица8[[#This Row],[ФИО]],2)</f>
        <v>8</v>
      </c>
      <c r="N387">
        <f>FIND(" ",Таблица8[[#This Row],[ФИО]],(M387+1))</f>
        <v>14</v>
      </c>
      <c r="O387">
        <f>LEN(Таблица8[[#This Row],[ФИО]])</f>
        <v>23</v>
      </c>
      <c r="Q387" s="60" t="str">
        <f>MID(Таблица8[[#This Row],[ФИО]],M387,(N387-M387))</f>
        <v xml:space="preserve"> Милан</v>
      </c>
      <c r="R387" t="s">
        <v>1365</v>
      </c>
      <c r="S387" t="s">
        <v>1640</v>
      </c>
    </row>
    <row r="388" spans="1:19" x14ac:dyDescent="0.25">
      <c r="A388" s="51">
        <v>315</v>
      </c>
      <c r="B388" t="s">
        <v>1009</v>
      </c>
      <c r="C388" t="s">
        <v>1008</v>
      </c>
      <c r="D388" t="s">
        <v>143</v>
      </c>
      <c r="E388" s="26">
        <v>44747</v>
      </c>
      <c r="F388" t="str">
        <f t="shared" si="6"/>
        <v>+998</v>
      </c>
      <c r="G388" t="str">
        <f>INDEX('коды стран'!$A$2:$A$7, MATCH(F388, 'коды стран'!$B$2:$B$7, 0))</f>
        <v>Узбекистан</v>
      </c>
      <c r="H388" t="s">
        <v>132</v>
      </c>
      <c r="I388" t="str">
        <f>LEFT(Таблица8[[#This Row],[ФИО]],(M388-1))</f>
        <v>Фадей</v>
      </c>
      <c r="J388" t="str">
        <f>MID(Таблица8[[#This Row],[ФИО]],M388,(N388-M388))</f>
        <v xml:space="preserve"> Ефимович</v>
      </c>
      <c r="K388" t="str">
        <f>RIGHT(Таблица8[[#This Row],[ФИО]],(O388-N388))</f>
        <v>Калинин</v>
      </c>
      <c r="M388" s="59">
        <f>FIND(" ",Таблица8[[#This Row],[ФИО]],2)</f>
        <v>6</v>
      </c>
      <c r="N388">
        <f>FIND(" ",Таблица8[[#This Row],[ФИО]],(M388+1))</f>
        <v>15</v>
      </c>
      <c r="O388">
        <f>LEN(Таблица8[[#This Row],[ФИО]])</f>
        <v>22</v>
      </c>
      <c r="Q388" s="59" t="str">
        <f>LEFT(Таблица8[[#This Row],[ФИО]],(M388-1))</f>
        <v>Фадей</v>
      </c>
      <c r="R388" t="s">
        <v>1181</v>
      </c>
      <c r="S388" t="s">
        <v>1644</v>
      </c>
    </row>
    <row r="389" spans="1:19" x14ac:dyDescent="0.25">
      <c r="A389" s="51">
        <v>403</v>
      </c>
      <c r="B389" t="s">
        <v>291</v>
      </c>
      <c r="C389" t="s">
        <v>290</v>
      </c>
      <c r="D389" t="s">
        <v>140</v>
      </c>
      <c r="E389" s="26">
        <v>44594</v>
      </c>
      <c r="F389" t="str">
        <f t="shared" si="6"/>
        <v>+7</v>
      </c>
      <c r="G389" t="str">
        <f>INDEX('коды стран'!$A$2:$A$7, MATCH(F389, 'коды стран'!$B$2:$B$7, 0))</f>
        <v>Россия</v>
      </c>
      <c r="H389" t="s">
        <v>137</v>
      </c>
      <c r="I389" t="str">
        <f>LEFT(Таблица8[[#This Row],[ФИО]],(M389-1))</f>
        <v>Фаина</v>
      </c>
      <c r="J389" t="str">
        <f>MID(Таблица8[[#This Row],[ФИО]],M389,(N389-M389))</f>
        <v xml:space="preserve"> Аркадьевна</v>
      </c>
      <c r="K389" t="str">
        <f>RIGHT(Таблица8[[#This Row],[ФИО]],(O389-N389))</f>
        <v>Веселова</v>
      </c>
      <c r="M389" s="60">
        <f>FIND(" ",Таблица8[[#This Row],[ФИО]],2)</f>
        <v>6</v>
      </c>
      <c r="N389">
        <f>FIND(" ",Таблица8[[#This Row],[ФИО]],(M389+1))</f>
        <v>17</v>
      </c>
      <c r="O389">
        <f>LEN(Таблица8[[#This Row],[ФИО]])</f>
        <v>25</v>
      </c>
      <c r="Q389" s="60" t="str">
        <f>LEFT(Таблица8[[#This Row],[ФИО]],(M389-1))</f>
        <v>Фаина</v>
      </c>
      <c r="R389" t="s">
        <v>1366</v>
      </c>
      <c r="S389" t="s">
        <v>1645</v>
      </c>
    </row>
    <row r="390" spans="1:19" x14ac:dyDescent="0.25">
      <c r="A390" s="51">
        <v>148</v>
      </c>
      <c r="B390" t="s">
        <v>443</v>
      </c>
      <c r="C390" t="s">
        <v>442</v>
      </c>
      <c r="D390" t="s">
        <v>143</v>
      </c>
      <c r="E390" s="26">
        <v>44700</v>
      </c>
      <c r="F390" t="str">
        <f t="shared" si="6"/>
        <v>+7</v>
      </c>
      <c r="G390" t="str">
        <f>INDEX('коды стран'!$A$2:$A$7, MATCH(F390, 'коды стран'!$B$2:$B$7, 0))</f>
        <v>Россия</v>
      </c>
      <c r="H390" t="s">
        <v>137</v>
      </c>
      <c r="I390" t="str">
        <f>LEFT(Таблица8[[#This Row],[ФИО]],(M390-1))</f>
        <v>Феврония</v>
      </c>
      <c r="J390" t="str">
        <f>MID(Таблица8[[#This Row],[ФИО]],M390,(N390-M390))</f>
        <v xml:space="preserve"> Антоновна</v>
      </c>
      <c r="K390" t="str">
        <f>RIGHT(Таблица8[[#This Row],[ФИО]],(O390-N390))</f>
        <v>Кулагина</v>
      </c>
      <c r="M390" s="59">
        <f>FIND(" ",Таблица8[[#This Row],[ФИО]],2)</f>
        <v>9</v>
      </c>
      <c r="N390">
        <f>FIND(" ",Таблица8[[#This Row],[ФИО]],(M390+1))</f>
        <v>19</v>
      </c>
      <c r="O390">
        <f>LEN(Таблица8[[#This Row],[ФИО]])</f>
        <v>27</v>
      </c>
      <c r="Q390" s="59" t="str">
        <f>LEFT(Таблица8[[#This Row],[ФИО]],(M390-1))</f>
        <v>Феврония</v>
      </c>
      <c r="R390" t="s">
        <v>1367</v>
      </c>
      <c r="S390" t="s">
        <v>1616</v>
      </c>
    </row>
    <row r="391" spans="1:19" x14ac:dyDescent="0.25">
      <c r="A391" s="51">
        <v>245</v>
      </c>
      <c r="B391" t="s">
        <v>319</v>
      </c>
      <c r="C391" t="s">
        <v>318</v>
      </c>
      <c r="D391" t="s">
        <v>140</v>
      </c>
      <c r="E391" s="26">
        <v>44695</v>
      </c>
      <c r="F391" t="str">
        <f t="shared" si="6"/>
        <v>+998</v>
      </c>
      <c r="G391" t="str">
        <f>INDEX('коды стран'!$A$2:$A$7, MATCH(F391, 'коды стран'!$B$2:$B$7, 0))</f>
        <v>Узбекистан</v>
      </c>
      <c r="H391" t="s">
        <v>132</v>
      </c>
      <c r="I391" t="str">
        <f>LEFT(Таблица8[[#This Row],[ФИО]],(M391-1))</f>
        <v>Феврония</v>
      </c>
      <c r="J391" t="str">
        <f>MID(Таблица8[[#This Row],[ФИО]],M391,(N391-M391))</f>
        <v xml:space="preserve"> Юрьевна</v>
      </c>
      <c r="K391" t="str">
        <f>RIGHT(Таблица8[[#This Row],[ФИО]],(O391-N391))</f>
        <v>Шубина</v>
      </c>
      <c r="M391" s="60">
        <f>FIND(" ",Таблица8[[#This Row],[ФИО]],2)</f>
        <v>9</v>
      </c>
      <c r="N391">
        <f>FIND(" ",Таблица8[[#This Row],[ФИО]],(M391+1))</f>
        <v>17</v>
      </c>
      <c r="O391">
        <f>LEN(Таблица8[[#This Row],[ФИО]])</f>
        <v>23</v>
      </c>
      <c r="Q391" s="60" t="str">
        <f>LEFT(Таблица8[[#This Row],[ФИО]],(M391-1))</f>
        <v>Феврония</v>
      </c>
      <c r="R391" t="s">
        <v>1368</v>
      </c>
      <c r="S391" t="s">
        <v>1408</v>
      </c>
    </row>
    <row r="392" spans="1:19" x14ac:dyDescent="0.25">
      <c r="A392" s="51">
        <v>361</v>
      </c>
      <c r="B392" t="s">
        <v>709</v>
      </c>
      <c r="C392" t="s">
        <v>708</v>
      </c>
      <c r="D392" t="s">
        <v>143</v>
      </c>
      <c r="E392" s="26">
        <v>44831</v>
      </c>
      <c r="F392" t="str">
        <f t="shared" si="6"/>
        <v>+998</v>
      </c>
      <c r="G392" t="str">
        <f>INDEX('коды стран'!$A$2:$A$7, MATCH(F392, 'коды стран'!$B$2:$B$7, 0))</f>
        <v>Узбекистан</v>
      </c>
      <c r="H392" t="s">
        <v>132</v>
      </c>
      <c r="I392" t="str">
        <f>LEFT(Таблица8[[#This Row],[ФИО]],(M392-1))</f>
        <v>Федорова</v>
      </c>
      <c r="J392" t="str">
        <f>MID(Таблица8[[#This Row],[ФИО]],M392,(N392-M392))</f>
        <v xml:space="preserve"> Жанна</v>
      </c>
      <c r="K392" t="str">
        <f>RIGHT(Таблица8[[#This Row],[ФИО]],(O392-N392))</f>
        <v>Вадимовна</v>
      </c>
      <c r="M392" s="59">
        <f>FIND(" ",Таблица8[[#This Row],[ФИО]],2)</f>
        <v>9</v>
      </c>
      <c r="N392">
        <f>FIND(" ",Таблица8[[#This Row],[ФИО]],(M392+1))</f>
        <v>15</v>
      </c>
      <c r="O392">
        <f>LEN(Таблица8[[#This Row],[ФИО]])</f>
        <v>24</v>
      </c>
      <c r="Q392" s="59" t="str">
        <f>MID(Таблица8[[#This Row],[ФИО]],M392,(N392-M392))</f>
        <v xml:space="preserve"> Жанна</v>
      </c>
      <c r="R392" t="s">
        <v>1140</v>
      </c>
      <c r="S392" t="s">
        <v>1646</v>
      </c>
    </row>
    <row r="393" spans="1:19" x14ac:dyDescent="0.25">
      <c r="A393" s="51">
        <v>76</v>
      </c>
      <c r="B393" t="s">
        <v>517</v>
      </c>
      <c r="C393" t="s">
        <v>516</v>
      </c>
      <c r="D393" t="s">
        <v>143</v>
      </c>
      <c r="E393" s="26">
        <v>44575</v>
      </c>
      <c r="F393" t="str">
        <f t="shared" si="6"/>
        <v>+375</v>
      </c>
      <c r="G393" t="str">
        <f>INDEX('коды стран'!$A$2:$A$7, MATCH(F393, 'коды стран'!$B$2:$B$7, 0))</f>
        <v>Беларусь</v>
      </c>
      <c r="H393" t="s">
        <v>134</v>
      </c>
      <c r="I393" t="str">
        <f>LEFT(Таблица8[[#This Row],[ФИО]],(M393-1))</f>
        <v>Федосеева</v>
      </c>
      <c r="J393" t="str">
        <f>MID(Таблица8[[#This Row],[ФИО]],M393,(N393-M393))</f>
        <v xml:space="preserve"> Василиса</v>
      </c>
      <c r="K393" t="str">
        <f>RIGHT(Таблица8[[#This Row],[ФИО]],(O393-N393))</f>
        <v>Аскольдовна</v>
      </c>
      <c r="M393" s="60">
        <f>FIND(" ",Таблица8[[#This Row],[ФИО]],2)</f>
        <v>10</v>
      </c>
      <c r="N393">
        <f>FIND(" ",Таблица8[[#This Row],[ФИО]],(M393+1))</f>
        <v>19</v>
      </c>
      <c r="O393">
        <f>LEN(Таблица8[[#This Row],[ФИО]])</f>
        <v>30</v>
      </c>
      <c r="Q393" s="60" t="str">
        <f>MID(Таблица8[[#This Row],[ФИО]],M393,(N393-M393))</f>
        <v xml:space="preserve"> Василиса</v>
      </c>
      <c r="R393" t="s">
        <v>1139</v>
      </c>
      <c r="S393" t="s">
        <v>1477</v>
      </c>
    </row>
    <row r="394" spans="1:19" x14ac:dyDescent="0.25">
      <c r="A394" s="51">
        <v>334</v>
      </c>
      <c r="B394" t="s">
        <v>929</v>
      </c>
      <c r="C394" t="s">
        <v>928</v>
      </c>
      <c r="D394" t="s">
        <v>140</v>
      </c>
      <c r="E394" s="26">
        <v>44881</v>
      </c>
      <c r="F394" t="str">
        <f t="shared" si="6"/>
        <v>+380</v>
      </c>
      <c r="G394" t="str">
        <f>INDEX('коды стран'!$A$2:$A$7, MATCH(F394, 'коды стран'!$B$2:$B$7, 0))</f>
        <v>Украина</v>
      </c>
      <c r="H394" t="s">
        <v>128</v>
      </c>
      <c r="I394" t="str">
        <f>LEFT(Таблица8[[#This Row],[ФИО]],(M394-1))</f>
        <v>Федотов</v>
      </c>
      <c r="J394" t="str">
        <f>MID(Таблица8[[#This Row],[ФИО]],M394,(N394-M394))</f>
        <v xml:space="preserve"> Радислав</v>
      </c>
      <c r="K394" t="str">
        <f>RIGHT(Таблица8[[#This Row],[ФИО]],(O394-N394))</f>
        <v>Антонович</v>
      </c>
      <c r="M394" s="59">
        <f>FIND(" ",Таблица8[[#This Row],[ФИО]],2)</f>
        <v>8</v>
      </c>
      <c r="N394">
        <f>FIND(" ",Таблица8[[#This Row],[ФИО]],(M394+1))</f>
        <v>17</v>
      </c>
      <c r="O394">
        <f>LEN(Таблица8[[#This Row],[ФИО]])</f>
        <v>26</v>
      </c>
      <c r="Q394" s="59" t="str">
        <f>MID(Таблица8[[#This Row],[ФИО]],M394,(N394-M394))</f>
        <v xml:space="preserve"> Радислав</v>
      </c>
      <c r="R394" t="s">
        <v>1369</v>
      </c>
      <c r="S394" t="s">
        <v>1647</v>
      </c>
    </row>
    <row r="395" spans="1:19" x14ac:dyDescent="0.25">
      <c r="A395" s="51">
        <v>313</v>
      </c>
      <c r="B395" t="s">
        <v>831</v>
      </c>
      <c r="C395" t="s">
        <v>830</v>
      </c>
      <c r="D395" t="s">
        <v>143</v>
      </c>
      <c r="E395" s="26">
        <v>44896</v>
      </c>
      <c r="F395" t="str">
        <f t="shared" si="6"/>
        <v>+998</v>
      </c>
      <c r="G395" t="str">
        <f>INDEX('коды стран'!$A$2:$A$7, MATCH(F395, 'коды стран'!$B$2:$B$7, 0))</f>
        <v>Узбекистан</v>
      </c>
      <c r="H395" t="s">
        <v>132</v>
      </c>
      <c r="I395" t="str">
        <f>LEFT(Таблица8[[#This Row],[ФИО]],(M395-1))</f>
        <v>Федотова</v>
      </c>
      <c r="J395" t="str">
        <f>MID(Таблица8[[#This Row],[ФИО]],M395,(N395-M395))</f>
        <v xml:space="preserve"> Ангелина</v>
      </c>
      <c r="K395" t="str">
        <f>RIGHT(Таблица8[[#This Row],[ФИО]],(O395-N395))</f>
        <v>Максимовна</v>
      </c>
      <c r="M395" s="60">
        <f>FIND(" ",Таблица8[[#This Row],[ФИО]],2)</f>
        <v>9</v>
      </c>
      <c r="N395">
        <f>FIND(" ",Таблица8[[#This Row],[ФИО]],(M395+1))</f>
        <v>18</v>
      </c>
      <c r="O395">
        <f>LEN(Таблица8[[#This Row],[ФИО]])</f>
        <v>28</v>
      </c>
      <c r="Q395" s="60" t="str">
        <f>MID(Таблица8[[#This Row],[ФИО]],M395,(N395-M395))</f>
        <v xml:space="preserve"> Ангелина</v>
      </c>
      <c r="R395" t="s">
        <v>1370</v>
      </c>
      <c r="S395" t="s">
        <v>1483</v>
      </c>
    </row>
    <row r="396" spans="1:19" x14ac:dyDescent="0.25">
      <c r="A396" s="51">
        <v>369</v>
      </c>
      <c r="B396" t="s">
        <v>529</v>
      </c>
      <c r="C396" t="s">
        <v>528</v>
      </c>
      <c r="D396" t="s">
        <v>143</v>
      </c>
      <c r="E396" s="26">
        <v>44678</v>
      </c>
      <c r="F396" t="str">
        <f t="shared" si="6"/>
        <v>+7</v>
      </c>
      <c r="G396" t="str">
        <f>INDEX('коды стран'!$A$2:$A$7, MATCH(F396, 'коды стран'!$B$2:$B$7, 0))</f>
        <v>Россия</v>
      </c>
      <c r="H396" t="s">
        <v>137</v>
      </c>
      <c r="I396" t="str">
        <f>LEFT(Таблица8[[#This Row],[ФИО]],(M396-1))</f>
        <v>Фёкла</v>
      </c>
      <c r="J396" t="str">
        <f>MID(Таблица8[[#This Row],[ФИО]],M396,(N396-M396))</f>
        <v xml:space="preserve"> Натановна</v>
      </c>
      <c r="K396" t="str">
        <f>RIGHT(Таблица8[[#This Row],[ФИО]],(O396-N396))</f>
        <v>Дементьева</v>
      </c>
      <c r="M396" s="59">
        <f>FIND(" ",Таблица8[[#This Row],[ФИО]],2)</f>
        <v>6</v>
      </c>
      <c r="N396">
        <f>FIND(" ",Таблица8[[#This Row],[ФИО]],(M396+1))</f>
        <v>16</v>
      </c>
      <c r="O396">
        <f>LEN(Таблица8[[#This Row],[ФИО]])</f>
        <v>26</v>
      </c>
      <c r="Q396" s="59" t="str">
        <f>LEFT(Таблица8[[#This Row],[ФИО]],(M396-1))</f>
        <v>Фёкла</v>
      </c>
      <c r="R396" t="s">
        <v>1331</v>
      </c>
      <c r="S396" t="s">
        <v>1607</v>
      </c>
    </row>
    <row r="397" spans="1:19" x14ac:dyDescent="0.25">
      <c r="A397" s="51">
        <v>342</v>
      </c>
      <c r="B397" t="s">
        <v>779</v>
      </c>
      <c r="C397" t="s">
        <v>778</v>
      </c>
      <c r="D397" t="s">
        <v>143</v>
      </c>
      <c r="E397" s="26">
        <v>44570</v>
      </c>
      <c r="F397" t="str">
        <f t="shared" si="6"/>
        <v>+992</v>
      </c>
      <c r="G397" t="str">
        <f>INDEX('коды стран'!$A$2:$A$7, MATCH(F397, 'коды стран'!$B$2:$B$7, 0))</f>
        <v>Таджикистан</v>
      </c>
      <c r="H397" t="s">
        <v>130</v>
      </c>
      <c r="I397" t="str">
        <f>LEFT(Таблица8[[#This Row],[ФИО]],(M397-1))</f>
        <v>Фёкла</v>
      </c>
      <c r="J397" t="str">
        <f>MID(Таблица8[[#This Row],[ФИО]],M397,(N397-M397))</f>
        <v xml:space="preserve"> Феликсовна</v>
      </c>
      <c r="K397" t="str">
        <f>RIGHT(Таблица8[[#This Row],[ФИО]],(O397-N397))</f>
        <v>Харитонова</v>
      </c>
      <c r="M397" s="60">
        <f>FIND(" ",Таблица8[[#This Row],[ФИО]],2)</f>
        <v>6</v>
      </c>
      <c r="N397">
        <f>FIND(" ",Таблица8[[#This Row],[ФИО]],(M397+1))</f>
        <v>17</v>
      </c>
      <c r="O397">
        <f>LEN(Таблица8[[#This Row],[ФИО]])</f>
        <v>27</v>
      </c>
      <c r="Q397" s="60" t="str">
        <f>LEFT(Таблица8[[#This Row],[ФИО]],(M397-1))</f>
        <v>Фёкла</v>
      </c>
      <c r="R397" t="s">
        <v>1371</v>
      </c>
      <c r="S397" t="s">
        <v>1526</v>
      </c>
    </row>
    <row r="398" spans="1:19" x14ac:dyDescent="0.25">
      <c r="A398" s="51">
        <v>492</v>
      </c>
      <c r="B398" t="s">
        <v>177</v>
      </c>
      <c r="C398" t="s">
        <v>176</v>
      </c>
      <c r="D398" t="s">
        <v>143</v>
      </c>
      <c r="E398" s="26">
        <v>44688</v>
      </c>
      <c r="F398" t="str">
        <f t="shared" si="6"/>
        <v>+380</v>
      </c>
      <c r="G398" t="str">
        <f>INDEX('коды стран'!$A$2:$A$7, MATCH(F398, 'коды стран'!$B$2:$B$7, 0))</f>
        <v>Украина</v>
      </c>
      <c r="H398" t="s">
        <v>128</v>
      </c>
      <c r="I398" t="str">
        <f>LEFT(Таблица8[[#This Row],[ФИО]],(M398-1))</f>
        <v>Феликс</v>
      </c>
      <c r="J398" t="str">
        <f>MID(Таблица8[[#This Row],[ФИО]],M398,(N398-M398))</f>
        <v xml:space="preserve"> Ааронович</v>
      </c>
      <c r="K398" t="str">
        <f>RIGHT(Таблица8[[#This Row],[ФИО]],(O398-N398))</f>
        <v>Яковлев</v>
      </c>
      <c r="M398" s="59">
        <f>FIND(" ",Таблица8[[#This Row],[ФИО]],2)</f>
        <v>7</v>
      </c>
      <c r="N398">
        <f>FIND(" ",Таблица8[[#This Row],[ФИО]],(M398+1))</f>
        <v>17</v>
      </c>
      <c r="O398">
        <f>LEN(Таблица8[[#This Row],[ФИО]])</f>
        <v>24</v>
      </c>
      <c r="Q398" s="59" t="str">
        <f>LEFT(Таблица8[[#This Row],[ФИО]],(M398-1))</f>
        <v>Феликс</v>
      </c>
      <c r="R398" t="s">
        <v>1372</v>
      </c>
      <c r="S398" t="s">
        <v>1648</v>
      </c>
    </row>
    <row r="399" spans="1:19" x14ac:dyDescent="0.25">
      <c r="A399" s="51">
        <v>310</v>
      </c>
      <c r="B399" t="s">
        <v>943</v>
      </c>
      <c r="C399" t="s">
        <v>942</v>
      </c>
      <c r="D399" t="s">
        <v>140</v>
      </c>
      <c r="E399" s="26">
        <v>44807</v>
      </c>
      <c r="F399" t="str">
        <f t="shared" si="6"/>
        <v>+992</v>
      </c>
      <c r="G399" t="str">
        <f>INDEX('коды стран'!$A$2:$A$7, MATCH(F399, 'коды стран'!$B$2:$B$7, 0))</f>
        <v>Таджикистан</v>
      </c>
      <c r="H399" t="s">
        <v>130</v>
      </c>
      <c r="I399" t="str">
        <f>LEFT(Таблица8[[#This Row],[ФИО]],(M399-1))</f>
        <v>Феофан</v>
      </c>
      <c r="J399" t="str">
        <f>MID(Таблица8[[#This Row],[ФИО]],M399,(N399-M399))</f>
        <v xml:space="preserve"> Гурьевич</v>
      </c>
      <c r="K399" t="str">
        <f>RIGHT(Таблица8[[#This Row],[ФИО]],(O399-N399))</f>
        <v>Дорофеев</v>
      </c>
      <c r="M399" s="60">
        <f>FIND(" ",Таблица8[[#This Row],[ФИО]],2)</f>
        <v>7</v>
      </c>
      <c r="N399">
        <f>FIND(" ",Таблица8[[#This Row],[ФИО]],(M399+1))</f>
        <v>16</v>
      </c>
      <c r="O399">
        <f>LEN(Таблица8[[#This Row],[ФИО]])</f>
        <v>24</v>
      </c>
      <c r="Q399" s="60" t="str">
        <f>LEFT(Таблица8[[#This Row],[ФИО]],(M399-1))</f>
        <v>Феофан</v>
      </c>
      <c r="R399" t="s">
        <v>1203</v>
      </c>
      <c r="S399" t="s">
        <v>1562</v>
      </c>
    </row>
    <row r="400" spans="1:19" x14ac:dyDescent="0.25">
      <c r="A400" s="51">
        <v>255</v>
      </c>
      <c r="B400" t="s">
        <v>689</v>
      </c>
      <c r="C400" t="s">
        <v>688</v>
      </c>
      <c r="D400" t="s">
        <v>143</v>
      </c>
      <c r="E400" s="26">
        <v>44793</v>
      </c>
      <c r="F400" t="str">
        <f t="shared" si="6"/>
        <v>+380</v>
      </c>
      <c r="G400" t="str">
        <f>INDEX('коды стран'!$A$2:$A$7, MATCH(F400, 'коды стран'!$B$2:$B$7, 0))</f>
        <v>Украина</v>
      </c>
      <c r="H400" t="s">
        <v>128</v>
      </c>
      <c r="I400" t="str">
        <f>LEFT(Таблица8[[#This Row],[ФИО]],(M400-1))</f>
        <v>Филимон</v>
      </c>
      <c r="J400" t="str">
        <f>MID(Таблица8[[#This Row],[ФИО]],M400,(N400-M400))</f>
        <v xml:space="preserve"> Ефимьевич</v>
      </c>
      <c r="K400" t="str">
        <f>RIGHT(Таблица8[[#This Row],[ФИО]],(O400-N400))</f>
        <v>Беляков</v>
      </c>
      <c r="M400" s="59">
        <f>FIND(" ",Таблица8[[#This Row],[ФИО]],2)</f>
        <v>8</v>
      </c>
      <c r="N400">
        <f>FIND(" ",Таблица8[[#This Row],[ФИО]],(M400+1))</f>
        <v>18</v>
      </c>
      <c r="O400">
        <f>LEN(Таблица8[[#This Row],[ФИО]])</f>
        <v>25</v>
      </c>
      <c r="Q400" s="59" t="str">
        <f>LEFT(Таблица8[[#This Row],[ФИО]],(M400-1))</f>
        <v>Филимон</v>
      </c>
      <c r="R400" t="s">
        <v>1373</v>
      </c>
      <c r="S400" t="s">
        <v>1546</v>
      </c>
    </row>
    <row r="401" spans="1:19" x14ac:dyDescent="0.25">
      <c r="A401" s="51">
        <v>164</v>
      </c>
      <c r="B401" t="s">
        <v>979</v>
      </c>
      <c r="C401" t="s">
        <v>978</v>
      </c>
      <c r="D401" t="s">
        <v>140</v>
      </c>
      <c r="E401" s="26">
        <v>44678</v>
      </c>
      <c r="F401" t="str">
        <f t="shared" si="6"/>
        <v>+7</v>
      </c>
      <c r="G401" t="str">
        <f>INDEX('коды стран'!$A$2:$A$7, MATCH(F401, 'коды стран'!$B$2:$B$7, 0))</f>
        <v>Россия</v>
      </c>
      <c r="H401" t="s">
        <v>137</v>
      </c>
      <c r="I401" t="str">
        <f>LEFT(Таблица8[[#This Row],[ФИО]],(M401-1))</f>
        <v>Филимон</v>
      </c>
      <c r="J401" t="str">
        <f>MID(Таблица8[[#This Row],[ФИО]],M401,(N401-M401))</f>
        <v xml:space="preserve"> Федотович</v>
      </c>
      <c r="K401" t="str">
        <f>RIGHT(Таблица8[[#This Row],[ФИО]],(O401-N401))</f>
        <v>Иванов</v>
      </c>
      <c r="M401" s="60">
        <f>FIND(" ",Таблица8[[#This Row],[ФИО]],2)</f>
        <v>8</v>
      </c>
      <c r="N401">
        <f>FIND(" ",Таблица8[[#This Row],[ФИО]],(M401+1))</f>
        <v>18</v>
      </c>
      <c r="O401">
        <f>LEN(Таблица8[[#This Row],[ФИО]])</f>
        <v>24</v>
      </c>
      <c r="Q401" s="60" t="str">
        <f>LEFT(Таблица8[[#This Row],[ФИО]],(M401-1))</f>
        <v>Филимон</v>
      </c>
      <c r="R401" t="s">
        <v>1231</v>
      </c>
      <c r="S401" t="s">
        <v>1614</v>
      </c>
    </row>
    <row r="402" spans="1:19" x14ac:dyDescent="0.25">
      <c r="A402" s="51">
        <v>247</v>
      </c>
      <c r="B402" t="s">
        <v>749</v>
      </c>
      <c r="C402" t="s">
        <v>748</v>
      </c>
      <c r="D402" t="s">
        <v>143</v>
      </c>
      <c r="E402" s="26">
        <v>44762</v>
      </c>
      <c r="F402" t="str">
        <f t="shared" si="6"/>
        <v>+998</v>
      </c>
      <c r="G402" t="str">
        <f>INDEX('коды стран'!$A$2:$A$7, MATCH(F402, 'коды стран'!$B$2:$B$7, 0))</f>
        <v>Узбекистан</v>
      </c>
      <c r="H402" t="s">
        <v>132</v>
      </c>
      <c r="I402" t="str">
        <f>LEFT(Таблица8[[#This Row],[ФИО]],(M402-1))</f>
        <v>Филиппов</v>
      </c>
      <c r="J402" t="str">
        <f>MID(Таблица8[[#This Row],[ФИО]],M402,(N402-M402))</f>
        <v xml:space="preserve"> Павел</v>
      </c>
      <c r="K402" t="str">
        <f>RIGHT(Таблица8[[#This Row],[ФИО]],(O402-N402))</f>
        <v>Игнатович</v>
      </c>
      <c r="M402" s="59">
        <f>FIND(" ",Таблица8[[#This Row],[ФИО]],2)</f>
        <v>9</v>
      </c>
      <c r="N402">
        <f>FIND(" ",Таблица8[[#This Row],[ФИО]],(M402+1))</f>
        <v>15</v>
      </c>
      <c r="O402">
        <f>LEN(Таблица8[[#This Row],[ФИО]])</f>
        <v>24</v>
      </c>
      <c r="Q402" s="59" t="str">
        <f>MID(Таблица8[[#This Row],[ФИО]],M402,(N402-M402))</f>
        <v xml:space="preserve"> Павел</v>
      </c>
      <c r="R402" t="s">
        <v>1095</v>
      </c>
      <c r="S402" t="s">
        <v>1390</v>
      </c>
    </row>
    <row r="403" spans="1:19" x14ac:dyDescent="0.25">
      <c r="A403" s="51">
        <v>145</v>
      </c>
      <c r="B403" t="s">
        <v>923</v>
      </c>
      <c r="C403" t="s">
        <v>922</v>
      </c>
      <c r="D403" t="s">
        <v>140</v>
      </c>
      <c r="E403" s="26">
        <v>44653</v>
      </c>
      <c r="F403" t="str">
        <f t="shared" si="6"/>
        <v>+380</v>
      </c>
      <c r="G403" t="str">
        <f>INDEX('коды стран'!$A$2:$A$7, MATCH(F403, 'коды стран'!$B$2:$B$7, 0))</f>
        <v>Украина</v>
      </c>
      <c r="H403" t="s">
        <v>128</v>
      </c>
      <c r="I403" t="str">
        <f>LEFT(Таблица8[[#This Row],[ФИО]],(M403-1))</f>
        <v>Филиппова</v>
      </c>
      <c r="J403" t="str">
        <f>MID(Таблица8[[#This Row],[ФИО]],M403,(N403-M403))</f>
        <v xml:space="preserve"> Юлия</v>
      </c>
      <c r="K403" t="str">
        <f>RIGHT(Таблица8[[#This Row],[ФИО]],(O403-N403))</f>
        <v>Леоновна</v>
      </c>
      <c r="M403" s="60">
        <f>FIND(" ",Таблица8[[#This Row],[ФИО]],2)</f>
        <v>10</v>
      </c>
      <c r="N403">
        <f>FIND(" ",Таблица8[[#This Row],[ФИО]],(M403+1))</f>
        <v>15</v>
      </c>
      <c r="O403">
        <f>LEN(Таблица8[[#This Row],[ФИО]])</f>
        <v>23</v>
      </c>
      <c r="Q403" s="60" t="str">
        <f>MID(Таблица8[[#This Row],[ФИО]],M403,(N403-M403))</f>
        <v xml:space="preserve"> Юлия</v>
      </c>
      <c r="R403" t="s">
        <v>1374</v>
      </c>
      <c r="S403" t="s">
        <v>1649</v>
      </c>
    </row>
    <row r="404" spans="1:19" x14ac:dyDescent="0.25">
      <c r="A404" s="51">
        <v>186</v>
      </c>
      <c r="B404" t="s">
        <v>669</v>
      </c>
      <c r="C404" t="s">
        <v>668</v>
      </c>
      <c r="D404" t="s">
        <v>140</v>
      </c>
      <c r="E404" s="26">
        <v>44914</v>
      </c>
      <c r="F404" t="str">
        <f t="shared" si="6"/>
        <v>+375</v>
      </c>
      <c r="G404" t="str">
        <f>INDEX('коды стран'!$A$2:$A$7, MATCH(F404, 'коды стран'!$B$2:$B$7, 0))</f>
        <v>Беларусь</v>
      </c>
      <c r="H404" t="s">
        <v>134</v>
      </c>
      <c r="I404" t="str">
        <f>LEFT(Таблица8[[#This Row],[ФИО]],(M404-1))</f>
        <v>Флорентин</v>
      </c>
      <c r="J404" t="str">
        <f>MID(Таблица8[[#This Row],[ФИО]],M404,(N404-M404))</f>
        <v xml:space="preserve"> Демьянович</v>
      </c>
      <c r="K404" t="str">
        <f>RIGHT(Таблица8[[#This Row],[ФИО]],(O404-N404))</f>
        <v>Родионов</v>
      </c>
      <c r="M404" s="59">
        <f>FIND(" ",Таблица8[[#This Row],[ФИО]],2)</f>
        <v>10</v>
      </c>
      <c r="N404">
        <f>FIND(" ",Таблица8[[#This Row],[ФИО]],(M404+1))</f>
        <v>21</v>
      </c>
      <c r="O404">
        <f>LEN(Таблица8[[#This Row],[ФИО]])</f>
        <v>29</v>
      </c>
      <c r="Q404" s="59" t="str">
        <f>LEFT(Таблица8[[#This Row],[ФИО]],(M404-1))</f>
        <v>Флорентин</v>
      </c>
      <c r="R404" t="s">
        <v>1241</v>
      </c>
      <c r="S404" t="s">
        <v>1650</v>
      </c>
    </row>
    <row r="405" spans="1:19" x14ac:dyDescent="0.25">
      <c r="A405" s="51">
        <v>77</v>
      </c>
      <c r="B405" t="s">
        <v>603</v>
      </c>
      <c r="C405" t="s">
        <v>602</v>
      </c>
      <c r="D405" t="s">
        <v>140</v>
      </c>
      <c r="E405" s="26">
        <v>44644</v>
      </c>
      <c r="F405" t="str">
        <f t="shared" si="6"/>
        <v>+7</v>
      </c>
      <c r="G405" t="str">
        <f>INDEX('коды стран'!$A$2:$A$7, MATCH(F405, 'коды стран'!$B$2:$B$7, 0))</f>
        <v>Россия</v>
      </c>
      <c r="H405" t="s">
        <v>137</v>
      </c>
      <c r="I405" t="str">
        <f>LEFT(Таблица8[[#This Row],[ФИО]],(M405-1))</f>
        <v>Фокин</v>
      </c>
      <c r="J405" t="str">
        <f>MID(Таблица8[[#This Row],[ФИО]],M405,(N405-M405))</f>
        <v xml:space="preserve"> Глеб</v>
      </c>
      <c r="K405" t="str">
        <f>RIGHT(Таблица8[[#This Row],[ФИО]],(O405-N405))</f>
        <v>Елизарович</v>
      </c>
      <c r="M405" s="60">
        <f>FIND(" ",Таблица8[[#This Row],[ФИО]],2)</f>
        <v>6</v>
      </c>
      <c r="N405">
        <f>FIND(" ",Таблица8[[#This Row],[ФИО]],(M405+1))</f>
        <v>11</v>
      </c>
      <c r="O405">
        <f>LEN(Таблица8[[#This Row],[ФИО]])</f>
        <v>21</v>
      </c>
      <c r="Q405" s="60" t="str">
        <f>MID(Таблица8[[#This Row],[ФИО]],M405,(N405-M405))</f>
        <v xml:space="preserve"> Глеб</v>
      </c>
      <c r="R405" t="s">
        <v>1344</v>
      </c>
      <c r="S405" t="s">
        <v>1651</v>
      </c>
    </row>
    <row r="406" spans="1:19" x14ac:dyDescent="0.25">
      <c r="A406" s="51">
        <v>72</v>
      </c>
      <c r="B406" t="s">
        <v>497</v>
      </c>
      <c r="C406" t="s">
        <v>496</v>
      </c>
      <c r="D406" t="s">
        <v>143</v>
      </c>
      <c r="E406" s="26">
        <v>44906</v>
      </c>
      <c r="F406" t="str">
        <f t="shared" si="6"/>
        <v>+992</v>
      </c>
      <c r="G406" t="str">
        <f>INDEX('коды стран'!$A$2:$A$7, MATCH(F406, 'коды стран'!$B$2:$B$7, 0))</f>
        <v>Таджикистан</v>
      </c>
      <c r="H406" t="s">
        <v>130</v>
      </c>
      <c r="I406" t="str">
        <f>LEFT(Таблица8[[#This Row],[ФИО]],(M406-1))</f>
        <v>Фомина</v>
      </c>
      <c r="J406" t="str">
        <f>MID(Таблица8[[#This Row],[ФИО]],M406,(N406-M406))</f>
        <v xml:space="preserve"> Антонина</v>
      </c>
      <c r="K406" t="str">
        <f>RIGHT(Таблица8[[#This Row],[ФИО]],(O406-N406))</f>
        <v>Павловна</v>
      </c>
      <c r="M406" s="59">
        <f>FIND(" ",Таблица8[[#This Row],[ФИО]],2)</f>
        <v>7</v>
      </c>
      <c r="N406">
        <f>FIND(" ",Таблица8[[#This Row],[ФИО]],(M406+1))</f>
        <v>16</v>
      </c>
      <c r="O406">
        <f>LEN(Таблица8[[#This Row],[ФИО]])</f>
        <v>24</v>
      </c>
      <c r="Q406" s="59" t="str">
        <f>MID(Таблица8[[#This Row],[ФИО]],M406,(N406-M406))</f>
        <v xml:space="preserve"> Антонина</v>
      </c>
      <c r="R406" t="s">
        <v>1114</v>
      </c>
      <c r="S406" t="s">
        <v>1544</v>
      </c>
    </row>
    <row r="407" spans="1:19" x14ac:dyDescent="0.25">
      <c r="A407" s="51">
        <v>217</v>
      </c>
      <c r="B407" t="s">
        <v>415</v>
      </c>
      <c r="C407" t="s">
        <v>414</v>
      </c>
      <c r="D407" t="s">
        <v>140</v>
      </c>
      <c r="E407" s="26">
        <v>44826</v>
      </c>
      <c r="F407" t="str">
        <f t="shared" si="6"/>
        <v>+7</v>
      </c>
      <c r="G407" t="str">
        <f>INDEX('коды стран'!$A$2:$A$7, MATCH(F407, 'коды стран'!$B$2:$B$7, 0))</f>
        <v>Россия</v>
      </c>
      <c r="H407" t="s">
        <v>137</v>
      </c>
      <c r="I407" t="str">
        <f>LEFT(Таблица8[[#This Row],[ФИО]],(M407-1))</f>
        <v>Фомичев</v>
      </c>
      <c r="J407" t="str">
        <f>MID(Таблица8[[#This Row],[ФИО]],M407,(N407-M407))</f>
        <v xml:space="preserve"> Ипполит</v>
      </c>
      <c r="K407" t="str">
        <f>RIGHT(Таблица8[[#This Row],[ФИО]],(O407-N407))</f>
        <v>Артурович</v>
      </c>
      <c r="M407" s="60">
        <f>FIND(" ",Таблица8[[#This Row],[ФИО]],2)</f>
        <v>8</v>
      </c>
      <c r="N407">
        <f>FIND(" ",Таблица8[[#This Row],[ФИО]],(M407+1))</f>
        <v>16</v>
      </c>
      <c r="O407">
        <f>LEN(Таблица8[[#This Row],[ФИО]])</f>
        <v>25</v>
      </c>
      <c r="Q407" s="60" t="str">
        <f>MID(Таблица8[[#This Row],[ФИО]],M407,(N407-M407))</f>
        <v xml:space="preserve"> Ипполит</v>
      </c>
      <c r="R407" t="s">
        <v>1243</v>
      </c>
      <c r="S407" t="s">
        <v>1534</v>
      </c>
    </row>
    <row r="408" spans="1:19" x14ac:dyDescent="0.25">
      <c r="A408" s="51">
        <v>33</v>
      </c>
      <c r="B408" t="s">
        <v>271</v>
      </c>
      <c r="C408" t="s">
        <v>270</v>
      </c>
      <c r="D408" t="s">
        <v>140</v>
      </c>
      <c r="E408" s="26">
        <v>44730</v>
      </c>
      <c r="F408" t="str">
        <f t="shared" si="6"/>
        <v>+7</v>
      </c>
      <c r="G408" t="str">
        <f>INDEX('коды стран'!$A$2:$A$7, MATCH(F408, 'коды стран'!$B$2:$B$7, 0))</f>
        <v>Россия</v>
      </c>
      <c r="H408" t="s">
        <v>137</v>
      </c>
      <c r="I408" t="str">
        <f>LEFT(Таблица8[[#This Row],[ФИО]],(M408-1))</f>
        <v>Фомичева</v>
      </c>
      <c r="J408" t="str">
        <f>MID(Таблица8[[#This Row],[ФИО]],M408,(N408-M408))</f>
        <v xml:space="preserve"> Феврония</v>
      </c>
      <c r="K408" t="str">
        <f>RIGHT(Таблица8[[#This Row],[ФИО]],(O408-N408))</f>
        <v>Даниловна</v>
      </c>
      <c r="M408" s="59">
        <f>FIND(" ",Таблица8[[#This Row],[ФИО]],2)</f>
        <v>9</v>
      </c>
      <c r="N408">
        <f>FIND(" ",Таблица8[[#This Row],[ФИО]],(M408+1))</f>
        <v>18</v>
      </c>
      <c r="O408">
        <f>LEN(Таблица8[[#This Row],[ФИО]])</f>
        <v>27</v>
      </c>
      <c r="Q408" s="59" t="str">
        <f>MID(Таблица8[[#This Row],[ФИО]],M408,(N408-M408))</f>
        <v xml:space="preserve"> Феврония</v>
      </c>
      <c r="R408" t="s">
        <v>1375</v>
      </c>
      <c r="S408" t="s">
        <v>1652</v>
      </c>
    </row>
    <row r="409" spans="1:19" x14ac:dyDescent="0.25">
      <c r="A409" s="51">
        <v>472</v>
      </c>
      <c r="B409" t="s">
        <v>797</v>
      </c>
      <c r="C409" t="s">
        <v>796</v>
      </c>
      <c r="D409" t="s">
        <v>140</v>
      </c>
      <c r="E409" s="26">
        <v>44901</v>
      </c>
      <c r="F409" t="str">
        <f t="shared" si="6"/>
        <v>+380</v>
      </c>
      <c r="G409" t="str">
        <f>INDEX('коды стран'!$A$2:$A$7, MATCH(F409, 'коды стран'!$B$2:$B$7, 0))</f>
        <v>Украина</v>
      </c>
      <c r="H409" t="s">
        <v>128</v>
      </c>
      <c r="I409" t="str">
        <f>LEFT(Таблица8[[#This Row],[ФИО]],(M409-1))</f>
        <v>Фрол</v>
      </c>
      <c r="J409" t="str">
        <f>MID(Таблица8[[#This Row],[ФИО]],M409,(N409-M409))</f>
        <v xml:space="preserve"> Авдеевич</v>
      </c>
      <c r="K409" t="str">
        <f>RIGHT(Таблица8[[#This Row],[ФИО]],(O409-N409))</f>
        <v>Фадеев</v>
      </c>
      <c r="M409" s="60">
        <f>FIND(" ",Таблица8[[#This Row],[ФИО]],2)</f>
        <v>5</v>
      </c>
      <c r="N409">
        <f>FIND(" ",Таблица8[[#This Row],[ФИО]],(M409+1))</f>
        <v>14</v>
      </c>
      <c r="O409">
        <f>LEN(Таблица8[[#This Row],[ФИО]])</f>
        <v>20</v>
      </c>
      <c r="Q409" s="60" t="str">
        <f>LEFT(Таблица8[[#This Row],[ФИО]],(M409-1))</f>
        <v>Фрол</v>
      </c>
      <c r="R409" t="s">
        <v>1376</v>
      </c>
      <c r="S409" t="s">
        <v>1653</v>
      </c>
    </row>
    <row r="410" spans="1:19" x14ac:dyDescent="0.25">
      <c r="A410" s="51">
        <v>188</v>
      </c>
      <c r="B410" t="s">
        <v>237</v>
      </c>
      <c r="C410" t="s">
        <v>236</v>
      </c>
      <c r="D410" t="s">
        <v>140</v>
      </c>
      <c r="E410" s="26">
        <v>44801</v>
      </c>
      <c r="F410" t="str">
        <f t="shared" si="6"/>
        <v>+992</v>
      </c>
      <c r="G410" t="str">
        <f>INDEX('коды стран'!$A$2:$A$7, MATCH(F410, 'коды стран'!$B$2:$B$7, 0))</f>
        <v>Таджикистан</v>
      </c>
      <c r="H410" t="s">
        <v>130</v>
      </c>
      <c r="I410" t="str">
        <f>LEFT(Таблица8[[#This Row],[ФИО]],(M410-1))</f>
        <v>Харлампий</v>
      </c>
      <c r="J410" t="str">
        <f>MID(Таблица8[[#This Row],[ФИО]],M410,(N410-M410))</f>
        <v xml:space="preserve"> Демьянович</v>
      </c>
      <c r="K410" t="str">
        <f>RIGHT(Таблица8[[#This Row],[ФИО]],(O410-N410))</f>
        <v>Алексеев</v>
      </c>
      <c r="M410" s="59">
        <f>FIND(" ",Таблица8[[#This Row],[ФИО]],2)</f>
        <v>10</v>
      </c>
      <c r="N410">
        <f>FIND(" ",Таблица8[[#This Row],[ФИО]],(M410+1))</f>
        <v>21</v>
      </c>
      <c r="O410">
        <f>LEN(Таблица8[[#This Row],[ФИО]])</f>
        <v>29</v>
      </c>
      <c r="Q410" s="59" t="str">
        <f>LEFT(Таблица8[[#This Row],[ФИО]],(M410-1))</f>
        <v>Харлампий</v>
      </c>
      <c r="R410" t="s">
        <v>1377</v>
      </c>
      <c r="S410" t="s">
        <v>1650</v>
      </c>
    </row>
    <row r="411" spans="1:19" x14ac:dyDescent="0.25">
      <c r="A411" s="51">
        <v>434</v>
      </c>
      <c r="B411" t="s">
        <v>719</v>
      </c>
      <c r="C411" t="s">
        <v>718</v>
      </c>
      <c r="D411" t="s">
        <v>140</v>
      </c>
      <c r="E411" s="26">
        <v>44730</v>
      </c>
      <c r="F411" t="str">
        <f t="shared" si="6"/>
        <v>+380</v>
      </c>
      <c r="G411" t="str">
        <f>INDEX('коды стран'!$A$2:$A$7, MATCH(F411, 'коды стран'!$B$2:$B$7, 0))</f>
        <v>Украина</v>
      </c>
      <c r="H411" t="s">
        <v>128</v>
      </c>
      <c r="I411" t="str">
        <f>LEFT(Таблица8[[#This Row],[ФИО]],(M411-1))</f>
        <v>Христофор</v>
      </c>
      <c r="J411" t="str">
        <f>MID(Таблица8[[#This Row],[ФИО]],M411,(N411-M411))</f>
        <v xml:space="preserve"> Авдеевич</v>
      </c>
      <c r="K411" t="str">
        <f>RIGHT(Таблица8[[#This Row],[ФИО]],(O411-N411))</f>
        <v>Щукин</v>
      </c>
      <c r="M411" s="60">
        <f>FIND(" ",Таблица8[[#This Row],[ФИО]],2)</f>
        <v>10</v>
      </c>
      <c r="N411">
        <f>FIND(" ",Таблица8[[#This Row],[ФИО]],(M411+1))</f>
        <v>19</v>
      </c>
      <c r="O411">
        <f>LEN(Таблица8[[#This Row],[ФИО]])</f>
        <v>24</v>
      </c>
      <c r="Q411" s="60" t="str">
        <f>LEFT(Таблица8[[#This Row],[ФИО]],(M411-1))</f>
        <v>Христофор</v>
      </c>
      <c r="R411" t="s">
        <v>1378</v>
      </c>
      <c r="S411" t="s">
        <v>1653</v>
      </c>
    </row>
    <row r="412" spans="1:19" x14ac:dyDescent="0.25">
      <c r="A412" s="51">
        <v>429</v>
      </c>
      <c r="B412" t="s">
        <v>641</v>
      </c>
      <c r="C412" t="s">
        <v>640</v>
      </c>
      <c r="D412" t="s">
        <v>143</v>
      </c>
      <c r="E412" s="26">
        <v>44625</v>
      </c>
      <c r="F412" t="str">
        <f t="shared" si="6"/>
        <v>+992</v>
      </c>
      <c r="G412" t="str">
        <f>INDEX('коды стран'!$A$2:$A$7, MATCH(F412, 'коды стран'!$B$2:$B$7, 0))</f>
        <v>Таджикистан</v>
      </c>
      <c r="H412" t="s">
        <v>130</v>
      </c>
      <c r="I412" t="str">
        <f>LEFT(Таблица8[[#This Row],[ФИО]],(M412-1))</f>
        <v>Цветков</v>
      </c>
      <c r="J412" t="str">
        <f>MID(Таблица8[[#This Row],[ФИО]],M412,(N412-M412))</f>
        <v xml:space="preserve"> Лука</v>
      </c>
      <c r="K412" t="str">
        <f>RIGHT(Таблица8[[#This Row],[ФИО]],(O412-N412))</f>
        <v>Витальевич</v>
      </c>
      <c r="M412" s="59">
        <f>FIND(" ",Таблица8[[#This Row],[ФИО]],2)</f>
        <v>8</v>
      </c>
      <c r="N412">
        <f>FIND(" ",Таблица8[[#This Row],[ФИО]],(M412+1))</f>
        <v>13</v>
      </c>
      <c r="O412">
        <f>LEN(Таблица8[[#This Row],[ФИО]])</f>
        <v>23</v>
      </c>
      <c r="Q412" s="59" t="str">
        <f>MID(Таблица8[[#This Row],[ФИО]],M412,(N412-M412))</f>
        <v xml:space="preserve"> Лука</v>
      </c>
      <c r="R412" t="s">
        <v>1136</v>
      </c>
      <c r="S412" t="s">
        <v>1654</v>
      </c>
    </row>
    <row r="413" spans="1:19" x14ac:dyDescent="0.25">
      <c r="A413" s="51">
        <v>452</v>
      </c>
      <c r="B413" t="s">
        <v>839</v>
      </c>
      <c r="C413" t="s">
        <v>838</v>
      </c>
      <c r="D413" t="s">
        <v>143</v>
      </c>
      <c r="E413" s="26">
        <v>44769</v>
      </c>
      <c r="F413" t="str">
        <f t="shared" si="6"/>
        <v>+7</v>
      </c>
      <c r="G413" t="str">
        <f>INDEX('коды стран'!$A$2:$A$7, MATCH(F413, 'коды стран'!$B$2:$B$7, 0))</f>
        <v>Россия</v>
      </c>
      <c r="H413" t="s">
        <v>137</v>
      </c>
      <c r="I413" t="str">
        <f>LEFT(Таблица8[[#This Row],[ФИО]],(M413-1))</f>
        <v>Чеслав</v>
      </c>
      <c r="J413" t="str">
        <f>MID(Таблица8[[#This Row],[ФИО]],M413,(N413-M413))</f>
        <v xml:space="preserve"> Бориславович</v>
      </c>
      <c r="K413" t="str">
        <f>RIGHT(Таблица8[[#This Row],[ФИО]],(O413-N413))</f>
        <v>Мамонтов</v>
      </c>
      <c r="M413" s="60">
        <f>FIND(" ",Таблица8[[#This Row],[ФИО]],2)</f>
        <v>7</v>
      </c>
      <c r="N413">
        <f>FIND(" ",Таблица8[[#This Row],[ФИО]],(M413+1))</f>
        <v>20</v>
      </c>
      <c r="O413">
        <f>LEN(Таблица8[[#This Row],[ФИО]])</f>
        <v>28</v>
      </c>
      <c r="Q413" s="60" t="str">
        <f>LEFT(Таблица8[[#This Row],[ФИО]],(M413-1))</f>
        <v>Чеслав</v>
      </c>
      <c r="R413" t="s">
        <v>1215</v>
      </c>
      <c r="S413" t="s">
        <v>1507</v>
      </c>
    </row>
    <row r="414" spans="1:19" x14ac:dyDescent="0.25">
      <c r="A414" s="51">
        <v>303</v>
      </c>
      <c r="B414" t="s">
        <v>961</v>
      </c>
      <c r="C414" t="s">
        <v>960</v>
      </c>
      <c r="D414" t="s">
        <v>140</v>
      </c>
      <c r="E414" s="26">
        <v>44689</v>
      </c>
      <c r="F414" t="str">
        <f t="shared" si="6"/>
        <v>+998</v>
      </c>
      <c r="G414" t="str">
        <f>INDEX('коды стран'!$A$2:$A$7, MATCH(F414, 'коды стран'!$B$2:$B$7, 0))</f>
        <v>Узбекистан</v>
      </c>
      <c r="H414" t="s">
        <v>132</v>
      </c>
      <c r="I414" t="str">
        <f>LEFT(Таблица8[[#This Row],[ФИО]],(M414-1))</f>
        <v>Чеслав</v>
      </c>
      <c r="J414" t="str">
        <f>MID(Таблица8[[#This Row],[ФИО]],M414,(N414-M414))</f>
        <v xml:space="preserve"> Виленович</v>
      </c>
      <c r="K414" t="str">
        <f>RIGHT(Таблица8[[#This Row],[ФИО]],(O414-N414))</f>
        <v>Шестаков</v>
      </c>
      <c r="M414" s="59">
        <f>FIND(" ",Таблица8[[#This Row],[ФИО]],2)</f>
        <v>7</v>
      </c>
      <c r="N414">
        <f>FIND(" ",Таблица8[[#This Row],[ФИО]],(M414+1))</f>
        <v>17</v>
      </c>
      <c r="O414">
        <f>LEN(Таблица8[[#This Row],[ФИО]])</f>
        <v>25</v>
      </c>
      <c r="Q414" s="59" t="str">
        <f>LEFT(Таблица8[[#This Row],[ФИО]],(M414-1))</f>
        <v>Чеслав</v>
      </c>
      <c r="R414" t="s">
        <v>1379</v>
      </c>
      <c r="S414" t="s">
        <v>1602</v>
      </c>
    </row>
    <row r="415" spans="1:19" x14ac:dyDescent="0.25">
      <c r="A415" s="51">
        <v>478</v>
      </c>
      <c r="B415" t="s">
        <v>643</v>
      </c>
      <c r="C415" t="s">
        <v>642</v>
      </c>
      <c r="D415" t="s">
        <v>140</v>
      </c>
      <c r="E415" s="26">
        <v>44726</v>
      </c>
      <c r="F415" t="str">
        <f t="shared" si="6"/>
        <v>+380</v>
      </c>
      <c r="G415" t="str">
        <f>INDEX('коды стран'!$A$2:$A$7, MATCH(F415, 'коды стран'!$B$2:$B$7, 0))</f>
        <v>Украина</v>
      </c>
      <c r="H415" t="s">
        <v>128</v>
      </c>
      <c r="I415" t="str">
        <f>LEFT(Таблица8[[#This Row],[ФИО]],(M415-1))</f>
        <v>Шарова</v>
      </c>
      <c r="J415" t="str">
        <f>MID(Таблица8[[#This Row],[ФИО]],M415,(N415-M415))</f>
        <v xml:space="preserve"> Екатерина</v>
      </c>
      <c r="K415" t="str">
        <f>RIGHT(Таблица8[[#This Row],[ФИО]],(O415-N415))</f>
        <v>Леоновна</v>
      </c>
      <c r="M415" s="60">
        <f>FIND(" ",Таблица8[[#This Row],[ФИО]],2)</f>
        <v>7</v>
      </c>
      <c r="N415">
        <f>FIND(" ",Таблица8[[#This Row],[ФИО]],(M415+1))</f>
        <v>17</v>
      </c>
      <c r="O415">
        <f>LEN(Таблица8[[#This Row],[ФИО]])</f>
        <v>25</v>
      </c>
      <c r="Q415" s="60" t="str">
        <f>MID(Таблица8[[#This Row],[ФИО]],M415,(N415-M415))</f>
        <v xml:space="preserve"> Екатерина</v>
      </c>
      <c r="R415" t="s">
        <v>1238</v>
      </c>
      <c r="S415" t="s">
        <v>1649</v>
      </c>
    </row>
    <row r="416" spans="1:19" x14ac:dyDescent="0.25">
      <c r="A416" s="51">
        <v>263</v>
      </c>
      <c r="B416" t="s">
        <v>439</v>
      </c>
      <c r="C416" t="s">
        <v>438</v>
      </c>
      <c r="D416" t="s">
        <v>143</v>
      </c>
      <c r="E416" s="26">
        <v>44612</v>
      </c>
      <c r="F416" t="str">
        <f t="shared" si="6"/>
        <v>+992</v>
      </c>
      <c r="G416" t="str">
        <f>INDEX('коды стран'!$A$2:$A$7, MATCH(F416, 'коды стран'!$B$2:$B$7, 0))</f>
        <v>Таджикистан</v>
      </c>
      <c r="H416" t="s">
        <v>130</v>
      </c>
      <c r="I416" t="str">
        <f>LEFT(Таблица8[[#This Row],[ФИО]],(M416-1))</f>
        <v>Шестакова</v>
      </c>
      <c r="J416" t="str">
        <f>MID(Таблица8[[#This Row],[ФИО]],M416,(N416-M416))</f>
        <v xml:space="preserve"> Элеонора</v>
      </c>
      <c r="K416" t="str">
        <f>RIGHT(Таблица8[[#This Row],[ФИО]],(O416-N416))</f>
        <v>Дмитриевна</v>
      </c>
      <c r="M416" s="59">
        <f>FIND(" ",Таблица8[[#This Row],[ФИО]],2)</f>
        <v>10</v>
      </c>
      <c r="N416">
        <f>FIND(" ",Таблица8[[#This Row],[ФИО]],(M416+1))</f>
        <v>19</v>
      </c>
      <c r="O416">
        <f>LEN(Таблица8[[#This Row],[ФИО]])</f>
        <v>29</v>
      </c>
      <c r="Q416" s="59" t="str">
        <f>MID(Таблица8[[#This Row],[ФИО]],M416,(N416-M416))</f>
        <v xml:space="preserve"> Элеонора</v>
      </c>
      <c r="R416" t="s">
        <v>1113</v>
      </c>
      <c r="S416" t="s">
        <v>1633</v>
      </c>
    </row>
    <row r="417" spans="1:19" x14ac:dyDescent="0.25">
      <c r="A417" s="51">
        <v>19</v>
      </c>
      <c r="B417" t="s">
        <v>487</v>
      </c>
      <c r="C417" t="s">
        <v>486</v>
      </c>
      <c r="D417" t="s">
        <v>143</v>
      </c>
      <c r="E417" s="26">
        <v>44902</v>
      </c>
      <c r="F417" t="str">
        <f t="shared" si="6"/>
        <v>+7</v>
      </c>
      <c r="G417" t="str">
        <f>INDEX('коды стран'!$A$2:$A$7, MATCH(F417, 'коды стран'!$B$2:$B$7, 0))</f>
        <v>Россия</v>
      </c>
      <c r="H417" t="s">
        <v>137</v>
      </c>
      <c r="I417" t="str">
        <f>LEFT(Таблица8[[#This Row],[ФИО]],(M417-1))</f>
        <v>Шубин</v>
      </c>
      <c r="J417" t="str">
        <f>MID(Таблица8[[#This Row],[ФИО]],M417,(N417-M417))</f>
        <v xml:space="preserve"> Орест</v>
      </c>
      <c r="K417" t="str">
        <f>RIGHT(Таблица8[[#This Row],[ФИО]],(O417-N417))</f>
        <v>Августович</v>
      </c>
      <c r="M417" s="60">
        <f>FIND(" ",Таблица8[[#This Row],[ФИО]],2)</f>
        <v>6</v>
      </c>
      <c r="N417">
        <f>FIND(" ",Таблица8[[#This Row],[ФИО]],(M417+1))</f>
        <v>12</v>
      </c>
      <c r="O417">
        <f>LEN(Таблица8[[#This Row],[ФИО]])</f>
        <v>22</v>
      </c>
      <c r="Q417" s="60" t="str">
        <f>MID(Таблица8[[#This Row],[ФИО]],M417,(N417-M417))</f>
        <v xml:space="preserve"> Орест</v>
      </c>
      <c r="R417" t="s">
        <v>1380</v>
      </c>
      <c r="S417" t="s">
        <v>1548</v>
      </c>
    </row>
    <row r="418" spans="1:19" x14ac:dyDescent="0.25">
      <c r="A418" s="51">
        <v>351</v>
      </c>
      <c r="B418" t="s">
        <v>323</v>
      </c>
      <c r="C418" t="s">
        <v>322</v>
      </c>
      <c r="D418" t="s">
        <v>143</v>
      </c>
      <c r="E418" s="26">
        <v>44863</v>
      </c>
      <c r="F418" t="str">
        <f t="shared" si="6"/>
        <v>+7</v>
      </c>
      <c r="G418" t="str">
        <f>INDEX('коды стран'!$A$2:$A$7, MATCH(F418, 'коды стран'!$B$2:$B$7, 0))</f>
        <v>Россия</v>
      </c>
      <c r="H418" t="s">
        <v>137</v>
      </c>
      <c r="I418" t="str">
        <f>LEFT(Таблица8[[#This Row],[ФИО]],(M418-1))</f>
        <v>Щукина</v>
      </c>
      <c r="J418" t="str">
        <f>MID(Таблица8[[#This Row],[ФИО]],M418,(N418-M418))</f>
        <v xml:space="preserve"> Элеонора</v>
      </c>
      <c r="K418" t="str">
        <f>RIGHT(Таблица8[[#This Row],[ФИО]],(O418-N418))</f>
        <v>Робертовна</v>
      </c>
      <c r="M418" s="59">
        <f>FIND(" ",Таблица8[[#This Row],[ФИО]],2)</f>
        <v>7</v>
      </c>
      <c r="N418">
        <f>FIND(" ",Таблица8[[#This Row],[ФИО]],(M418+1))</f>
        <v>16</v>
      </c>
      <c r="O418">
        <f>LEN(Таблица8[[#This Row],[ФИО]])</f>
        <v>26</v>
      </c>
      <c r="Q418" s="59" t="str">
        <f>MID(Таблица8[[#This Row],[ФИО]],M418,(N418-M418))</f>
        <v xml:space="preserve"> Элеонора</v>
      </c>
      <c r="R418" t="s">
        <v>1381</v>
      </c>
      <c r="S418" t="s">
        <v>1655</v>
      </c>
    </row>
    <row r="419" spans="1:19" x14ac:dyDescent="0.25">
      <c r="A419" s="51">
        <v>372</v>
      </c>
      <c r="B419" t="s">
        <v>449</v>
      </c>
      <c r="C419" t="s">
        <v>448</v>
      </c>
      <c r="D419" t="s">
        <v>140</v>
      </c>
      <c r="E419" s="26">
        <v>44772</v>
      </c>
      <c r="F419" t="str">
        <f t="shared" si="6"/>
        <v>+992</v>
      </c>
      <c r="G419" t="str">
        <f>INDEX('коды стран'!$A$2:$A$7, MATCH(F419, 'коды стран'!$B$2:$B$7, 0))</f>
        <v>Таджикистан</v>
      </c>
      <c r="H419" t="s">
        <v>130</v>
      </c>
      <c r="I419" t="str">
        <f>LEFT(Таблица8[[#This Row],[ФИО]],(M419-1))</f>
        <v>Эдуард</v>
      </c>
      <c r="J419" t="str">
        <f>MID(Таблица8[[#This Row],[ФИО]],M419,(N419-M419))</f>
        <v xml:space="preserve"> Фадеевич</v>
      </c>
      <c r="K419" t="str">
        <f>RIGHT(Таблица8[[#This Row],[ФИО]],(O419-N419))</f>
        <v>Сергеев</v>
      </c>
      <c r="M419" s="60">
        <f>FIND(" ",Таблица8[[#This Row],[ФИО]],2)</f>
        <v>7</v>
      </c>
      <c r="N419">
        <f>FIND(" ",Таблица8[[#This Row],[ФИО]],(M419+1))</f>
        <v>16</v>
      </c>
      <c r="O419">
        <f>LEN(Таблица8[[#This Row],[ФИО]])</f>
        <v>23</v>
      </c>
      <c r="Q419" s="60" t="str">
        <f>LEFT(Таблица8[[#This Row],[ФИО]],(M419-1))</f>
        <v>Эдуард</v>
      </c>
      <c r="R419" t="s">
        <v>1345</v>
      </c>
      <c r="S419" t="s">
        <v>1656</v>
      </c>
    </row>
    <row r="420" spans="1:19" x14ac:dyDescent="0.25">
      <c r="A420" s="51">
        <v>160</v>
      </c>
      <c r="B420" t="s">
        <v>949</v>
      </c>
      <c r="C420" t="s">
        <v>948</v>
      </c>
      <c r="D420" t="s">
        <v>143</v>
      </c>
      <c r="E420" s="26">
        <v>44649</v>
      </c>
      <c r="F420" t="str">
        <f t="shared" si="6"/>
        <v>+998</v>
      </c>
      <c r="G420" t="str">
        <f>INDEX('коды стран'!$A$2:$A$7, MATCH(F420, 'коды стран'!$B$2:$B$7, 0))</f>
        <v>Узбекистан</v>
      </c>
      <c r="H420" t="s">
        <v>132</v>
      </c>
      <c r="I420" t="str">
        <f>LEFT(Таблица8[[#This Row],[ФИО]],(M420-1))</f>
        <v>Элеонора</v>
      </c>
      <c r="J420" t="str">
        <f>MID(Таблица8[[#This Row],[ФИО]],M420,(N420-M420))</f>
        <v xml:space="preserve"> Ивановна</v>
      </c>
      <c r="K420" t="str">
        <f>RIGHT(Таблица8[[#This Row],[ФИО]],(O420-N420))</f>
        <v>Королева</v>
      </c>
      <c r="M420" s="59">
        <f>FIND(" ",Таблица8[[#This Row],[ФИО]],2)</f>
        <v>9</v>
      </c>
      <c r="N420">
        <f>FIND(" ",Таблица8[[#This Row],[ФИО]],(M420+1))</f>
        <v>18</v>
      </c>
      <c r="O420">
        <f>LEN(Таблица8[[#This Row],[ФИО]])</f>
        <v>26</v>
      </c>
      <c r="Q420" s="59" t="str">
        <f>LEFT(Таблица8[[#This Row],[ФИО]],(M420-1))</f>
        <v>Элеонора</v>
      </c>
      <c r="R420" t="s">
        <v>1382</v>
      </c>
      <c r="S420" t="s">
        <v>1426</v>
      </c>
    </row>
    <row r="421" spans="1:19" x14ac:dyDescent="0.25">
      <c r="A421" s="51">
        <v>6</v>
      </c>
      <c r="B421" t="s">
        <v>169</v>
      </c>
      <c r="C421" t="s">
        <v>168</v>
      </c>
      <c r="D421" t="s">
        <v>140</v>
      </c>
      <c r="E421" s="26">
        <v>44710</v>
      </c>
      <c r="F421" t="str">
        <f t="shared" si="6"/>
        <v>+380</v>
      </c>
      <c r="G421" t="str">
        <f>INDEX('коды стран'!$A$2:$A$7, MATCH(F421, 'коды стран'!$B$2:$B$7, 0))</f>
        <v>Украина</v>
      </c>
      <c r="H421" t="s">
        <v>128</v>
      </c>
      <c r="I421" t="str">
        <f>LEFT(Таблица8[[#This Row],[ФИО]],(M421-1))</f>
        <v>Эмилия</v>
      </c>
      <c r="J421" t="str">
        <f>MID(Таблица8[[#This Row],[ФИО]],M421,(N421-M421))</f>
        <v xml:space="preserve"> Болеславовна</v>
      </c>
      <c r="K421" t="str">
        <f>RIGHT(Таблица8[[#This Row],[ФИО]],(O421-N421))</f>
        <v>Цветкова</v>
      </c>
      <c r="M421" s="60">
        <f>FIND(" ",Таблица8[[#This Row],[ФИО]],2)</f>
        <v>7</v>
      </c>
      <c r="N421">
        <f>FIND(" ",Таблица8[[#This Row],[ФИО]],(M421+1))</f>
        <v>20</v>
      </c>
      <c r="O421">
        <f>LEN(Таблица8[[#This Row],[ФИО]])</f>
        <v>28</v>
      </c>
      <c r="Q421" s="60" t="str">
        <f>LEFT(Таблица8[[#This Row],[ФИО]],(M421-1))</f>
        <v>Эмилия</v>
      </c>
      <c r="R421" t="s">
        <v>1325</v>
      </c>
      <c r="S421" t="s">
        <v>1570</v>
      </c>
    </row>
    <row r="422" spans="1:19" x14ac:dyDescent="0.25">
      <c r="A422" s="51">
        <v>367</v>
      </c>
      <c r="B422" t="s">
        <v>421</v>
      </c>
      <c r="C422" t="s">
        <v>420</v>
      </c>
      <c r="D422" t="s">
        <v>140</v>
      </c>
      <c r="E422" s="26">
        <v>44867</v>
      </c>
      <c r="F422" t="str">
        <f t="shared" si="6"/>
        <v>+992</v>
      </c>
      <c r="G422" t="str">
        <f>INDEX('коды стран'!$A$2:$A$7, MATCH(F422, 'коды стран'!$B$2:$B$7, 0))</f>
        <v>Таджикистан</v>
      </c>
      <c r="H422" t="s">
        <v>130</v>
      </c>
      <c r="I422" t="str">
        <f>LEFT(Таблица8[[#This Row],[ФИО]],(M422-1))</f>
        <v>Эмилия</v>
      </c>
      <c r="J422" t="str">
        <f>MID(Таблица8[[#This Row],[ФИО]],M422,(N422-M422))</f>
        <v xml:space="preserve"> Вадимовна</v>
      </c>
      <c r="K422" t="str">
        <f>RIGHT(Таблица8[[#This Row],[ФИО]],(O422-N422))</f>
        <v>Александрова</v>
      </c>
      <c r="M422" s="59">
        <f>FIND(" ",Таблица8[[#This Row],[ФИО]],2)</f>
        <v>7</v>
      </c>
      <c r="N422">
        <f>FIND(" ",Таблица8[[#This Row],[ФИО]],(M422+1))</f>
        <v>17</v>
      </c>
      <c r="O422">
        <f>LEN(Таблица8[[#This Row],[ФИО]])</f>
        <v>29</v>
      </c>
      <c r="Q422" s="59" t="str">
        <f>LEFT(Таблица8[[#This Row],[ФИО]],(M422-1))</f>
        <v>Эмилия</v>
      </c>
      <c r="R422" t="s">
        <v>1383</v>
      </c>
      <c r="S422" t="s">
        <v>1571</v>
      </c>
    </row>
    <row r="423" spans="1:19" x14ac:dyDescent="0.25">
      <c r="A423" s="51">
        <v>111</v>
      </c>
      <c r="B423" t="s">
        <v>823</v>
      </c>
      <c r="C423" t="s">
        <v>822</v>
      </c>
      <c r="D423" t="s">
        <v>143</v>
      </c>
      <c r="E423" s="26">
        <v>44804</v>
      </c>
      <c r="F423" t="str">
        <f t="shared" si="6"/>
        <v>+998</v>
      </c>
      <c r="G423" t="str">
        <f>INDEX('коды стран'!$A$2:$A$7, MATCH(F423, 'коды стран'!$B$2:$B$7, 0))</f>
        <v>Узбекистан</v>
      </c>
      <c r="H423" t="s">
        <v>132</v>
      </c>
      <c r="I423" t="str">
        <f>LEFT(Таблица8[[#This Row],[ФИО]],(M423-1))</f>
        <v>Эмилия</v>
      </c>
      <c r="J423" t="str">
        <f>MID(Таблица8[[#This Row],[ФИО]],M423,(N423-M423))</f>
        <v xml:space="preserve"> Олеговна</v>
      </c>
      <c r="K423" t="str">
        <f>RIGHT(Таблица8[[#This Row],[ФИО]],(O423-N423))</f>
        <v>Калинина</v>
      </c>
      <c r="M423" s="60">
        <f>FIND(" ",Таблица8[[#This Row],[ФИО]],2)</f>
        <v>7</v>
      </c>
      <c r="N423">
        <f>FIND(" ",Таблица8[[#This Row],[ФИО]],(M423+1))</f>
        <v>16</v>
      </c>
      <c r="O423">
        <f>LEN(Таблица8[[#This Row],[ФИО]])</f>
        <v>24</v>
      </c>
      <c r="Q423" s="60" t="str">
        <f>LEFT(Таблица8[[#This Row],[ФИО]],(M423-1))</f>
        <v>Эмилия</v>
      </c>
      <c r="R423" t="s">
        <v>1239</v>
      </c>
      <c r="S423" t="s">
        <v>1407</v>
      </c>
    </row>
    <row r="424" spans="1:19" x14ac:dyDescent="0.25">
      <c r="A424" s="51">
        <v>222</v>
      </c>
      <c r="B424" t="s">
        <v>901</v>
      </c>
      <c r="C424" t="s">
        <v>900</v>
      </c>
      <c r="D424" t="s">
        <v>143</v>
      </c>
      <c r="E424" s="26">
        <v>44694</v>
      </c>
      <c r="F424" t="str">
        <f t="shared" si="6"/>
        <v>+380</v>
      </c>
      <c r="G424" t="str">
        <f>INDEX('коды стран'!$A$2:$A$7, MATCH(F424, 'коды стран'!$B$2:$B$7, 0))</f>
        <v>Украина</v>
      </c>
      <c r="H424" t="s">
        <v>128</v>
      </c>
      <c r="I424" t="str">
        <f>LEFT(Таблица8[[#This Row],[ФИО]],(M424-1))</f>
        <v>Эмилия</v>
      </c>
      <c r="J424" t="str">
        <f>MID(Таблица8[[#This Row],[ФИО]],M424,(N424-M424))</f>
        <v xml:space="preserve"> Руслановна</v>
      </c>
      <c r="K424" t="str">
        <f>RIGHT(Таблица8[[#This Row],[ФИО]],(O424-N424))</f>
        <v>Шарапова</v>
      </c>
      <c r="M424" s="59">
        <f>FIND(" ",Таблица8[[#This Row],[ФИО]],2)</f>
        <v>7</v>
      </c>
      <c r="N424">
        <f>FIND(" ",Таблица8[[#This Row],[ФИО]],(M424+1))</f>
        <v>18</v>
      </c>
      <c r="O424">
        <f>LEN(Таблица8[[#This Row],[ФИО]])</f>
        <v>26</v>
      </c>
      <c r="Q424" s="59" t="str">
        <f>LEFT(Таблица8[[#This Row],[ФИО]],(M424-1))</f>
        <v>Эмилия</v>
      </c>
      <c r="R424" t="s">
        <v>1384</v>
      </c>
      <c r="S424" t="s">
        <v>1462</v>
      </c>
    </row>
    <row r="425" spans="1:19" x14ac:dyDescent="0.25">
      <c r="A425" s="51">
        <v>392</v>
      </c>
      <c r="B425" t="s">
        <v>861</v>
      </c>
      <c r="C425" t="s">
        <v>860</v>
      </c>
      <c r="D425" t="s">
        <v>140</v>
      </c>
      <c r="E425" s="26">
        <v>44919</v>
      </c>
      <c r="F425" t="str">
        <f t="shared" si="6"/>
        <v>+7</v>
      </c>
      <c r="G425" t="str">
        <f>INDEX('коды стран'!$A$2:$A$7, MATCH(F425, 'коды стран'!$B$2:$B$7, 0))</f>
        <v>Россия</v>
      </c>
      <c r="H425" t="s">
        <v>137</v>
      </c>
      <c r="I425" t="str">
        <f>LEFT(Таблица8[[#This Row],[ФИО]],(M425-1))</f>
        <v>Эммануил</v>
      </c>
      <c r="J425" t="str">
        <f>MID(Таблица8[[#This Row],[ФИО]],M425,(N425-M425))</f>
        <v xml:space="preserve"> Ааронович</v>
      </c>
      <c r="K425" t="str">
        <f>RIGHT(Таблица8[[#This Row],[ФИО]],(O425-N425))</f>
        <v>Кошелев</v>
      </c>
      <c r="M425" s="60">
        <f>FIND(" ",Таблица8[[#This Row],[ФИО]],2)</f>
        <v>9</v>
      </c>
      <c r="N425">
        <f>FIND(" ",Таблица8[[#This Row],[ФИО]],(M425+1))</f>
        <v>19</v>
      </c>
      <c r="O425">
        <f>LEN(Таблица8[[#This Row],[ФИО]])</f>
        <v>26</v>
      </c>
      <c r="Q425" s="60" t="str">
        <f>LEFT(Таблица8[[#This Row],[ФИО]],(M425-1))</f>
        <v>Эммануил</v>
      </c>
      <c r="R425" t="s">
        <v>1385</v>
      </c>
      <c r="S425" t="s">
        <v>1648</v>
      </c>
    </row>
    <row r="426" spans="1:19" x14ac:dyDescent="0.25">
      <c r="A426" s="51">
        <v>70</v>
      </c>
      <c r="B426" t="s">
        <v>275</v>
      </c>
      <c r="C426" t="s">
        <v>274</v>
      </c>
      <c r="D426" t="s">
        <v>143</v>
      </c>
      <c r="E426" s="26">
        <v>44591</v>
      </c>
      <c r="F426" t="str">
        <f t="shared" si="6"/>
        <v>+380</v>
      </c>
      <c r="G426" t="str">
        <f>INDEX('коды стран'!$A$2:$A$7, MATCH(F426, 'коды стран'!$B$2:$B$7, 0))</f>
        <v>Украина</v>
      </c>
      <c r="H426" t="s">
        <v>128</v>
      </c>
      <c r="I426" t="str">
        <f>LEFT(Таблица8[[#This Row],[ФИО]],(M426-1))</f>
        <v>Эммануил</v>
      </c>
      <c r="J426" t="str">
        <f>MID(Таблица8[[#This Row],[ФИО]],M426,(N426-M426))</f>
        <v xml:space="preserve"> Валерьевич</v>
      </c>
      <c r="K426" t="str">
        <f>RIGHT(Таблица8[[#This Row],[ФИО]],(O426-N426))</f>
        <v>Королев</v>
      </c>
      <c r="M426" s="59">
        <f>FIND(" ",Таблица8[[#This Row],[ФИО]],2)</f>
        <v>9</v>
      </c>
      <c r="N426">
        <f>FIND(" ",Таблица8[[#This Row],[ФИО]],(M426+1))</f>
        <v>20</v>
      </c>
      <c r="O426">
        <f>LEN(Таблица8[[#This Row],[ФИО]])</f>
        <v>27</v>
      </c>
      <c r="Q426" s="59" t="str">
        <f>LEFT(Таблица8[[#This Row],[ФИО]],(M426-1))</f>
        <v>Эммануил</v>
      </c>
      <c r="R426" t="s">
        <v>1259</v>
      </c>
      <c r="S426" t="s">
        <v>1405</v>
      </c>
    </row>
    <row r="427" spans="1:19" x14ac:dyDescent="0.25">
      <c r="A427" s="51">
        <v>208</v>
      </c>
      <c r="B427" t="s">
        <v>205</v>
      </c>
      <c r="C427" t="s">
        <v>204</v>
      </c>
      <c r="D427" t="s">
        <v>140</v>
      </c>
      <c r="E427" s="26">
        <v>44736</v>
      </c>
      <c r="F427" t="str">
        <f t="shared" si="6"/>
        <v>+380</v>
      </c>
      <c r="G427" t="str">
        <f>INDEX('коды стран'!$A$2:$A$7, MATCH(F427, 'коды стран'!$B$2:$B$7, 0))</f>
        <v>Украина</v>
      </c>
      <c r="H427" t="s">
        <v>128</v>
      </c>
      <c r="I427" t="str">
        <f>LEFT(Таблица8[[#This Row],[ФИО]],(M427-1))</f>
        <v>Эммануил</v>
      </c>
      <c r="J427" t="str">
        <f>MID(Таблица8[[#This Row],[ФИО]],M427,(N427-M427))</f>
        <v xml:space="preserve"> Филимонович</v>
      </c>
      <c r="K427" t="str">
        <f>RIGHT(Таблица8[[#This Row],[ФИО]],(O427-N427))</f>
        <v>Захаров</v>
      </c>
      <c r="M427" s="60">
        <f>FIND(" ",Таблица8[[#This Row],[ФИО]],2)</f>
        <v>9</v>
      </c>
      <c r="N427">
        <f>FIND(" ",Таблица8[[#This Row],[ФИО]],(M427+1))</f>
        <v>21</v>
      </c>
      <c r="O427">
        <f>LEN(Таблица8[[#This Row],[ФИО]])</f>
        <v>28</v>
      </c>
      <c r="Q427" s="60" t="str">
        <f>LEFT(Таблица8[[#This Row],[ФИО]],(M427-1))</f>
        <v>Эммануил</v>
      </c>
      <c r="R427" t="s">
        <v>1273</v>
      </c>
      <c r="S427" t="s">
        <v>1657</v>
      </c>
    </row>
    <row r="428" spans="1:19" x14ac:dyDescent="0.25">
      <c r="A428" s="51">
        <v>408</v>
      </c>
      <c r="B428" t="s">
        <v>947</v>
      </c>
      <c r="C428" t="s">
        <v>946</v>
      </c>
      <c r="D428" t="s">
        <v>140</v>
      </c>
      <c r="E428" s="26">
        <v>44857</v>
      </c>
      <c r="F428" t="str">
        <f t="shared" si="6"/>
        <v>+7</v>
      </c>
      <c r="G428" t="str">
        <f>INDEX('коды стран'!$A$2:$A$7, MATCH(F428, 'коды стран'!$B$2:$B$7, 0))</f>
        <v>Россия</v>
      </c>
      <c r="H428" t="s">
        <v>137</v>
      </c>
      <c r="I428" t="str">
        <f>LEFT(Таблица8[[#This Row],[ФИО]],(M428-1))</f>
        <v>Юлия</v>
      </c>
      <c r="J428" t="str">
        <f>MID(Таблица8[[#This Row],[ФИО]],M428,(N428-M428))</f>
        <v xml:space="preserve"> Вячеславовна</v>
      </c>
      <c r="K428" t="str">
        <f>RIGHT(Таблица8[[#This Row],[ФИО]],(O428-N428))</f>
        <v>Журавлева</v>
      </c>
      <c r="M428" s="59">
        <f>FIND(" ",Таблица8[[#This Row],[ФИО]],2)</f>
        <v>5</v>
      </c>
      <c r="N428">
        <f>FIND(" ",Таблица8[[#This Row],[ФИО]],(M428+1))</f>
        <v>18</v>
      </c>
      <c r="O428">
        <f>LEN(Таблица8[[#This Row],[ФИО]])</f>
        <v>27</v>
      </c>
      <c r="Q428" s="59" t="str">
        <f>LEFT(Таблица8[[#This Row],[ФИО]],(M428-1))</f>
        <v>Юлия</v>
      </c>
      <c r="R428" t="s">
        <v>1223</v>
      </c>
      <c r="S428" t="s">
        <v>1518</v>
      </c>
    </row>
    <row r="429" spans="1:19" x14ac:dyDescent="0.25">
      <c r="A429" s="51">
        <v>187</v>
      </c>
      <c r="B429" t="s">
        <v>545</v>
      </c>
      <c r="C429" t="s">
        <v>544</v>
      </c>
      <c r="D429" t="s">
        <v>143</v>
      </c>
      <c r="E429" s="26">
        <v>44848</v>
      </c>
      <c r="F429" t="str">
        <f t="shared" si="6"/>
        <v>+7</v>
      </c>
      <c r="G429" t="str">
        <f>INDEX('коды стран'!$A$2:$A$7, MATCH(F429, 'коды стран'!$B$2:$B$7, 0))</f>
        <v>Россия</v>
      </c>
      <c r="H429" t="s">
        <v>137</v>
      </c>
      <c r="I429" t="str">
        <f>LEFT(Таблица8[[#This Row],[ФИО]],(M429-1))</f>
        <v>Юлия</v>
      </c>
      <c r="J429" t="str">
        <f>MID(Таблица8[[#This Row],[ФИО]],M429,(N429-M429))</f>
        <v xml:space="preserve"> Геннадиевна</v>
      </c>
      <c r="K429" t="str">
        <f>RIGHT(Таблица8[[#This Row],[ФИО]],(O429-N429))</f>
        <v>Белякова</v>
      </c>
      <c r="M429" s="60">
        <f>FIND(" ",Таблица8[[#This Row],[ФИО]],2)</f>
        <v>5</v>
      </c>
      <c r="N429">
        <f>FIND(" ",Таблица8[[#This Row],[ФИО]],(M429+1))</f>
        <v>17</v>
      </c>
      <c r="O429">
        <f>LEN(Таблица8[[#This Row],[ФИО]])</f>
        <v>25</v>
      </c>
      <c r="Q429" s="60" t="str">
        <f>LEFT(Таблица8[[#This Row],[ФИО]],(M429-1))</f>
        <v>Юлия</v>
      </c>
      <c r="R429" t="s">
        <v>1105</v>
      </c>
      <c r="S429" t="s">
        <v>1417</v>
      </c>
    </row>
    <row r="430" spans="1:19" x14ac:dyDescent="0.25">
      <c r="A430" s="51">
        <v>480</v>
      </c>
      <c r="B430" t="s">
        <v>595</v>
      </c>
      <c r="C430" t="s">
        <v>594</v>
      </c>
      <c r="D430" t="s">
        <v>143</v>
      </c>
      <c r="E430" s="26">
        <v>44568</v>
      </c>
      <c r="F430" t="str">
        <f t="shared" si="6"/>
        <v>+998</v>
      </c>
      <c r="G430" t="str">
        <f>INDEX('коды стран'!$A$2:$A$7, MATCH(F430, 'коды стран'!$B$2:$B$7, 0))</f>
        <v>Узбекистан</v>
      </c>
      <c r="H430" t="s">
        <v>132</v>
      </c>
      <c r="I430" t="str">
        <f>LEFT(Таблица8[[#This Row],[ФИО]],(M430-1))</f>
        <v>Юлия</v>
      </c>
      <c r="J430" t="str">
        <f>MID(Таблица8[[#This Row],[ФИО]],M430,(N430-M430))</f>
        <v xml:space="preserve"> Кузьминична</v>
      </c>
      <c r="K430" t="str">
        <f>RIGHT(Таблица8[[#This Row],[ФИО]],(O430-N430))</f>
        <v>Капустина</v>
      </c>
      <c r="M430" s="59">
        <f>FIND(" ",Таблица8[[#This Row],[ФИО]],2)</f>
        <v>5</v>
      </c>
      <c r="N430">
        <f>FIND(" ",Таблица8[[#This Row],[ФИО]],(M430+1))</f>
        <v>17</v>
      </c>
      <c r="O430">
        <f>LEN(Таблица8[[#This Row],[ФИО]])</f>
        <v>26</v>
      </c>
      <c r="Q430" s="59" t="str">
        <f>LEFT(Таблица8[[#This Row],[ФИО]],(M430-1))</f>
        <v>Юлия</v>
      </c>
      <c r="R430" t="s">
        <v>1242</v>
      </c>
      <c r="S430" t="s">
        <v>1555</v>
      </c>
    </row>
    <row r="431" spans="1:19" x14ac:dyDescent="0.25">
      <c r="A431" s="51">
        <v>414</v>
      </c>
      <c r="B431" t="s">
        <v>983</v>
      </c>
      <c r="C431" t="s">
        <v>982</v>
      </c>
      <c r="D431" t="s">
        <v>140</v>
      </c>
      <c r="E431" s="26">
        <v>44794</v>
      </c>
      <c r="F431" t="str">
        <f t="shared" si="6"/>
        <v>+375</v>
      </c>
      <c r="G431" t="str">
        <f>INDEX('коды стран'!$A$2:$A$7, MATCH(F431, 'коды стран'!$B$2:$B$7, 0))</f>
        <v>Беларусь</v>
      </c>
      <c r="H431" t="s">
        <v>134</v>
      </c>
      <c r="I431" t="str">
        <f>LEFT(Таблица8[[#This Row],[ФИО]],(M431-1))</f>
        <v>Юлия</v>
      </c>
      <c r="J431" t="str">
        <f>MID(Таблица8[[#This Row],[ФИО]],M431,(N431-M431))</f>
        <v xml:space="preserve"> Леоновна</v>
      </c>
      <c r="K431" t="str">
        <f>RIGHT(Таблица8[[#This Row],[ФИО]],(O431-N431))</f>
        <v>Наумова</v>
      </c>
      <c r="M431" s="60">
        <f>FIND(" ",Таблица8[[#This Row],[ФИО]],2)</f>
        <v>5</v>
      </c>
      <c r="N431">
        <f>FIND(" ",Таблица8[[#This Row],[ФИО]],(M431+1))</f>
        <v>14</v>
      </c>
      <c r="O431">
        <f>LEN(Таблица8[[#This Row],[ФИО]])</f>
        <v>21</v>
      </c>
      <c r="Q431" s="60" t="str">
        <f>LEFT(Таблица8[[#This Row],[ФИО]],(M431-1))</f>
        <v>Юлия</v>
      </c>
      <c r="R431" t="s">
        <v>1386</v>
      </c>
      <c r="S431" t="s">
        <v>1456</v>
      </c>
    </row>
    <row r="432" spans="1:19" x14ac:dyDescent="0.25">
      <c r="A432" s="51">
        <v>62</v>
      </c>
      <c r="B432" t="s">
        <v>659</v>
      </c>
      <c r="C432" t="s">
        <v>658</v>
      </c>
      <c r="D432" t="s">
        <v>140</v>
      </c>
      <c r="E432" s="26">
        <v>44671</v>
      </c>
      <c r="F432" t="str">
        <f t="shared" si="6"/>
        <v>+7</v>
      </c>
      <c r="G432" t="str">
        <f>INDEX('коды стран'!$A$2:$A$7, MATCH(F432, 'коды стран'!$B$2:$B$7, 0))</f>
        <v>Россия</v>
      </c>
      <c r="H432" t="s">
        <v>137</v>
      </c>
      <c r="I432" t="str">
        <f>LEFT(Таблица8[[#This Row],[ФИО]],(M432-1))</f>
        <v>Юрий</v>
      </c>
      <c r="J432" t="str">
        <f>MID(Таблица8[[#This Row],[ФИО]],M432,(N432-M432))</f>
        <v xml:space="preserve"> Августович</v>
      </c>
      <c r="K432" t="str">
        <f>RIGHT(Таблица8[[#This Row],[ФИО]],(O432-N432))</f>
        <v>Исаков</v>
      </c>
      <c r="M432" s="59">
        <f>FIND(" ",Таблица8[[#This Row],[ФИО]],2)</f>
        <v>5</v>
      </c>
      <c r="N432">
        <f>FIND(" ",Таблица8[[#This Row],[ФИО]],(M432+1))</f>
        <v>16</v>
      </c>
      <c r="O432">
        <f>LEN(Таблица8[[#This Row],[ФИО]])</f>
        <v>22</v>
      </c>
      <c r="Q432" s="59" t="str">
        <f>LEFT(Таблица8[[#This Row],[ФИО]],(M432-1))</f>
        <v>Юрий</v>
      </c>
      <c r="R432" t="s">
        <v>1130</v>
      </c>
      <c r="S432" t="s">
        <v>1582</v>
      </c>
    </row>
    <row r="433" spans="1:19" x14ac:dyDescent="0.25">
      <c r="A433" s="51">
        <v>499</v>
      </c>
      <c r="B433" t="s">
        <v>159</v>
      </c>
      <c r="C433" t="s">
        <v>158</v>
      </c>
      <c r="D433" t="s">
        <v>143</v>
      </c>
      <c r="E433" s="26">
        <v>44798</v>
      </c>
      <c r="F433" t="str">
        <f t="shared" si="6"/>
        <v>+375</v>
      </c>
      <c r="G433" t="str">
        <f>INDEX('коды стран'!$A$2:$A$7, MATCH(F433, 'коды стран'!$B$2:$B$7, 0))</f>
        <v>Беларусь</v>
      </c>
      <c r="H433" t="s">
        <v>134</v>
      </c>
      <c r="I433" t="str">
        <f>LEFT(Таблица8[[#This Row],[ФИО]],(M433-1))</f>
        <v>Якуб</v>
      </c>
      <c r="J433" t="str">
        <f>MID(Таблица8[[#This Row],[ФИО]],M433,(N433-M433))</f>
        <v xml:space="preserve"> Филатович</v>
      </c>
      <c r="K433" t="str">
        <f>RIGHT(Таблица8[[#This Row],[ФИО]],(O433-N433))</f>
        <v>Молчанов</v>
      </c>
      <c r="M433" s="60">
        <f>FIND(" ",Таблица8[[#This Row],[ФИО]],2)</f>
        <v>5</v>
      </c>
      <c r="N433">
        <f>FIND(" ",Таблица8[[#This Row],[ФИО]],(M433+1))</f>
        <v>15</v>
      </c>
      <c r="O433">
        <f>LEN(Таблица8[[#This Row],[ФИО]])</f>
        <v>23</v>
      </c>
      <c r="Q433" s="60" t="str">
        <f>LEFT(Таблица8[[#This Row],[ФИО]],(M433-1))</f>
        <v>Якуб</v>
      </c>
      <c r="R433" t="s">
        <v>1387</v>
      </c>
      <c r="S433" t="s">
        <v>1493</v>
      </c>
    </row>
    <row r="434" spans="1:19" x14ac:dyDescent="0.25">
      <c r="A434" s="51">
        <v>395</v>
      </c>
      <c r="B434" t="s">
        <v>713</v>
      </c>
      <c r="C434" t="s">
        <v>712</v>
      </c>
      <c r="D434" t="s">
        <v>140</v>
      </c>
      <c r="E434" s="26">
        <v>44890</v>
      </c>
      <c r="F434" t="str">
        <f t="shared" si="6"/>
        <v>+998</v>
      </c>
      <c r="G434" t="str">
        <f>INDEX('коды стран'!$A$2:$A$7, MATCH(F434, 'коды стран'!$B$2:$B$7, 0))</f>
        <v>Узбекистан</v>
      </c>
      <c r="H434" t="s">
        <v>132</v>
      </c>
      <c r="I434" t="str">
        <f>LEFT(Таблица8[[#This Row],[ФИО]],(M434-1))</f>
        <v>Якушев</v>
      </c>
      <c r="J434" t="str">
        <f>MID(Таблица8[[#This Row],[ФИО]],M434,(N434-M434))</f>
        <v xml:space="preserve"> Мина</v>
      </c>
      <c r="K434" t="str">
        <f>RIGHT(Таблица8[[#This Row],[ФИО]],(O434-N434))</f>
        <v>Гавриилович</v>
      </c>
      <c r="M434" s="59">
        <f>FIND(" ",Таблица8[[#This Row],[ФИО]],2)</f>
        <v>7</v>
      </c>
      <c r="N434">
        <f>FIND(" ",Таблица8[[#This Row],[ФИО]],(M434+1))</f>
        <v>12</v>
      </c>
      <c r="O434">
        <f>LEN(Таблица8[[#This Row],[ФИО]])</f>
        <v>23</v>
      </c>
      <c r="Q434" s="59" t="str">
        <f>MID(Таблица8[[#This Row],[ФИО]],M434,(N434-M434))</f>
        <v xml:space="preserve"> Мина</v>
      </c>
      <c r="R434" t="s">
        <v>1388</v>
      </c>
      <c r="S434" t="s">
        <v>1658</v>
      </c>
    </row>
    <row r="435" spans="1:19" x14ac:dyDescent="0.25">
      <c r="A435" s="51">
        <v>3</v>
      </c>
      <c r="B435" t="s">
        <v>223</v>
      </c>
      <c r="C435" t="s">
        <v>222</v>
      </c>
      <c r="D435" t="s">
        <v>140</v>
      </c>
      <c r="E435" s="26">
        <v>44666</v>
      </c>
      <c r="F435" t="str">
        <f t="shared" si="6"/>
        <v>+380</v>
      </c>
      <c r="G435" t="str">
        <f>INDEX('коды стран'!$A$2:$A$7, MATCH(F435, 'коды стран'!$B$2:$B$7, 0))</f>
        <v>Украина</v>
      </c>
      <c r="H435" t="s">
        <v>128</v>
      </c>
      <c r="I435" t="str">
        <f>LEFT(Таблица8[[#This Row],[ФИО]],(M435-1))</f>
        <v>Якушева</v>
      </c>
      <c r="J435" t="str">
        <f>MID(Таблица8[[#This Row],[ФИО]],M435,(N435-M435))</f>
        <v xml:space="preserve"> Светлана</v>
      </c>
      <c r="K435" t="str">
        <f>RIGHT(Таблица8[[#This Row],[ФИО]],(O435-N435))</f>
        <v>Даниловна</v>
      </c>
      <c r="M435" s="61">
        <f>FIND(" ",Таблица8[[#This Row],[ФИО]],2)</f>
        <v>8</v>
      </c>
      <c r="N435">
        <f>FIND(" ",Таблица8[[#This Row],[ФИО]],(M435+1))</f>
        <v>17</v>
      </c>
      <c r="O435">
        <f>LEN(Таблица8[[#This Row],[ФИО]])</f>
        <v>26</v>
      </c>
      <c r="Q435" s="61" t="str">
        <f>MID(Таблица8[[#This Row],[ФИО]],M435,(N435-M435))</f>
        <v xml:space="preserve"> Светлана</v>
      </c>
      <c r="R435" t="s">
        <v>1357</v>
      </c>
      <c r="S435" t="s">
        <v>1652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EB49-02E6-2448-81DB-FC5F6DC7D67D}">
  <dimension ref="A1:B7"/>
  <sheetViews>
    <sheetView workbookViewId="0"/>
  </sheetViews>
  <sheetFormatPr defaultColWidth="8.85546875" defaultRowHeight="15" x14ac:dyDescent="0.25"/>
  <sheetData>
    <row r="1" spans="1:2" x14ac:dyDescent="0.25">
      <c r="A1" s="1" t="s">
        <v>139</v>
      </c>
      <c r="B1" s="1" t="s">
        <v>138</v>
      </c>
    </row>
    <row r="2" spans="1:2" x14ac:dyDescent="0.25">
      <c r="A2" t="s">
        <v>137</v>
      </c>
      <c r="B2" t="s">
        <v>135</v>
      </c>
    </row>
    <row r="3" spans="1:2" x14ac:dyDescent="0.25">
      <c r="A3" t="s">
        <v>136</v>
      </c>
      <c r="B3" t="s">
        <v>135</v>
      </c>
    </row>
    <row r="4" spans="1:2" x14ac:dyDescent="0.25">
      <c r="A4" t="s">
        <v>134</v>
      </c>
      <c r="B4" t="s">
        <v>133</v>
      </c>
    </row>
    <row r="5" spans="1:2" x14ac:dyDescent="0.25">
      <c r="A5" t="s">
        <v>132</v>
      </c>
      <c r="B5" t="s">
        <v>131</v>
      </c>
    </row>
    <row r="6" spans="1:2" x14ac:dyDescent="0.25">
      <c r="A6" t="s">
        <v>130</v>
      </c>
      <c r="B6" t="s">
        <v>129</v>
      </c>
    </row>
    <row r="7" spans="1:2" x14ac:dyDescent="0.25">
      <c r="A7" t="s">
        <v>128</v>
      </c>
      <c r="B7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CCDD88-7EED-4CE4-9E65-CE04B10EA2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интро</vt:lpstr>
      <vt:lpstr>Гафики</vt:lpstr>
      <vt:lpstr>Динамика продаж</vt:lpstr>
      <vt:lpstr>Выгода клиента</vt:lpstr>
      <vt:lpstr>GMV Продажи по магазинам</vt:lpstr>
      <vt:lpstr>Подробности2</vt:lpstr>
      <vt:lpstr>Средн. стоим в кат по поставщ. </vt:lpstr>
      <vt:lpstr>Выгода для клиента внутри поста</vt:lpstr>
      <vt:lpstr>Суммарные продажи по поставщика</vt:lpstr>
      <vt:lpstr>Подробности3</vt:lpstr>
      <vt:lpstr>Средн_кол-во_штук_в_чеке_по_кат</vt:lpstr>
      <vt:lpstr>продажи по категориям</vt:lpstr>
      <vt:lpstr>Платежеспособность по странам</vt:lpstr>
      <vt:lpstr>Кол-во дней с момента регистр</vt:lpstr>
      <vt:lpstr>Лайфтайм клиента</vt:lpstr>
      <vt:lpstr>продажи</vt:lpstr>
      <vt:lpstr>товар</vt:lpstr>
      <vt:lpstr>География клиентов</vt:lpstr>
      <vt:lpstr>Программа лояльности</vt:lpstr>
      <vt:lpstr>Имена</vt:lpstr>
      <vt:lpstr>клиенты</vt:lpstr>
      <vt:lpstr>коды стран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sanasan</dc:creator>
  <cp:lastModifiedBy>Sana san</cp:lastModifiedBy>
  <dcterms:created xsi:type="dcterms:W3CDTF">2024-05-23T18:05:44Z</dcterms:created>
  <dcterms:modified xsi:type="dcterms:W3CDTF">2026-02-06T09:11:06Z</dcterms:modified>
</cp:coreProperties>
</file>